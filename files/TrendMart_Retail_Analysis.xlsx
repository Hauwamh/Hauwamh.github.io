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2470280C-0577-44D9-ABD4-164D6EF26B89}" xr6:coauthVersionLast="47" xr6:coauthVersionMax="47" xr10:uidLastSave="{00000000-0000-0000-0000-000000000000}"/>
  <bookViews>
    <workbookView xWindow="-120" yWindow="-120" windowWidth="20730" windowHeight="11040" firstSheet="10" activeTab="11" xr2:uid="{00000000-000D-0000-FFFF-FFFF00000000}"/>
  </bookViews>
  <sheets>
    <sheet name="Product Master" sheetId="1" r:id="rId1"/>
    <sheet name="Store Information" sheetId="2" r:id="rId2"/>
    <sheet name="Product mix Analysis" sheetId="13" r:id="rId3"/>
    <sheet name="Sales Transaction(clean)" sheetId="11" r:id="rId4"/>
    <sheet name="Store Analysis" sheetId="17" r:id="rId5"/>
    <sheet name="OPEX Analysis" sheetId="14" r:id="rId6"/>
    <sheet name="Operating Expenses(clean)" sheetId="4" r:id="rId7"/>
    <sheet name="Marketing Campaign_Data" sheetId="5" r:id="rId8"/>
    <sheet name="KPI Directory" sheetId="6" r:id="rId9"/>
    <sheet name="Revenue Trend Report" sheetId="7" r:id="rId10"/>
    <sheet name="Margin compression Analysis" sheetId="18" r:id="rId11"/>
    <sheet name="Variance Analysis" sheetId="19" r:id="rId12"/>
    <sheet name="Volume Vs Price Diagnostic" sheetId="10" r:id="rId13"/>
    <sheet name="Calender" sheetId="9" r:id="rId14"/>
  </sheets>
  <externalReferences>
    <externalReference r:id="rId15"/>
  </externalReferences>
  <definedNames>
    <definedName name="_xlcn.WorksheetConnection_TrendMartRetailAnalysisProject.xlsxTable21" hidden="1">Table2[]</definedName>
    <definedName name="_xlcn.WorksheetConnection_TrendMartRetailAnalysisProject.xlsxTable51" hidden="1">Table5[]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TrendMart Retail Analysis Project.xlsx!Table2"/>
          <x15:modelTable id="Table5" name="Table5" connection="WorksheetConnection_TrendMart Retail Analysis Project.xlsx!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9" l="1"/>
  <c r="M28" i="19"/>
  <c r="I28" i="19"/>
  <c r="H28" i="19"/>
  <c r="G28" i="19"/>
  <c r="F28" i="19"/>
  <c r="E28" i="19"/>
  <c r="D28" i="19"/>
  <c r="C28" i="19"/>
  <c r="B28" i="19"/>
  <c r="N27" i="19"/>
  <c r="M27" i="19"/>
  <c r="I27" i="19"/>
  <c r="H27" i="19"/>
  <c r="G27" i="19"/>
  <c r="F27" i="19"/>
  <c r="E27" i="19"/>
  <c r="D27" i="19"/>
  <c r="C27" i="19"/>
  <c r="B27" i="19"/>
  <c r="N26" i="19"/>
  <c r="M26" i="19"/>
  <c r="I26" i="19"/>
  <c r="H26" i="19"/>
  <c r="G26" i="19"/>
  <c r="F26" i="19"/>
  <c r="E26" i="19"/>
  <c r="D26" i="19"/>
  <c r="C26" i="19"/>
  <c r="B26" i="19"/>
  <c r="N25" i="19"/>
  <c r="M25" i="19"/>
  <c r="I25" i="19"/>
  <c r="H25" i="19"/>
  <c r="G25" i="19"/>
  <c r="F25" i="19"/>
  <c r="E25" i="19"/>
  <c r="D25" i="19"/>
  <c r="C25" i="19"/>
  <c r="B25" i="19"/>
  <c r="N24" i="19"/>
  <c r="M24" i="19"/>
  <c r="I24" i="19"/>
  <c r="H24" i="19"/>
  <c r="G24" i="19"/>
  <c r="F24" i="19"/>
  <c r="E24" i="19"/>
  <c r="D24" i="19"/>
  <c r="C24" i="19"/>
  <c r="B24" i="19"/>
  <c r="N23" i="19"/>
  <c r="M23" i="19"/>
  <c r="I23" i="19"/>
  <c r="H23" i="19"/>
  <c r="G23" i="19"/>
  <c r="F23" i="19"/>
  <c r="E23" i="19"/>
  <c r="D23" i="19"/>
  <c r="C23" i="19"/>
  <c r="B23" i="19"/>
  <c r="N22" i="19"/>
  <c r="M22" i="19"/>
  <c r="I22" i="19"/>
  <c r="H22" i="19"/>
  <c r="G22" i="19"/>
  <c r="F22" i="19"/>
  <c r="E22" i="19"/>
  <c r="D22" i="19"/>
  <c r="C22" i="19"/>
  <c r="B22" i="19"/>
  <c r="N21" i="19"/>
  <c r="M21" i="19"/>
  <c r="I21" i="19"/>
  <c r="H21" i="19"/>
  <c r="G21" i="19"/>
  <c r="F21" i="19"/>
  <c r="E21" i="19"/>
  <c r="D21" i="19"/>
  <c r="C21" i="19"/>
  <c r="B21" i="19"/>
  <c r="N20" i="19"/>
  <c r="M20" i="19"/>
  <c r="I20" i="19"/>
  <c r="H20" i="19"/>
  <c r="G20" i="19"/>
  <c r="F20" i="19"/>
  <c r="E20" i="19"/>
  <c r="D20" i="19"/>
  <c r="C20" i="19"/>
  <c r="B20" i="19"/>
  <c r="N19" i="19"/>
  <c r="M19" i="19"/>
  <c r="I19" i="19"/>
  <c r="H19" i="19"/>
  <c r="G19" i="19"/>
  <c r="F19" i="19"/>
  <c r="E19" i="19"/>
  <c r="D19" i="19"/>
  <c r="C19" i="19"/>
  <c r="B19" i="19"/>
  <c r="N18" i="19"/>
  <c r="M18" i="19"/>
  <c r="I18" i="19"/>
  <c r="H18" i="19"/>
  <c r="G18" i="19"/>
  <c r="F18" i="19"/>
  <c r="E18" i="19"/>
  <c r="D18" i="19"/>
  <c r="C18" i="19"/>
  <c r="B18" i="19"/>
  <c r="N17" i="19"/>
  <c r="M17" i="19"/>
  <c r="I17" i="19"/>
  <c r="H17" i="19"/>
  <c r="G17" i="19"/>
  <c r="F17" i="19"/>
  <c r="E17" i="19"/>
  <c r="D17" i="19"/>
  <c r="C17" i="19"/>
  <c r="B17" i="19"/>
  <c r="N16" i="19"/>
  <c r="M16" i="19"/>
  <c r="I16" i="19"/>
  <c r="H16" i="19"/>
  <c r="G16" i="19"/>
  <c r="F16" i="19"/>
  <c r="E16" i="19"/>
  <c r="D16" i="19"/>
  <c r="C16" i="19"/>
  <c r="B16" i="19"/>
  <c r="N15" i="19"/>
  <c r="M15" i="19"/>
  <c r="I15" i="19"/>
  <c r="H15" i="19"/>
  <c r="G15" i="19"/>
  <c r="F15" i="19"/>
  <c r="E15" i="19"/>
  <c r="D15" i="19"/>
  <c r="C15" i="19"/>
  <c r="B15" i="19"/>
  <c r="N14" i="19"/>
  <c r="M14" i="19"/>
  <c r="I14" i="19"/>
  <c r="H14" i="19"/>
  <c r="G14" i="19"/>
  <c r="F14" i="19"/>
  <c r="E14" i="19"/>
  <c r="D14" i="19"/>
  <c r="C14" i="19"/>
  <c r="B14" i="19"/>
  <c r="N13" i="19"/>
  <c r="M13" i="19"/>
  <c r="I13" i="19"/>
  <c r="H13" i="19"/>
  <c r="G13" i="19"/>
  <c r="F13" i="19"/>
  <c r="E13" i="19"/>
  <c r="D13" i="19"/>
  <c r="C13" i="19"/>
  <c r="B13" i="19"/>
  <c r="N12" i="19"/>
  <c r="M12" i="19"/>
  <c r="I12" i="19"/>
  <c r="H12" i="19"/>
  <c r="G12" i="19"/>
  <c r="F12" i="19"/>
  <c r="E12" i="19"/>
  <c r="D12" i="19"/>
  <c r="C12" i="19"/>
  <c r="B12" i="19"/>
  <c r="N11" i="19"/>
  <c r="M11" i="19"/>
  <c r="I11" i="19"/>
  <c r="H11" i="19"/>
  <c r="G11" i="19"/>
  <c r="F11" i="19"/>
  <c r="E11" i="19"/>
  <c r="D11" i="19"/>
  <c r="C11" i="19"/>
  <c r="B11" i="19"/>
  <c r="N10" i="19"/>
  <c r="M10" i="19"/>
  <c r="I10" i="19"/>
  <c r="H10" i="19"/>
  <c r="G10" i="19"/>
  <c r="F10" i="19"/>
  <c r="E10" i="19"/>
  <c r="D10" i="19"/>
  <c r="C10" i="19"/>
  <c r="B10" i="19"/>
  <c r="N9" i="19"/>
  <c r="M9" i="19"/>
  <c r="I9" i="19"/>
  <c r="H9" i="19"/>
  <c r="G9" i="19"/>
  <c r="F9" i="19"/>
  <c r="E9" i="19"/>
  <c r="D9" i="19"/>
  <c r="C9" i="19"/>
  <c r="B9" i="19"/>
  <c r="N8" i="19"/>
  <c r="M8" i="19"/>
  <c r="I8" i="19"/>
  <c r="H8" i="19"/>
  <c r="G8" i="19"/>
  <c r="F8" i="19"/>
  <c r="E8" i="19"/>
  <c r="D8" i="19"/>
  <c r="C8" i="19"/>
  <c r="B8" i="19"/>
  <c r="N7" i="19"/>
  <c r="M7" i="19"/>
  <c r="I7" i="19"/>
  <c r="H7" i="19"/>
  <c r="G7" i="19"/>
  <c r="F7" i="19"/>
  <c r="E7" i="19"/>
  <c r="D7" i="19"/>
  <c r="C7" i="19"/>
  <c r="B7" i="19"/>
  <c r="N6" i="19"/>
  <c r="M6" i="19"/>
  <c r="I6" i="19"/>
  <c r="H6" i="19"/>
  <c r="G6" i="19"/>
  <c r="F6" i="19"/>
  <c r="E6" i="19"/>
  <c r="D6" i="19"/>
  <c r="C6" i="19"/>
  <c r="B6" i="19"/>
  <c r="N5" i="19"/>
  <c r="M5" i="19"/>
  <c r="I5" i="19"/>
  <c r="H5" i="19"/>
  <c r="G5" i="19"/>
  <c r="F5" i="19"/>
  <c r="E5" i="19"/>
  <c r="D5" i="19"/>
  <c r="C5" i="19"/>
  <c r="B5" i="19"/>
  <c r="F6" i="13"/>
  <c r="F7" i="13"/>
  <c r="F8" i="13"/>
  <c r="F5" i="13"/>
  <c r="F4" i="13"/>
  <c r="C15" i="18"/>
  <c r="J25" i="18"/>
  <c r="I25" i="18"/>
  <c r="H25" i="18"/>
  <c r="G25" i="18"/>
  <c r="F25" i="18"/>
  <c r="C25" i="18"/>
  <c r="B25" i="18"/>
  <c r="J24" i="18"/>
  <c r="I24" i="18"/>
  <c r="H24" i="18"/>
  <c r="G24" i="18"/>
  <c r="F24" i="18"/>
  <c r="C24" i="18"/>
  <c r="B24" i="18"/>
  <c r="J23" i="18"/>
  <c r="I23" i="18"/>
  <c r="H23" i="18"/>
  <c r="G23" i="18"/>
  <c r="F23" i="18"/>
  <c r="C23" i="18"/>
  <c r="B23" i="18"/>
  <c r="J22" i="18"/>
  <c r="I22" i="18"/>
  <c r="H22" i="18"/>
  <c r="G22" i="18"/>
  <c r="F22" i="18"/>
  <c r="C22" i="18"/>
  <c r="B22" i="18"/>
  <c r="J21" i="18"/>
  <c r="I21" i="18"/>
  <c r="H21" i="18"/>
  <c r="G21" i="18"/>
  <c r="F21" i="18"/>
  <c r="C21" i="18"/>
  <c r="B21" i="18"/>
  <c r="J20" i="18"/>
  <c r="I20" i="18"/>
  <c r="H20" i="18"/>
  <c r="G20" i="18"/>
  <c r="F20" i="18"/>
  <c r="C20" i="18"/>
  <c r="B20" i="18"/>
  <c r="J19" i="18"/>
  <c r="I19" i="18"/>
  <c r="H19" i="18"/>
  <c r="G19" i="18"/>
  <c r="F19" i="18"/>
  <c r="C19" i="18"/>
  <c r="B19" i="18"/>
  <c r="J18" i="18"/>
  <c r="I18" i="18"/>
  <c r="H18" i="18"/>
  <c r="G18" i="18"/>
  <c r="F18" i="18"/>
  <c r="C18" i="18"/>
  <c r="B18" i="18"/>
  <c r="J17" i="18"/>
  <c r="I17" i="18"/>
  <c r="H17" i="18"/>
  <c r="G17" i="18"/>
  <c r="F17" i="18"/>
  <c r="C17" i="18"/>
  <c r="B17" i="18"/>
  <c r="J16" i="18"/>
  <c r="I16" i="18"/>
  <c r="H16" i="18"/>
  <c r="G16" i="18"/>
  <c r="F16" i="18"/>
  <c r="C16" i="18"/>
  <c r="B16" i="18"/>
  <c r="J15" i="18"/>
  <c r="I15" i="18"/>
  <c r="H15" i="18"/>
  <c r="G15" i="18"/>
  <c r="F15" i="18"/>
  <c r="B15" i="18"/>
  <c r="J14" i="18"/>
  <c r="I14" i="18"/>
  <c r="H14" i="18"/>
  <c r="G14" i="18"/>
  <c r="F14" i="18"/>
  <c r="C14" i="18"/>
  <c r="B14" i="18"/>
  <c r="J13" i="18"/>
  <c r="I13" i="18"/>
  <c r="H13" i="18"/>
  <c r="G13" i="18"/>
  <c r="F13" i="18"/>
  <c r="C13" i="18"/>
  <c r="B13" i="18"/>
  <c r="J12" i="18"/>
  <c r="I12" i="18"/>
  <c r="H12" i="18"/>
  <c r="G12" i="18"/>
  <c r="F12" i="18"/>
  <c r="C12" i="18"/>
  <c r="B12" i="18"/>
  <c r="J11" i="18"/>
  <c r="I11" i="18"/>
  <c r="H11" i="18"/>
  <c r="G11" i="18"/>
  <c r="F11" i="18"/>
  <c r="C11" i="18"/>
  <c r="B11" i="18"/>
  <c r="J10" i="18"/>
  <c r="I10" i="18"/>
  <c r="H10" i="18"/>
  <c r="G10" i="18"/>
  <c r="F10" i="18"/>
  <c r="C10" i="18"/>
  <c r="B10" i="18"/>
  <c r="J9" i="18"/>
  <c r="I9" i="18"/>
  <c r="H9" i="18"/>
  <c r="G9" i="18"/>
  <c r="F9" i="18"/>
  <c r="C9" i="18"/>
  <c r="B9" i="18"/>
  <c r="J8" i="18"/>
  <c r="I8" i="18"/>
  <c r="H8" i="18"/>
  <c r="G8" i="18"/>
  <c r="F8" i="18"/>
  <c r="C8" i="18"/>
  <c r="B8" i="18"/>
  <c r="J7" i="18"/>
  <c r="I7" i="18"/>
  <c r="H7" i="18"/>
  <c r="G7" i="18"/>
  <c r="F7" i="18"/>
  <c r="C7" i="18"/>
  <c r="B7" i="18"/>
  <c r="J6" i="18"/>
  <c r="I6" i="18"/>
  <c r="H6" i="18"/>
  <c r="G6" i="18"/>
  <c r="F6" i="18"/>
  <c r="C6" i="18"/>
  <c r="B6" i="18"/>
  <c r="J5" i="18"/>
  <c r="I5" i="18"/>
  <c r="H5" i="18"/>
  <c r="G5" i="18"/>
  <c r="F5" i="18"/>
  <c r="C5" i="18"/>
  <c r="B5" i="18"/>
  <c r="J4" i="18"/>
  <c r="I4" i="18"/>
  <c r="H4" i="18"/>
  <c r="G4" i="18"/>
  <c r="F4" i="18"/>
  <c r="C4" i="18"/>
  <c r="B4" i="18"/>
  <c r="J3" i="18"/>
  <c r="I3" i="18"/>
  <c r="H3" i="18"/>
  <c r="G3" i="18"/>
  <c r="F3" i="18"/>
  <c r="C3" i="18"/>
  <c r="B3" i="18"/>
  <c r="J2" i="18"/>
  <c r="I2" i="18"/>
  <c r="H2" i="18"/>
  <c r="G2" i="18"/>
  <c r="F2" i="18"/>
  <c r="K2" i="18" s="1"/>
  <c r="C2" i="18"/>
  <c r="B2" i="18"/>
  <c r="D2" i="18" s="1"/>
  <c r="M6" i="17"/>
  <c r="G6" i="17"/>
  <c r="F6" i="17"/>
  <c r="E6" i="17"/>
  <c r="D6" i="17"/>
  <c r="C6" i="17"/>
  <c r="B6" i="17"/>
  <c r="M5" i="17"/>
  <c r="G5" i="17"/>
  <c r="F5" i="17"/>
  <c r="E5" i="17"/>
  <c r="D5" i="17"/>
  <c r="C5" i="17"/>
  <c r="B5" i="17"/>
  <c r="M4" i="17"/>
  <c r="G4" i="17"/>
  <c r="F4" i="17"/>
  <c r="E4" i="17"/>
  <c r="D4" i="17"/>
  <c r="C4" i="17"/>
  <c r="B4" i="17"/>
  <c r="M3" i="17"/>
  <c r="G3" i="17"/>
  <c r="F3" i="17"/>
  <c r="E3" i="17"/>
  <c r="D3" i="17"/>
  <c r="C3" i="17"/>
  <c r="B3" i="17"/>
  <c r="M2" i="17"/>
  <c r="M7" i="17" s="1"/>
  <c r="G2" i="17"/>
  <c r="F2" i="17"/>
  <c r="E2" i="17"/>
  <c r="E7" i="17" s="1"/>
  <c r="D2" i="17"/>
  <c r="C2" i="17"/>
  <c r="B2" i="17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5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4" i="14"/>
  <c r="I121" i="4"/>
  <c r="H2" i="4"/>
  <c r="F26" i="10"/>
  <c r="J26" i="10"/>
  <c r="C26" i="10"/>
  <c r="V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6" i="11"/>
  <c r="V727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V788" i="11"/>
  <c r="V789" i="11"/>
  <c r="V790" i="11"/>
  <c r="V791" i="11"/>
  <c r="V792" i="11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0" i="11"/>
  <c r="V841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0" i="11"/>
  <c r="V861" i="11"/>
  <c r="V862" i="11"/>
  <c r="V863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2" i="11"/>
  <c r="V913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2" i="11"/>
  <c r="V933" i="11"/>
  <c r="V934" i="11"/>
  <c r="V935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58" i="11"/>
  <c r="V959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982" i="11"/>
  <c r="V983" i="11"/>
  <c r="V984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7" i="11"/>
  <c r="V998" i="11"/>
  <c r="V999" i="11"/>
  <c r="V1000" i="11"/>
  <c r="V1001" i="11"/>
  <c r="V1002" i="11"/>
  <c r="V1003" i="11"/>
  <c r="V1004" i="11"/>
  <c r="V1005" i="11"/>
  <c r="V1006" i="11"/>
  <c r="V1007" i="11"/>
  <c r="V1008" i="11"/>
  <c r="V1009" i="11"/>
  <c r="V1010" i="11"/>
  <c r="V1011" i="11"/>
  <c r="V1012" i="11"/>
  <c r="V1013" i="11"/>
  <c r="V1014" i="11"/>
  <c r="V1015" i="11"/>
  <c r="V1016" i="11"/>
  <c r="V1017" i="11"/>
  <c r="V1018" i="11"/>
  <c r="V1019" i="11"/>
  <c r="V1020" i="11"/>
  <c r="V1021" i="11"/>
  <c r="V1022" i="11"/>
  <c r="V1023" i="11"/>
  <c r="V1024" i="11"/>
  <c r="V1025" i="11"/>
  <c r="V1026" i="11"/>
  <c r="V1027" i="11"/>
  <c r="V1028" i="11"/>
  <c r="V1029" i="11"/>
  <c r="V1030" i="11"/>
  <c r="V1031" i="11"/>
  <c r="V1032" i="11"/>
  <c r="V1033" i="11"/>
  <c r="V1034" i="11"/>
  <c r="V1035" i="11"/>
  <c r="V1036" i="11"/>
  <c r="V1037" i="11"/>
  <c r="V1038" i="11"/>
  <c r="V1039" i="11"/>
  <c r="V1040" i="11"/>
  <c r="V1041" i="11"/>
  <c r="V1042" i="11"/>
  <c r="V1043" i="11"/>
  <c r="V1044" i="11"/>
  <c r="V1045" i="11"/>
  <c r="V1046" i="11"/>
  <c r="V1047" i="11"/>
  <c r="V1048" i="11"/>
  <c r="V1049" i="11"/>
  <c r="V1050" i="11"/>
  <c r="V1051" i="11"/>
  <c r="V1052" i="11"/>
  <c r="V1053" i="11"/>
  <c r="V1054" i="11"/>
  <c r="V1055" i="11"/>
  <c r="V1056" i="11"/>
  <c r="V1057" i="11"/>
  <c r="V1058" i="11"/>
  <c r="V1059" i="11"/>
  <c r="V1060" i="11"/>
  <c r="V1061" i="11"/>
  <c r="V1062" i="11"/>
  <c r="V1063" i="11"/>
  <c r="V1064" i="11"/>
  <c r="V1065" i="11"/>
  <c r="V1066" i="11"/>
  <c r="V1067" i="11"/>
  <c r="V1068" i="11"/>
  <c r="V1069" i="11"/>
  <c r="V1070" i="11"/>
  <c r="V1071" i="11"/>
  <c r="V1072" i="11"/>
  <c r="V1073" i="11"/>
  <c r="V1074" i="11"/>
  <c r="V1075" i="11"/>
  <c r="V1076" i="11"/>
  <c r="V1077" i="11"/>
  <c r="V1078" i="11"/>
  <c r="V1079" i="11"/>
  <c r="V1080" i="11"/>
  <c r="V1081" i="1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3" i="5"/>
  <c r="F2" i="5"/>
  <c r="U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19" i="11"/>
  <c r="U320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4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4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7" i="11"/>
  <c r="U398" i="11"/>
  <c r="U399" i="11"/>
  <c r="U400" i="11"/>
  <c r="U401" i="11"/>
  <c r="U402" i="11"/>
  <c r="U403" i="11"/>
  <c r="U404" i="11"/>
  <c r="U405" i="11"/>
  <c r="U406" i="11"/>
  <c r="U407" i="11"/>
  <c r="U408" i="11"/>
  <c r="U409" i="11"/>
  <c r="U410" i="11"/>
  <c r="U411" i="11"/>
  <c r="U412" i="11"/>
  <c r="U413" i="11"/>
  <c r="U414" i="11"/>
  <c r="U415" i="11"/>
  <c r="U416" i="11"/>
  <c r="U417" i="11"/>
  <c r="U418" i="11"/>
  <c r="U419" i="11"/>
  <c r="U420" i="11"/>
  <c r="U421" i="11"/>
  <c r="U422" i="11"/>
  <c r="U423" i="11"/>
  <c r="U424" i="11"/>
  <c r="U425" i="11"/>
  <c r="U426" i="11"/>
  <c r="U427" i="11"/>
  <c r="U428" i="11"/>
  <c r="U429" i="11"/>
  <c r="U430" i="11"/>
  <c r="U431" i="11"/>
  <c r="U432" i="11"/>
  <c r="U433" i="11"/>
  <c r="U434" i="11"/>
  <c r="U435" i="11"/>
  <c r="U436" i="11"/>
  <c r="U437" i="11"/>
  <c r="U438" i="11"/>
  <c r="U439" i="11"/>
  <c r="U440" i="11"/>
  <c r="U441" i="11"/>
  <c r="U442" i="11"/>
  <c r="U443" i="11"/>
  <c r="U444" i="11"/>
  <c r="U445" i="11"/>
  <c r="U446" i="11"/>
  <c r="U447" i="11"/>
  <c r="U448" i="11"/>
  <c r="U449" i="11"/>
  <c r="U450" i="11"/>
  <c r="U451" i="11"/>
  <c r="U452" i="11"/>
  <c r="U453" i="11"/>
  <c r="U454" i="11"/>
  <c r="U455" i="11"/>
  <c r="U456" i="11"/>
  <c r="U457" i="11"/>
  <c r="U458" i="11"/>
  <c r="U459" i="11"/>
  <c r="U460" i="11"/>
  <c r="U461" i="11"/>
  <c r="U462" i="11"/>
  <c r="U463" i="11"/>
  <c r="U464" i="11"/>
  <c r="U465" i="11"/>
  <c r="U466" i="11"/>
  <c r="U467" i="11"/>
  <c r="U468" i="11"/>
  <c r="U469" i="11"/>
  <c r="U470" i="11"/>
  <c r="U471" i="11"/>
  <c r="U472" i="11"/>
  <c r="U473" i="11"/>
  <c r="U474" i="11"/>
  <c r="U475" i="11"/>
  <c r="U476" i="11"/>
  <c r="U477" i="11"/>
  <c r="U478" i="11"/>
  <c r="U479" i="11"/>
  <c r="U480" i="11"/>
  <c r="U481" i="11"/>
  <c r="U482" i="11"/>
  <c r="U483" i="11"/>
  <c r="U484" i="11"/>
  <c r="U485" i="11"/>
  <c r="U486" i="11"/>
  <c r="U487" i="11"/>
  <c r="U488" i="11"/>
  <c r="U489" i="11"/>
  <c r="U490" i="11"/>
  <c r="U491" i="11"/>
  <c r="U492" i="11"/>
  <c r="U493" i="11"/>
  <c r="U494" i="11"/>
  <c r="U495" i="11"/>
  <c r="U496" i="11"/>
  <c r="U497" i="11"/>
  <c r="U498" i="11"/>
  <c r="U499" i="11"/>
  <c r="U500" i="11"/>
  <c r="U501" i="11"/>
  <c r="U502" i="11"/>
  <c r="U503" i="11"/>
  <c r="U504" i="11"/>
  <c r="U505" i="11"/>
  <c r="U506" i="11"/>
  <c r="U507" i="11"/>
  <c r="U508" i="11"/>
  <c r="U509" i="11"/>
  <c r="U510" i="11"/>
  <c r="U511" i="11"/>
  <c r="U512" i="11"/>
  <c r="U513" i="11"/>
  <c r="U514" i="11"/>
  <c r="U515" i="11"/>
  <c r="U516" i="11"/>
  <c r="U517" i="11"/>
  <c r="U518" i="11"/>
  <c r="U519" i="11"/>
  <c r="U520" i="11"/>
  <c r="U521" i="11"/>
  <c r="U522" i="11"/>
  <c r="U523" i="11"/>
  <c r="U524" i="11"/>
  <c r="U525" i="11"/>
  <c r="U526" i="11"/>
  <c r="U527" i="11"/>
  <c r="U528" i="11"/>
  <c r="U529" i="11"/>
  <c r="U530" i="11"/>
  <c r="U531" i="11"/>
  <c r="U532" i="11"/>
  <c r="U533" i="11"/>
  <c r="U534" i="11"/>
  <c r="U535" i="11"/>
  <c r="U536" i="11"/>
  <c r="U537" i="11"/>
  <c r="U538" i="11"/>
  <c r="U539" i="11"/>
  <c r="U540" i="11"/>
  <c r="U541" i="11"/>
  <c r="U542" i="11"/>
  <c r="U543" i="11"/>
  <c r="U544" i="11"/>
  <c r="U545" i="11"/>
  <c r="U546" i="11"/>
  <c r="U547" i="11"/>
  <c r="U548" i="11"/>
  <c r="U549" i="11"/>
  <c r="U550" i="11"/>
  <c r="U551" i="11"/>
  <c r="U552" i="11"/>
  <c r="U553" i="11"/>
  <c r="U554" i="11"/>
  <c r="U555" i="11"/>
  <c r="U556" i="11"/>
  <c r="U557" i="11"/>
  <c r="U558" i="11"/>
  <c r="U559" i="11"/>
  <c r="U560" i="11"/>
  <c r="U561" i="11"/>
  <c r="U562" i="11"/>
  <c r="U563" i="11"/>
  <c r="U564" i="11"/>
  <c r="U565" i="11"/>
  <c r="U566" i="11"/>
  <c r="U567" i="11"/>
  <c r="U568" i="11"/>
  <c r="U569" i="11"/>
  <c r="U570" i="11"/>
  <c r="U571" i="11"/>
  <c r="U572" i="11"/>
  <c r="U573" i="11"/>
  <c r="U574" i="11"/>
  <c r="U575" i="11"/>
  <c r="U576" i="11"/>
  <c r="U577" i="11"/>
  <c r="U578" i="11"/>
  <c r="U579" i="11"/>
  <c r="U580" i="11"/>
  <c r="U581" i="11"/>
  <c r="U582" i="11"/>
  <c r="U583" i="11"/>
  <c r="U584" i="11"/>
  <c r="U585" i="11"/>
  <c r="U586" i="11"/>
  <c r="U587" i="11"/>
  <c r="U588" i="11"/>
  <c r="U589" i="11"/>
  <c r="U590" i="11"/>
  <c r="U591" i="11"/>
  <c r="U592" i="11"/>
  <c r="U593" i="11"/>
  <c r="U594" i="11"/>
  <c r="U595" i="11"/>
  <c r="U596" i="11"/>
  <c r="U597" i="11"/>
  <c r="U598" i="11"/>
  <c r="U599" i="11"/>
  <c r="U600" i="11"/>
  <c r="U601" i="11"/>
  <c r="U602" i="11"/>
  <c r="U603" i="11"/>
  <c r="U604" i="11"/>
  <c r="U605" i="11"/>
  <c r="U606" i="11"/>
  <c r="U607" i="11"/>
  <c r="U608" i="11"/>
  <c r="U609" i="11"/>
  <c r="U610" i="11"/>
  <c r="U611" i="11"/>
  <c r="U612" i="11"/>
  <c r="U613" i="11"/>
  <c r="U614" i="11"/>
  <c r="U615" i="11"/>
  <c r="U616" i="11"/>
  <c r="U617" i="11"/>
  <c r="U618" i="11"/>
  <c r="U619" i="11"/>
  <c r="U620" i="11"/>
  <c r="U621" i="11"/>
  <c r="U622" i="11"/>
  <c r="U623" i="11"/>
  <c r="U624" i="11"/>
  <c r="U625" i="11"/>
  <c r="U626" i="11"/>
  <c r="U627" i="11"/>
  <c r="U628" i="11"/>
  <c r="U629" i="11"/>
  <c r="U630" i="11"/>
  <c r="U631" i="11"/>
  <c r="U632" i="11"/>
  <c r="U633" i="11"/>
  <c r="U634" i="11"/>
  <c r="U635" i="11"/>
  <c r="U636" i="11"/>
  <c r="U637" i="11"/>
  <c r="U638" i="11"/>
  <c r="U639" i="11"/>
  <c r="U640" i="11"/>
  <c r="U641" i="11"/>
  <c r="U642" i="11"/>
  <c r="U643" i="11"/>
  <c r="U644" i="11"/>
  <c r="U645" i="11"/>
  <c r="U646" i="11"/>
  <c r="U647" i="11"/>
  <c r="U648" i="11"/>
  <c r="U649" i="11"/>
  <c r="U650" i="11"/>
  <c r="U651" i="11"/>
  <c r="U652" i="11"/>
  <c r="U653" i="11"/>
  <c r="U654" i="11"/>
  <c r="U655" i="11"/>
  <c r="U656" i="11"/>
  <c r="U657" i="11"/>
  <c r="U658" i="11"/>
  <c r="U659" i="11"/>
  <c r="U660" i="11"/>
  <c r="U661" i="11"/>
  <c r="U662" i="11"/>
  <c r="U663" i="11"/>
  <c r="U664" i="11"/>
  <c r="U665" i="11"/>
  <c r="U666" i="11"/>
  <c r="U667" i="11"/>
  <c r="U668" i="11"/>
  <c r="U669" i="11"/>
  <c r="U670" i="11"/>
  <c r="U671" i="11"/>
  <c r="U672" i="11"/>
  <c r="U673" i="11"/>
  <c r="U674" i="11"/>
  <c r="U675" i="11"/>
  <c r="U676" i="11"/>
  <c r="U677" i="11"/>
  <c r="U678" i="11"/>
  <c r="U679" i="11"/>
  <c r="U680" i="11"/>
  <c r="U681" i="11"/>
  <c r="U682" i="11"/>
  <c r="U683" i="11"/>
  <c r="U684" i="11"/>
  <c r="U685" i="11"/>
  <c r="U686" i="11"/>
  <c r="U687" i="11"/>
  <c r="U688" i="11"/>
  <c r="U689" i="11"/>
  <c r="U690" i="11"/>
  <c r="U691" i="11"/>
  <c r="U692" i="11"/>
  <c r="U693" i="11"/>
  <c r="U694" i="11"/>
  <c r="U695" i="11"/>
  <c r="U696" i="11"/>
  <c r="U697" i="11"/>
  <c r="U698" i="11"/>
  <c r="U699" i="11"/>
  <c r="U700" i="11"/>
  <c r="U701" i="11"/>
  <c r="U702" i="11"/>
  <c r="U703" i="11"/>
  <c r="U704" i="11"/>
  <c r="U705" i="11"/>
  <c r="U706" i="11"/>
  <c r="U707" i="11"/>
  <c r="U708" i="11"/>
  <c r="U709" i="11"/>
  <c r="U710" i="11"/>
  <c r="U711" i="11"/>
  <c r="U712" i="11"/>
  <c r="U713" i="11"/>
  <c r="U714" i="11"/>
  <c r="U715" i="11"/>
  <c r="U716" i="11"/>
  <c r="U717" i="11"/>
  <c r="U718" i="11"/>
  <c r="U719" i="11"/>
  <c r="U720" i="11"/>
  <c r="U721" i="11"/>
  <c r="U722" i="11"/>
  <c r="U723" i="11"/>
  <c r="U724" i="11"/>
  <c r="U725" i="11"/>
  <c r="U726" i="11"/>
  <c r="U727" i="11"/>
  <c r="U728" i="11"/>
  <c r="U729" i="11"/>
  <c r="U730" i="11"/>
  <c r="U731" i="11"/>
  <c r="U732" i="11"/>
  <c r="U733" i="11"/>
  <c r="U734" i="11"/>
  <c r="U735" i="11"/>
  <c r="U736" i="11"/>
  <c r="U737" i="11"/>
  <c r="U738" i="11"/>
  <c r="U739" i="11"/>
  <c r="U740" i="11"/>
  <c r="U741" i="11"/>
  <c r="U742" i="11"/>
  <c r="U743" i="11"/>
  <c r="U744" i="11"/>
  <c r="U745" i="11"/>
  <c r="U746" i="11"/>
  <c r="U747" i="11"/>
  <c r="U748" i="11"/>
  <c r="U749" i="11"/>
  <c r="U750" i="11"/>
  <c r="U751" i="11"/>
  <c r="U752" i="11"/>
  <c r="U753" i="11"/>
  <c r="U754" i="11"/>
  <c r="U755" i="11"/>
  <c r="U756" i="11"/>
  <c r="U757" i="11"/>
  <c r="U758" i="11"/>
  <c r="U759" i="11"/>
  <c r="U760" i="11"/>
  <c r="U761" i="11"/>
  <c r="U762" i="11"/>
  <c r="U763" i="11"/>
  <c r="U764" i="11"/>
  <c r="U765" i="11"/>
  <c r="U766" i="11"/>
  <c r="U767" i="11"/>
  <c r="U768" i="11"/>
  <c r="U769" i="11"/>
  <c r="U770" i="11"/>
  <c r="U771" i="11"/>
  <c r="U772" i="11"/>
  <c r="U773" i="11"/>
  <c r="U774" i="11"/>
  <c r="U775" i="11"/>
  <c r="U776" i="11"/>
  <c r="U777" i="11"/>
  <c r="U778" i="11"/>
  <c r="U779" i="11"/>
  <c r="U780" i="11"/>
  <c r="U781" i="11"/>
  <c r="U782" i="11"/>
  <c r="U783" i="11"/>
  <c r="U784" i="11"/>
  <c r="U785" i="11"/>
  <c r="U786" i="11"/>
  <c r="U787" i="11"/>
  <c r="U788" i="11"/>
  <c r="U789" i="11"/>
  <c r="U790" i="11"/>
  <c r="U791" i="11"/>
  <c r="U792" i="11"/>
  <c r="U793" i="11"/>
  <c r="U794" i="11"/>
  <c r="U795" i="11"/>
  <c r="U796" i="11"/>
  <c r="U797" i="11"/>
  <c r="U798" i="11"/>
  <c r="U799" i="11"/>
  <c r="U800" i="11"/>
  <c r="U801" i="11"/>
  <c r="U802" i="11"/>
  <c r="U803" i="11"/>
  <c r="U804" i="11"/>
  <c r="U805" i="11"/>
  <c r="U806" i="11"/>
  <c r="U807" i="11"/>
  <c r="U808" i="11"/>
  <c r="U809" i="11"/>
  <c r="U810" i="11"/>
  <c r="U811" i="11"/>
  <c r="U812" i="11"/>
  <c r="U813" i="11"/>
  <c r="U814" i="11"/>
  <c r="U815" i="11"/>
  <c r="U816" i="11"/>
  <c r="U817" i="11"/>
  <c r="U818" i="11"/>
  <c r="U819" i="11"/>
  <c r="U820" i="11"/>
  <c r="U821" i="11"/>
  <c r="U822" i="11"/>
  <c r="U823" i="11"/>
  <c r="U824" i="11"/>
  <c r="U825" i="11"/>
  <c r="U826" i="11"/>
  <c r="U827" i="11"/>
  <c r="U828" i="11"/>
  <c r="U829" i="11"/>
  <c r="U830" i="11"/>
  <c r="U831" i="11"/>
  <c r="U832" i="11"/>
  <c r="U833" i="11"/>
  <c r="U834" i="11"/>
  <c r="U835" i="11"/>
  <c r="U836" i="11"/>
  <c r="U837" i="11"/>
  <c r="U838" i="11"/>
  <c r="U839" i="11"/>
  <c r="U840" i="11"/>
  <c r="U841" i="11"/>
  <c r="U842" i="11"/>
  <c r="U843" i="11"/>
  <c r="U844" i="11"/>
  <c r="U845" i="11"/>
  <c r="U846" i="11"/>
  <c r="U847" i="11"/>
  <c r="U848" i="11"/>
  <c r="U849" i="11"/>
  <c r="U850" i="11"/>
  <c r="U851" i="11"/>
  <c r="U852" i="11"/>
  <c r="U853" i="11"/>
  <c r="U854" i="11"/>
  <c r="U855" i="11"/>
  <c r="U856" i="11"/>
  <c r="U857" i="11"/>
  <c r="U858" i="11"/>
  <c r="U859" i="11"/>
  <c r="U860" i="11"/>
  <c r="U861" i="11"/>
  <c r="U862" i="11"/>
  <c r="U863" i="11"/>
  <c r="U864" i="11"/>
  <c r="U865" i="11"/>
  <c r="U866" i="11"/>
  <c r="U867" i="11"/>
  <c r="U868" i="11"/>
  <c r="U869" i="11"/>
  <c r="U870" i="11"/>
  <c r="U871" i="11"/>
  <c r="U872" i="11"/>
  <c r="U873" i="11"/>
  <c r="U874" i="11"/>
  <c r="U875" i="11"/>
  <c r="U876" i="11"/>
  <c r="U877" i="11"/>
  <c r="U878" i="11"/>
  <c r="U879" i="11"/>
  <c r="U880" i="11"/>
  <c r="U881" i="11"/>
  <c r="U882" i="11"/>
  <c r="U883" i="11"/>
  <c r="U884" i="11"/>
  <c r="U885" i="11"/>
  <c r="U886" i="11"/>
  <c r="U887" i="11"/>
  <c r="U888" i="11"/>
  <c r="U889" i="11"/>
  <c r="U890" i="11"/>
  <c r="U891" i="11"/>
  <c r="U892" i="11"/>
  <c r="U893" i="11"/>
  <c r="U894" i="11"/>
  <c r="U895" i="11"/>
  <c r="U896" i="11"/>
  <c r="U897" i="11"/>
  <c r="U898" i="11"/>
  <c r="U899" i="11"/>
  <c r="U900" i="11"/>
  <c r="U901" i="11"/>
  <c r="U902" i="11"/>
  <c r="U903" i="11"/>
  <c r="U904" i="11"/>
  <c r="U905" i="11"/>
  <c r="U906" i="11"/>
  <c r="U907" i="11"/>
  <c r="U908" i="11"/>
  <c r="U909" i="11"/>
  <c r="U910" i="11"/>
  <c r="U911" i="11"/>
  <c r="U912" i="11"/>
  <c r="U913" i="11"/>
  <c r="U914" i="11"/>
  <c r="U915" i="11"/>
  <c r="U916" i="11"/>
  <c r="U917" i="11"/>
  <c r="U918" i="11"/>
  <c r="U919" i="11"/>
  <c r="U920" i="11"/>
  <c r="U921" i="11"/>
  <c r="U922" i="11"/>
  <c r="U923" i="11"/>
  <c r="U924" i="11"/>
  <c r="U925" i="11"/>
  <c r="U926" i="11"/>
  <c r="U927" i="11"/>
  <c r="U928" i="11"/>
  <c r="U929" i="11"/>
  <c r="U930" i="11"/>
  <c r="U931" i="11"/>
  <c r="U932" i="11"/>
  <c r="U933" i="11"/>
  <c r="U934" i="11"/>
  <c r="U935" i="11"/>
  <c r="U936" i="11"/>
  <c r="U937" i="11"/>
  <c r="U938" i="11"/>
  <c r="U939" i="11"/>
  <c r="U940" i="11"/>
  <c r="U941" i="11"/>
  <c r="U942" i="11"/>
  <c r="U943" i="11"/>
  <c r="U944" i="11"/>
  <c r="U945" i="11"/>
  <c r="U946" i="11"/>
  <c r="U947" i="11"/>
  <c r="U948" i="11"/>
  <c r="U949" i="11"/>
  <c r="U950" i="11"/>
  <c r="U951" i="11"/>
  <c r="U952" i="11"/>
  <c r="U953" i="11"/>
  <c r="U954" i="11"/>
  <c r="U955" i="11"/>
  <c r="U956" i="11"/>
  <c r="U957" i="11"/>
  <c r="U958" i="11"/>
  <c r="U959" i="11"/>
  <c r="U960" i="11"/>
  <c r="U961" i="11"/>
  <c r="U962" i="11"/>
  <c r="U963" i="11"/>
  <c r="U964" i="11"/>
  <c r="U965" i="11"/>
  <c r="U966" i="11"/>
  <c r="U967" i="11"/>
  <c r="U968" i="11"/>
  <c r="U969" i="11"/>
  <c r="U970" i="11"/>
  <c r="U971" i="11"/>
  <c r="U972" i="11"/>
  <c r="U973" i="11"/>
  <c r="U974" i="11"/>
  <c r="U975" i="11"/>
  <c r="U976" i="11"/>
  <c r="U977" i="11"/>
  <c r="U978" i="11"/>
  <c r="U979" i="11"/>
  <c r="U980" i="11"/>
  <c r="U981" i="11"/>
  <c r="U982" i="11"/>
  <c r="U983" i="11"/>
  <c r="U984" i="11"/>
  <c r="U985" i="11"/>
  <c r="U986" i="11"/>
  <c r="U987" i="11"/>
  <c r="U988" i="11"/>
  <c r="U989" i="11"/>
  <c r="U990" i="11"/>
  <c r="U991" i="11"/>
  <c r="U992" i="11"/>
  <c r="U993" i="11"/>
  <c r="U994" i="11"/>
  <c r="U995" i="11"/>
  <c r="U996" i="11"/>
  <c r="U997" i="11"/>
  <c r="U998" i="11"/>
  <c r="U999" i="11"/>
  <c r="U1000" i="11"/>
  <c r="U1001" i="11"/>
  <c r="U1002" i="11"/>
  <c r="U1003" i="11"/>
  <c r="U1004" i="11"/>
  <c r="U1005" i="11"/>
  <c r="U1006" i="11"/>
  <c r="U1007" i="11"/>
  <c r="U1008" i="11"/>
  <c r="U1009" i="11"/>
  <c r="U1010" i="11"/>
  <c r="U1011" i="11"/>
  <c r="U1012" i="11"/>
  <c r="U1013" i="11"/>
  <c r="U1014" i="11"/>
  <c r="U1015" i="11"/>
  <c r="U1016" i="11"/>
  <c r="U1017" i="11"/>
  <c r="U1018" i="11"/>
  <c r="U1019" i="11"/>
  <c r="U1020" i="11"/>
  <c r="U1021" i="11"/>
  <c r="U1022" i="11"/>
  <c r="U1023" i="11"/>
  <c r="U1024" i="11"/>
  <c r="U1025" i="11"/>
  <c r="U1026" i="11"/>
  <c r="U1027" i="11"/>
  <c r="U1028" i="11"/>
  <c r="U1029" i="11"/>
  <c r="U1030" i="11"/>
  <c r="U1031" i="11"/>
  <c r="U1032" i="11"/>
  <c r="U1033" i="11"/>
  <c r="U1034" i="11"/>
  <c r="U1035" i="11"/>
  <c r="U1036" i="11"/>
  <c r="U1037" i="11"/>
  <c r="U1038" i="11"/>
  <c r="U1039" i="11"/>
  <c r="U1040" i="11"/>
  <c r="U1041" i="11"/>
  <c r="U1042" i="11"/>
  <c r="U1043" i="11"/>
  <c r="U1044" i="11"/>
  <c r="U1045" i="11"/>
  <c r="U1046" i="11"/>
  <c r="U1047" i="11"/>
  <c r="U1048" i="11"/>
  <c r="U1049" i="11"/>
  <c r="U1050" i="11"/>
  <c r="U1051" i="11"/>
  <c r="U1052" i="11"/>
  <c r="U1053" i="11"/>
  <c r="U1054" i="11"/>
  <c r="U1055" i="11"/>
  <c r="U1056" i="11"/>
  <c r="U1057" i="11"/>
  <c r="U1058" i="11"/>
  <c r="U1059" i="11"/>
  <c r="U1060" i="11"/>
  <c r="U1061" i="11"/>
  <c r="U1062" i="11"/>
  <c r="U1063" i="11"/>
  <c r="U1064" i="11"/>
  <c r="U1065" i="11"/>
  <c r="U1066" i="11"/>
  <c r="U1067" i="11"/>
  <c r="U1068" i="11"/>
  <c r="U1069" i="11"/>
  <c r="U1070" i="11"/>
  <c r="U1071" i="11"/>
  <c r="U1072" i="11"/>
  <c r="U1073" i="11"/>
  <c r="U1074" i="11"/>
  <c r="U1075" i="11"/>
  <c r="U1076" i="11"/>
  <c r="U1077" i="11"/>
  <c r="U1078" i="11"/>
  <c r="U1079" i="11"/>
  <c r="U1080" i="11"/>
  <c r="U1081" i="11"/>
  <c r="R3" i="11"/>
  <c r="S3" i="11" s="1"/>
  <c r="T3" i="11" s="1"/>
  <c r="R4" i="11"/>
  <c r="S4" i="11" s="1"/>
  <c r="T4" i="11" s="1"/>
  <c r="R5" i="11"/>
  <c r="S5" i="11" s="1"/>
  <c r="T5" i="11" s="1"/>
  <c r="R6" i="11"/>
  <c r="S6" i="11" s="1"/>
  <c r="T6" i="11" s="1"/>
  <c r="R7" i="11"/>
  <c r="S7" i="11" s="1"/>
  <c r="T7" i="11" s="1"/>
  <c r="R8" i="11"/>
  <c r="S8" i="11" s="1"/>
  <c r="T8" i="11" s="1"/>
  <c r="R9" i="11"/>
  <c r="S9" i="11" s="1"/>
  <c r="T9" i="11" s="1"/>
  <c r="R10" i="11"/>
  <c r="S10" i="11" s="1"/>
  <c r="T10" i="11" s="1"/>
  <c r="R11" i="11"/>
  <c r="S11" i="11" s="1"/>
  <c r="T11" i="11" s="1"/>
  <c r="R12" i="11"/>
  <c r="S12" i="11" s="1"/>
  <c r="T12" i="11" s="1"/>
  <c r="R13" i="11"/>
  <c r="S13" i="11" s="1"/>
  <c r="T13" i="11" s="1"/>
  <c r="R14" i="11"/>
  <c r="S14" i="11" s="1"/>
  <c r="T14" i="11" s="1"/>
  <c r="R15" i="11"/>
  <c r="S15" i="11" s="1"/>
  <c r="T15" i="11" s="1"/>
  <c r="R16" i="11"/>
  <c r="S16" i="11" s="1"/>
  <c r="T16" i="11" s="1"/>
  <c r="R17" i="11"/>
  <c r="S17" i="11" s="1"/>
  <c r="T17" i="11" s="1"/>
  <c r="R18" i="11"/>
  <c r="S18" i="11" s="1"/>
  <c r="T18" i="11" s="1"/>
  <c r="R19" i="11"/>
  <c r="S19" i="11" s="1"/>
  <c r="T19" i="11" s="1"/>
  <c r="R20" i="11"/>
  <c r="S20" i="11" s="1"/>
  <c r="T20" i="11" s="1"/>
  <c r="R21" i="11"/>
  <c r="S21" i="11" s="1"/>
  <c r="T21" i="11" s="1"/>
  <c r="R22" i="11"/>
  <c r="S22" i="11" s="1"/>
  <c r="T22" i="11" s="1"/>
  <c r="R23" i="11"/>
  <c r="S23" i="11" s="1"/>
  <c r="T23" i="11" s="1"/>
  <c r="R24" i="11"/>
  <c r="S24" i="11" s="1"/>
  <c r="T24" i="11" s="1"/>
  <c r="R25" i="11"/>
  <c r="S25" i="11" s="1"/>
  <c r="T25" i="11" s="1"/>
  <c r="R26" i="11"/>
  <c r="S26" i="11" s="1"/>
  <c r="T26" i="11" s="1"/>
  <c r="R27" i="11"/>
  <c r="S27" i="11" s="1"/>
  <c r="T27" i="11" s="1"/>
  <c r="R28" i="11"/>
  <c r="S28" i="11" s="1"/>
  <c r="T28" i="11" s="1"/>
  <c r="R29" i="11"/>
  <c r="S29" i="11" s="1"/>
  <c r="T29" i="11" s="1"/>
  <c r="R30" i="11"/>
  <c r="S30" i="11" s="1"/>
  <c r="T30" i="11" s="1"/>
  <c r="R31" i="11"/>
  <c r="S31" i="11" s="1"/>
  <c r="T31" i="11" s="1"/>
  <c r="R32" i="11"/>
  <c r="S32" i="11" s="1"/>
  <c r="T32" i="11" s="1"/>
  <c r="R33" i="11"/>
  <c r="S33" i="11" s="1"/>
  <c r="T33" i="11" s="1"/>
  <c r="R34" i="11"/>
  <c r="S34" i="11" s="1"/>
  <c r="T34" i="11" s="1"/>
  <c r="R35" i="11"/>
  <c r="S35" i="11" s="1"/>
  <c r="T35" i="11" s="1"/>
  <c r="R36" i="11"/>
  <c r="S36" i="11" s="1"/>
  <c r="T36" i="11" s="1"/>
  <c r="R37" i="11"/>
  <c r="S37" i="11" s="1"/>
  <c r="T37" i="11" s="1"/>
  <c r="R38" i="11"/>
  <c r="S38" i="11" s="1"/>
  <c r="T38" i="11" s="1"/>
  <c r="R39" i="11"/>
  <c r="S39" i="11" s="1"/>
  <c r="T39" i="11" s="1"/>
  <c r="R40" i="11"/>
  <c r="S40" i="11" s="1"/>
  <c r="T40" i="11" s="1"/>
  <c r="R41" i="11"/>
  <c r="S41" i="11" s="1"/>
  <c r="T41" i="11" s="1"/>
  <c r="R42" i="11"/>
  <c r="S42" i="11" s="1"/>
  <c r="T42" i="11" s="1"/>
  <c r="R43" i="11"/>
  <c r="S43" i="11" s="1"/>
  <c r="T43" i="11" s="1"/>
  <c r="R44" i="11"/>
  <c r="S44" i="11" s="1"/>
  <c r="T44" i="11" s="1"/>
  <c r="R45" i="11"/>
  <c r="S45" i="11" s="1"/>
  <c r="T45" i="11" s="1"/>
  <c r="R46" i="11"/>
  <c r="S46" i="11" s="1"/>
  <c r="T46" i="11" s="1"/>
  <c r="R47" i="11"/>
  <c r="S47" i="11" s="1"/>
  <c r="T47" i="11" s="1"/>
  <c r="R48" i="11"/>
  <c r="S48" i="11" s="1"/>
  <c r="T48" i="11" s="1"/>
  <c r="R49" i="11"/>
  <c r="S49" i="11" s="1"/>
  <c r="T49" i="11" s="1"/>
  <c r="R50" i="11"/>
  <c r="S50" i="11" s="1"/>
  <c r="T50" i="11" s="1"/>
  <c r="R51" i="11"/>
  <c r="S51" i="11" s="1"/>
  <c r="T51" i="11" s="1"/>
  <c r="R52" i="11"/>
  <c r="S52" i="11" s="1"/>
  <c r="T52" i="11" s="1"/>
  <c r="R53" i="11"/>
  <c r="S53" i="11" s="1"/>
  <c r="T53" i="11" s="1"/>
  <c r="R54" i="11"/>
  <c r="S54" i="11" s="1"/>
  <c r="T54" i="11" s="1"/>
  <c r="R55" i="11"/>
  <c r="S55" i="11" s="1"/>
  <c r="T55" i="11" s="1"/>
  <c r="R56" i="11"/>
  <c r="S56" i="11" s="1"/>
  <c r="T56" i="11" s="1"/>
  <c r="R57" i="11"/>
  <c r="S57" i="11" s="1"/>
  <c r="T57" i="11" s="1"/>
  <c r="R58" i="11"/>
  <c r="S58" i="11" s="1"/>
  <c r="T58" i="11" s="1"/>
  <c r="R59" i="11"/>
  <c r="S59" i="11" s="1"/>
  <c r="T59" i="11" s="1"/>
  <c r="R60" i="11"/>
  <c r="S60" i="11" s="1"/>
  <c r="T60" i="11" s="1"/>
  <c r="R61" i="11"/>
  <c r="S61" i="11" s="1"/>
  <c r="T61" i="11" s="1"/>
  <c r="R62" i="11"/>
  <c r="S62" i="11" s="1"/>
  <c r="T62" i="11" s="1"/>
  <c r="R63" i="11"/>
  <c r="S63" i="11" s="1"/>
  <c r="T63" i="11" s="1"/>
  <c r="R64" i="11"/>
  <c r="S64" i="11" s="1"/>
  <c r="T64" i="11" s="1"/>
  <c r="R65" i="11"/>
  <c r="S65" i="11" s="1"/>
  <c r="T65" i="11" s="1"/>
  <c r="R66" i="11"/>
  <c r="S66" i="11" s="1"/>
  <c r="T66" i="11" s="1"/>
  <c r="R67" i="11"/>
  <c r="S67" i="11" s="1"/>
  <c r="T67" i="11" s="1"/>
  <c r="R68" i="11"/>
  <c r="S68" i="11" s="1"/>
  <c r="T68" i="11" s="1"/>
  <c r="R69" i="11"/>
  <c r="S69" i="11" s="1"/>
  <c r="T69" i="11" s="1"/>
  <c r="R70" i="11"/>
  <c r="S70" i="11" s="1"/>
  <c r="T70" i="11" s="1"/>
  <c r="R71" i="11"/>
  <c r="S71" i="11" s="1"/>
  <c r="T71" i="11" s="1"/>
  <c r="R72" i="11"/>
  <c r="S72" i="11" s="1"/>
  <c r="T72" i="11" s="1"/>
  <c r="R73" i="11"/>
  <c r="S73" i="11" s="1"/>
  <c r="T73" i="11" s="1"/>
  <c r="R74" i="11"/>
  <c r="S74" i="11" s="1"/>
  <c r="T74" i="11" s="1"/>
  <c r="R75" i="11"/>
  <c r="S75" i="11" s="1"/>
  <c r="T75" i="11" s="1"/>
  <c r="R76" i="11"/>
  <c r="S76" i="11" s="1"/>
  <c r="T76" i="11" s="1"/>
  <c r="R77" i="11"/>
  <c r="S77" i="11" s="1"/>
  <c r="T77" i="11" s="1"/>
  <c r="R78" i="11"/>
  <c r="S78" i="11" s="1"/>
  <c r="T78" i="11" s="1"/>
  <c r="R79" i="11"/>
  <c r="S79" i="11" s="1"/>
  <c r="T79" i="11" s="1"/>
  <c r="R80" i="11"/>
  <c r="S80" i="11" s="1"/>
  <c r="T80" i="11" s="1"/>
  <c r="R81" i="11"/>
  <c r="S81" i="11" s="1"/>
  <c r="T81" i="11" s="1"/>
  <c r="R82" i="11"/>
  <c r="S82" i="11" s="1"/>
  <c r="T82" i="11" s="1"/>
  <c r="R83" i="11"/>
  <c r="S83" i="11" s="1"/>
  <c r="T83" i="11" s="1"/>
  <c r="R84" i="11"/>
  <c r="S84" i="11" s="1"/>
  <c r="T84" i="11" s="1"/>
  <c r="R85" i="11"/>
  <c r="S85" i="11" s="1"/>
  <c r="T85" i="11" s="1"/>
  <c r="R86" i="11"/>
  <c r="S86" i="11" s="1"/>
  <c r="T86" i="11" s="1"/>
  <c r="R87" i="11"/>
  <c r="S87" i="11" s="1"/>
  <c r="T87" i="11" s="1"/>
  <c r="R88" i="11"/>
  <c r="S88" i="11" s="1"/>
  <c r="T88" i="11" s="1"/>
  <c r="R89" i="11"/>
  <c r="S89" i="11" s="1"/>
  <c r="T89" i="11" s="1"/>
  <c r="R90" i="11"/>
  <c r="S90" i="11" s="1"/>
  <c r="T90" i="11" s="1"/>
  <c r="R91" i="11"/>
  <c r="S91" i="11" s="1"/>
  <c r="T91" i="11" s="1"/>
  <c r="R92" i="11"/>
  <c r="S92" i="11" s="1"/>
  <c r="T92" i="11" s="1"/>
  <c r="R93" i="11"/>
  <c r="S93" i="11" s="1"/>
  <c r="T93" i="11" s="1"/>
  <c r="R94" i="11"/>
  <c r="S94" i="11" s="1"/>
  <c r="T94" i="11" s="1"/>
  <c r="R95" i="11"/>
  <c r="S95" i="11" s="1"/>
  <c r="T95" i="11" s="1"/>
  <c r="R96" i="11"/>
  <c r="S96" i="11" s="1"/>
  <c r="T96" i="11" s="1"/>
  <c r="R97" i="11"/>
  <c r="S97" i="11" s="1"/>
  <c r="T97" i="11" s="1"/>
  <c r="R98" i="11"/>
  <c r="S98" i="11" s="1"/>
  <c r="T98" i="11" s="1"/>
  <c r="R99" i="11"/>
  <c r="S99" i="11" s="1"/>
  <c r="T99" i="11" s="1"/>
  <c r="R100" i="11"/>
  <c r="S100" i="11" s="1"/>
  <c r="T100" i="11" s="1"/>
  <c r="R101" i="11"/>
  <c r="S101" i="11" s="1"/>
  <c r="T101" i="11" s="1"/>
  <c r="R102" i="11"/>
  <c r="S102" i="11" s="1"/>
  <c r="T102" i="11" s="1"/>
  <c r="R103" i="11"/>
  <c r="S103" i="11" s="1"/>
  <c r="T103" i="11" s="1"/>
  <c r="R104" i="11"/>
  <c r="S104" i="11" s="1"/>
  <c r="T104" i="11" s="1"/>
  <c r="R105" i="11"/>
  <c r="S105" i="11" s="1"/>
  <c r="T105" i="11" s="1"/>
  <c r="R106" i="11"/>
  <c r="S106" i="11" s="1"/>
  <c r="T106" i="11" s="1"/>
  <c r="R107" i="11"/>
  <c r="S107" i="11" s="1"/>
  <c r="T107" i="11" s="1"/>
  <c r="R108" i="11"/>
  <c r="S108" i="11" s="1"/>
  <c r="T108" i="11" s="1"/>
  <c r="R109" i="11"/>
  <c r="S109" i="11" s="1"/>
  <c r="T109" i="11" s="1"/>
  <c r="R110" i="11"/>
  <c r="S110" i="11" s="1"/>
  <c r="T110" i="11" s="1"/>
  <c r="R111" i="11"/>
  <c r="S111" i="11" s="1"/>
  <c r="T111" i="11" s="1"/>
  <c r="R112" i="11"/>
  <c r="S112" i="11" s="1"/>
  <c r="T112" i="11" s="1"/>
  <c r="R113" i="11"/>
  <c r="S113" i="11" s="1"/>
  <c r="T113" i="11" s="1"/>
  <c r="R114" i="11"/>
  <c r="S114" i="11" s="1"/>
  <c r="T114" i="11" s="1"/>
  <c r="R115" i="11"/>
  <c r="S115" i="11" s="1"/>
  <c r="T115" i="11" s="1"/>
  <c r="R116" i="11"/>
  <c r="S116" i="11" s="1"/>
  <c r="T116" i="11" s="1"/>
  <c r="R117" i="11"/>
  <c r="S117" i="11" s="1"/>
  <c r="T117" i="11" s="1"/>
  <c r="R118" i="11"/>
  <c r="S118" i="11" s="1"/>
  <c r="T118" i="11" s="1"/>
  <c r="R119" i="11"/>
  <c r="S119" i="11" s="1"/>
  <c r="T119" i="11" s="1"/>
  <c r="R120" i="11"/>
  <c r="S120" i="11" s="1"/>
  <c r="T120" i="11" s="1"/>
  <c r="R121" i="11"/>
  <c r="S121" i="11" s="1"/>
  <c r="T121" i="11" s="1"/>
  <c r="R122" i="11"/>
  <c r="S122" i="11" s="1"/>
  <c r="T122" i="11" s="1"/>
  <c r="R123" i="11"/>
  <c r="S123" i="11" s="1"/>
  <c r="T123" i="11" s="1"/>
  <c r="R124" i="11"/>
  <c r="S124" i="11" s="1"/>
  <c r="T124" i="11" s="1"/>
  <c r="R125" i="11"/>
  <c r="S125" i="11" s="1"/>
  <c r="T125" i="11" s="1"/>
  <c r="R126" i="11"/>
  <c r="S126" i="11" s="1"/>
  <c r="T126" i="11" s="1"/>
  <c r="R127" i="11"/>
  <c r="S127" i="11" s="1"/>
  <c r="T127" i="11" s="1"/>
  <c r="R128" i="11"/>
  <c r="S128" i="11" s="1"/>
  <c r="T128" i="11" s="1"/>
  <c r="R129" i="11"/>
  <c r="S129" i="11" s="1"/>
  <c r="T129" i="11" s="1"/>
  <c r="R130" i="11"/>
  <c r="S130" i="11" s="1"/>
  <c r="T130" i="11" s="1"/>
  <c r="R131" i="11"/>
  <c r="S131" i="11" s="1"/>
  <c r="T131" i="11" s="1"/>
  <c r="R132" i="11"/>
  <c r="S132" i="11" s="1"/>
  <c r="T132" i="11" s="1"/>
  <c r="R133" i="11"/>
  <c r="S133" i="11" s="1"/>
  <c r="T133" i="11" s="1"/>
  <c r="R134" i="11"/>
  <c r="S134" i="11" s="1"/>
  <c r="T134" i="11" s="1"/>
  <c r="R135" i="11"/>
  <c r="S135" i="11" s="1"/>
  <c r="T135" i="11" s="1"/>
  <c r="R136" i="11"/>
  <c r="S136" i="11" s="1"/>
  <c r="T136" i="11" s="1"/>
  <c r="R137" i="11"/>
  <c r="S137" i="11" s="1"/>
  <c r="T137" i="11" s="1"/>
  <c r="R138" i="11"/>
  <c r="S138" i="11" s="1"/>
  <c r="T138" i="11" s="1"/>
  <c r="R139" i="11"/>
  <c r="S139" i="11" s="1"/>
  <c r="T139" i="11" s="1"/>
  <c r="R140" i="11"/>
  <c r="S140" i="11" s="1"/>
  <c r="T140" i="11" s="1"/>
  <c r="R141" i="11"/>
  <c r="S141" i="11" s="1"/>
  <c r="T141" i="11" s="1"/>
  <c r="R142" i="11"/>
  <c r="S142" i="11" s="1"/>
  <c r="T142" i="11" s="1"/>
  <c r="R143" i="11"/>
  <c r="S143" i="11" s="1"/>
  <c r="T143" i="11" s="1"/>
  <c r="R144" i="11"/>
  <c r="S144" i="11" s="1"/>
  <c r="T144" i="11" s="1"/>
  <c r="R145" i="11"/>
  <c r="S145" i="11" s="1"/>
  <c r="T145" i="11" s="1"/>
  <c r="R146" i="11"/>
  <c r="S146" i="11" s="1"/>
  <c r="T146" i="11" s="1"/>
  <c r="R147" i="11"/>
  <c r="S147" i="11" s="1"/>
  <c r="T147" i="11" s="1"/>
  <c r="R148" i="11"/>
  <c r="S148" i="11" s="1"/>
  <c r="T148" i="11" s="1"/>
  <c r="R149" i="11"/>
  <c r="S149" i="11" s="1"/>
  <c r="T149" i="11" s="1"/>
  <c r="R150" i="11"/>
  <c r="S150" i="11" s="1"/>
  <c r="T150" i="11" s="1"/>
  <c r="R151" i="11"/>
  <c r="S151" i="11" s="1"/>
  <c r="T151" i="11" s="1"/>
  <c r="R152" i="11"/>
  <c r="S152" i="11" s="1"/>
  <c r="T152" i="11" s="1"/>
  <c r="R153" i="11"/>
  <c r="S153" i="11" s="1"/>
  <c r="T153" i="11" s="1"/>
  <c r="R154" i="11"/>
  <c r="S154" i="11" s="1"/>
  <c r="T154" i="11" s="1"/>
  <c r="R155" i="11"/>
  <c r="S155" i="11" s="1"/>
  <c r="T155" i="11" s="1"/>
  <c r="R156" i="11"/>
  <c r="S156" i="11" s="1"/>
  <c r="T156" i="11" s="1"/>
  <c r="R157" i="11"/>
  <c r="S157" i="11" s="1"/>
  <c r="T157" i="11" s="1"/>
  <c r="R158" i="11"/>
  <c r="S158" i="11" s="1"/>
  <c r="T158" i="11" s="1"/>
  <c r="R159" i="11"/>
  <c r="S159" i="11" s="1"/>
  <c r="T159" i="11" s="1"/>
  <c r="R160" i="11"/>
  <c r="S160" i="11" s="1"/>
  <c r="T160" i="11" s="1"/>
  <c r="R161" i="11"/>
  <c r="S161" i="11" s="1"/>
  <c r="T161" i="11" s="1"/>
  <c r="R162" i="11"/>
  <c r="S162" i="11" s="1"/>
  <c r="T162" i="11" s="1"/>
  <c r="R163" i="11"/>
  <c r="S163" i="11" s="1"/>
  <c r="T163" i="11" s="1"/>
  <c r="R164" i="11"/>
  <c r="S164" i="11" s="1"/>
  <c r="T164" i="11" s="1"/>
  <c r="R165" i="11"/>
  <c r="S165" i="11" s="1"/>
  <c r="T165" i="11" s="1"/>
  <c r="R166" i="11"/>
  <c r="S166" i="11" s="1"/>
  <c r="T166" i="11" s="1"/>
  <c r="R167" i="11"/>
  <c r="S167" i="11" s="1"/>
  <c r="T167" i="11" s="1"/>
  <c r="R168" i="11"/>
  <c r="S168" i="11" s="1"/>
  <c r="T168" i="11" s="1"/>
  <c r="R169" i="11"/>
  <c r="S169" i="11" s="1"/>
  <c r="T169" i="11" s="1"/>
  <c r="R170" i="11"/>
  <c r="S170" i="11" s="1"/>
  <c r="T170" i="11" s="1"/>
  <c r="R171" i="11"/>
  <c r="S171" i="11" s="1"/>
  <c r="T171" i="11" s="1"/>
  <c r="R172" i="11"/>
  <c r="S172" i="11" s="1"/>
  <c r="T172" i="11" s="1"/>
  <c r="R173" i="11"/>
  <c r="S173" i="11" s="1"/>
  <c r="T173" i="11" s="1"/>
  <c r="R174" i="11"/>
  <c r="S174" i="11" s="1"/>
  <c r="T174" i="11" s="1"/>
  <c r="R175" i="11"/>
  <c r="S175" i="11" s="1"/>
  <c r="T175" i="11" s="1"/>
  <c r="R176" i="11"/>
  <c r="S176" i="11" s="1"/>
  <c r="T176" i="11" s="1"/>
  <c r="R177" i="11"/>
  <c r="S177" i="11" s="1"/>
  <c r="T177" i="11" s="1"/>
  <c r="R178" i="11"/>
  <c r="S178" i="11" s="1"/>
  <c r="T178" i="11" s="1"/>
  <c r="R179" i="11"/>
  <c r="S179" i="11" s="1"/>
  <c r="T179" i="11" s="1"/>
  <c r="R180" i="11"/>
  <c r="S180" i="11" s="1"/>
  <c r="T180" i="11" s="1"/>
  <c r="R181" i="11"/>
  <c r="S181" i="11" s="1"/>
  <c r="T181" i="11" s="1"/>
  <c r="R182" i="11"/>
  <c r="S182" i="11" s="1"/>
  <c r="T182" i="11" s="1"/>
  <c r="R183" i="11"/>
  <c r="S183" i="11" s="1"/>
  <c r="T183" i="11" s="1"/>
  <c r="R184" i="11"/>
  <c r="S184" i="11" s="1"/>
  <c r="T184" i="11" s="1"/>
  <c r="R185" i="11"/>
  <c r="S185" i="11" s="1"/>
  <c r="T185" i="11" s="1"/>
  <c r="R186" i="11"/>
  <c r="S186" i="11" s="1"/>
  <c r="T186" i="11" s="1"/>
  <c r="R187" i="11"/>
  <c r="S187" i="11" s="1"/>
  <c r="T187" i="11" s="1"/>
  <c r="R188" i="11"/>
  <c r="S188" i="11" s="1"/>
  <c r="T188" i="11" s="1"/>
  <c r="R189" i="11"/>
  <c r="S189" i="11" s="1"/>
  <c r="T189" i="11" s="1"/>
  <c r="R190" i="11"/>
  <c r="S190" i="11" s="1"/>
  <c r="T190" i="11" s="1"/>
  <c r="R191" i="11"/>
  <c r="S191" i="11" s="1"/>
  <c r="T191" i="11" s="1"/>
  <c r="R192" i="11"/>
  <c r="S192" i="11" s="1"/>
  <c r="T192" i="11" s="1"/>
  <c r="R193" i="11"/>
  <c r="S193" i="11" s="1"/>
  <c r="T193" i="11" s="1"/>
  <c r="R194" i="11"/>
  <c r="S194" i="11" s="1"/>
  <c r="T194" i="11" s="1"/>
  <c r="R195" i="11"/>
  <c r="S195" i="11" s="1"/>
  <c r="T195" i="11" s="1"/>
  <c r="R196" i="11"/>
  <c r="S196" i="11" s="1"/>
  <c r="T196" i="11" s="1"/>
  <c r="R197" i="11"/>
  <c r="S197" i="11" s="1"/>
  <c r="T197" i="11" s="1"/>
  <c r="R198" i="11"/>
  <c r="S198" i="11" s="1"/>
  <c r="T198" i="11" s="1"/>
  <c r="R199" i="11"/>
  <c r="S199" i="11" s="1"/>
  <c r="T199" i="11" s="1"/>
  <c r="R200" i="11"/>
  <c r="S200" i="11" s="1"/>
  <c r="T200" i="11" s="1"/>
  <c r="R201" i="11"/>
  <c r="S201" i="11" s="1"/>
  <c r="T201" i="11" s="1"/>
  <c r="R202" i="11"/>
  <c r="S202" i="11" s="1"/>
  <c r="T202" i="11" s="1"/>
  <c r="R203" i="11"/>
  <c r="S203" i="11" s="1"/>
  <c r="T203" i="11" s="1"/>
  <c r="R204" i="11"/>
  <c r="S204" i="11" s="1"/>
  <c r="T204" i="11" s="1"/>
  <c r="R205" i="11"/>
  <c r="S205" i="11" s="1"/>
  <c r="T205" i="11" s="1"/>
  <c r="R206" i="11"/>
  <c r="S206" i="11" s="1"/>
  <c r="T206" i="11" s="1"/>
  <c r="R207" i="11"/>
  <c r="S207" i="11" s="1"/>
  <c r="T207" i="11" s="1"/>
  <c r="R208" i="11"/>
  <c r="S208" i="11" s="1"/>
  <c r="T208" i="11" s="1"/>
  <c r="R209" i="11"/>
  <c r="S209" i="11" s="1"/>
  <c r="T209" i="11" s="1"/>
  <c r="R210" i="11"/>
  <c r="S210" i="11" s="1"/>
  <c r="T210" i="11" s="1"/>
  <c r="R211" i="11"/>
  <c r="S211" i="11" s="1"/>
  <c r="T211" i="11" s="1"/>
  <c r="R212" i="11"/>
  <c r="S212" i="11" s="1"/>
  <c r="T212" i="11" s="1"/>
  <c r="R213" i="11"/>
  <c r="S213" i="11" s="1"/>
  <c r="T213" i="11" s="1"/>
  <c r="R214" i="11"/>
  <c r="S214" i="11" s="1"/>
  <c r="T214" i="11" s="1"/>
  <c r="R215" i="11"/>
  <c r="S215" i="11" s="1"/>
  <c r="T215" i="11" s="1"/>
  <c r="R216" i="11"/>
  <c r="S216" i="11" s="1"/>
  <c r="T216" i="11" s="1"/>
  <c r="R217" i="11"/>
  <c r="S217" i="11" s="1"/>
  <c r="T217" i="11" s="1"/>
  <c r="R218" i="11"/>
  <c r="S218" i="11" s="1"/>
  <c r="T218" i="11" s="1"/>
  <c r="R219" i="11"/>
  <c r="S219" i="11" s="1"/>
  <c r="T219" i="11" s="1"/>
  <c r="R220" i="11"/>
  <c r="S220" i="11" s="1"/>
  <c r="T220" i="11" s="1"/>
  <c r="R221" i="11"/>
  <c r="S221" i="11" s="1"/>
  <c r="T221" i="11" s="1"/>
  <c r="R222" i="11"/>
  <c r="S222" i="11" s="1"/>
  <c r="T222" i="11" s="1"/>
  <c r="R223" i="11"/>
  <c r="S223" i="11" s="1"/>
  <c r="T223" i="11" s="1"/>
  <c r="R224" i="11"/>
  <c r="S224" i="11" s="1"/>
  <c r="T224" i="11" s="1"/>
  <c r="R225" i="11"/>
  <c r="S225" i="11" s="1"/>
  <c r="T225" i="11" s="1"/>
  <c r="R226" i="11"/>
  <c r="S226" i="11" s="1"/>
  <c r="T226" i="11" s="1"/>
  <c r="R227" i="11"/>
  <c r="S227" i="11" s="1"/>
  <c r="T227" i="11" s="1"/>
  <c r="R228" i="11"/>
  <c r="S228" i="11" s="1"/>
  <c r="T228" i="11" s="1"/>
  <c r="R229" i="11"/>
  <c r="S229" i="11" s="1"/>
  <c r="T229" i="11" s="1"/>
  <c r="R230" i="11"/>
  <c r="S230" i="11" s="1"/>
  <c r="T230" i="11" s="1"/>
  <c r="R231" i="11"/>
  <c r="S231" i="11" s="1"/>
  <c r="T231" i="11" s="1"/>
  <c r="R232" i="11"/>
  <c r="S232" i="11" s="1"/>
  <c r="T232" i="11" s="1"/>
  <c r="R233" i="11"/>
  <c r="S233" i="11" s="1"/>
  <c r="T233" i="11" s="1"/>
  <c r="R234" i="11"/>
  <c r="S234" i="11" s="1"/>
  <c r="T234" i="11" s="1"/>
  <c r="R235" i="11"/>
  <c r="S235" i="11" s="1"/>
  <c r="T235" i="11" s="1"/>
  <c r="R236" i="11"/>
  <c r="S236" i="11" s="1"/>
  <c r="T236" i="11" s="1"/>
  <c r="R237" i="11"/>
  <c r="S237" i="11" s="1"/>
  <c r="T237" i="11" s="1"/>
  <c r="R238" i="11"/>
  <c r="S238" i="11" s="1"/>
  <c r="T238" i="11" s="1"/>
  <c r="R239" i="11"/>
  <c r="S239" i="11" s="1"/>
  <c r="T239" i="11" s="1"/>
  <c r="R240" i="11"/>
  <c r="S240" i="11" s="1"/>
  <c r="T240" i="11" s="1"/>
  <c r="R241" i="11"/>
  <c r="S241" i="11" s="1"/>
  <c r="T241" i="11" s="1"/>
  <c r="R242" i="11"/>
  <c r="S242" i="11" s="1"/>
  <c r="T242" i="11" s="1"/>
  <c r="R243" i="11"/>
  <c r="S243" i="11" s="1"/>
  <c r="T243" i="11" s="1"/>
  <c r="R244" i="11"/>
  <c r="S244" i="11" s="1"/>
  <c r="T244" i="11" s="1"/>
  <c r="R245" i="11"/>
  <c r="S245" i="11" s="1"/>
  <c r="T245" i="11" s="1"/>
  <c r="R246" i="11"/>
  <c r="S246" i="11" s="1"/>
  <c r="T246" i="11" s="1"/>
  <c r="R247" i="11"/>
  <c r="S247" i="11" s="1"/>
  <c r="T247" i="11" s="1"/>
  <c r="R248" i="11"/>
  <c r="S248" i="11" s="1"/>
  <c r="T248" i="11" s="1"/>
  <c r="R249" i="11"/>
  <c r="S249" i="11" s="1"/>
  <c r="T249" i="11" s="1"/>
  <c r="R250" i="11"/>
  <c r="S250" i="11" s="1"/>
  <c r="T250" i="11" s="1"/>
  <c r="R251" i="11"/>
  <c r="S251" i="11" s="1"/>
  <c r="T251" i="11" s="1"/>
  <c r="R252" i="11"/>
  <c r="S252" i="11" s="1"/>
  <c r="T252" i="11" s="1"/>
  <c r="R253" i="11"/>
  <c r="S253" i="11" s="1"/>
  <c r="T253" i="11" s="1"/>
  <c r="R254" i="11"/>
  <c r="S254" i="11" s="1"/>
  <c r="T254" i="11" s="1"/>
  <c r="R255" i="11"/>
  <c r="S255" i="11" s="1"/>
  <c r="T255" i="11" s="1"/>
  <c r="R256" i="11"/>
  <c r="S256" i="11" s="1"/>
  <c r="T256" i="11" s="1"/>
  <c r="R257" i="11"/>
  <c r="S257" i="11" s="1"/>
  <c r="T257" i="11" s="1"/>
  <c r="R258" i="11"/>
  <c r="S258" i="11" s="1"/>
  <c r="T258" i="11" s="1"/>
  <c r="R259" i="11"/>
  <c r="S259" i="11" s="1"/>
  <c r="T259" i="11" s="1"/>
  <c r="R260" i="11"/>
  <c r="S260" i="11" s="1"/>
  <c r="T260" i="11" s="1"/>
  <c r="R261" i="11"/>
  <c r="S261" i="11" s="1"/>
  <c r="T261" i="11" s="1"/>
  <c r="R262" i="11"/>
  <c r="S262" i="11" s="1"/>
  <c r="T262" i="11" s="1"/>
  <c r="R263" i="11"/>
  <c r="S263" i="11" s="1"/>
  <c r="T263" i="11" s="1"/>
  <c r="R264" i="11"/>
  <c r="S264" i="11" s="1"/>
  <c r="T264" i="11" s="1"/>
  <c r="R265" i="11"/>
  <c r="S265" i="11" s="1"/>
  <c r="T265" i="11" s="1"/>
  <c r="R266" i="11"/>
  <c r="S266" i="11" s="1"/>
  <c r="T266" i="11" s="1"/>
  <c r="R267" i="11"/>
  <c r="S267" i="11" s="1"/>
  <c r="T267" i="11" s="1"/>
  <c r="R268" i="11"/>
  <c r="S268" i="11" s="1"/>
  <c r="T268" i="11" s="1"/>
  <c r="R269" i="11"/>
  <c r="S269" i="11" s="1"/>
  <c r="T269" i="11" s="1"/>
  <c r="R270" i="11"/>
  <c r="S270" i="11" s="1"/>
  <c r="T270" i="11" s="1"/>
  <c r="R271" i="11"/>
  <c r="S271" i="11" s="1"/>
  <c r="T271" i="11" s="1"/>
  <c r="R272" i="11"/>
  <c r="S272" i="11" s="1"/>
  <c r="T272" i="11" s="1"/>
  <c r="R273" i="11"/>
  <c r="S273" i="11" s="1"/>
  <c r="T273" i="11" s="1"/>
  <c r="R274" i="11"/>
  <c r="S274" i="11" s="1"/>
  <c r="T274" i="11" s="1"/>
  <c r="R275" i="11"/>
  <c r="S275" i="11" s="1"/>
  <c r="T275" i="11" s="1"/>
  <c r="R276" i="11"/>
  <c r="S276" i="11" s="1"/>
  <c r="T276" i="11" s="1"/>
  <c r="R277" i="11"/>
  <c r="S277" i="11" s="1"/>
  <c r="T277" i="11" s="1"/>
  <c r="R278" i="11"/>
  <c r="S278" i="11" s="1"/>
  <c r="T278" i="11" s="1"/>
  <c r="R279" i="11"/>
  <c r="S279" i="11" s="1"/>
  <c r="T279" i="11" s="1"/>
  <c r="R280" i="11"/>
  <c r="S280" i="11" s="1"/>
  <c r="T280" i="11" s="1"/>
  <c r="R281" i="11"/>
  <c r="S281" i="11" s="1"/>
  <c r="T281" i="11" s="1"/>
  <c r="R282" i="11"/>
  <c r="S282" i="11" s="1"/>
  <c r="T282" i="11" s="1"/>
  <c r="R283" i="11"/>
  <c r="S283" i="11" s="1"/>
  <c r="T283" i="11" s="1"/>
  <c r="R284" i="11"/>
  <c r="S284" i="11" s="1"/>
  <c r="T284" i="11" s="1"/>
  <c r="R285" i="11"/>
  <c r="S285" i="11" s="1"/>
  <c r="T285" i="11" s="1"/>
  <c r="R286" i="11"/>
  <c r="S286" i="11" s="1"/>
  <c r="T286" i="11" s="1"/>
  <c r="R287" i="11"/>
  <c r="S287" i="11" s="1"/>
  <c r="T287" i="11" s="1"/>
  <c r="R288" i="11"/>
  <c r="S288" i="11" s="1"/>
  <c r="T288" i="11" s="1"/>
  <c r="R289" i="11"/>
  <c r="S289" i="11" s="1"/>
  <c r="T289" i="11" s="1"/>
  <c r="R290" i="11"/>
  <c r="S290" i="11" s="1"/>
  <c r="T290" i="11" s="1"/>
  <c r="R291" i="11"/>
  <c r="S291" i="11" s="1"/>
  <c r="T291" i="11" s="1"/>
  <c r="R292" i="11"/>
  <c r="S292" i="11" s="1"/>
  <c r="T292" i="11" s="1"/>
  <c r="R293" i="11"/>
  <c r="S293" i="11" s="1"/>
  <c r="T293" i="11" s="1"/>
  <c r="R294" i="11"/>
  <c r="S294" i="11" s="1"/>
  <c r="T294" i="11" s="1"/>
  <c r="R295" i="11"/>
  <c r="S295" i="11" s="1"/>
  <c r="T295" i="11" s="1"/>
  <c r="R296" i="11"/>
  <c r="S296" i="11" s="1"/>
  <c r="T296" i="11" s="1"/>
  <c r="R297" i="11"/>
  <c r="S297" i="11" s="1"/>
  <c r="T297" i="11" s="1"/>
  <c r="R298" i="11"/>
  <c r="S298" i="11" s="1"/>
  <c r="T298" i="11" s="1"/>
  <c r="R299" i="11"/>
  <c r="S299" i="11" s="1"/>
  <c r="T299" i="11" s="1"/>
  <c r="R300" i="11"/>
  <c r="S300" i="11" s="1"/>
  <c r="T300" i="11" s="1"/>
  <c r="R301" i="11"/>
  <c r="S301" i="11" s="1"/>
  <c r="T301" i="11" s="1"/>
  <c r="R302" i="11"/>
  <c r="S302" i="11" s="1"/>
  <c r="T302" i="11" s="1"/>
  <c r="R303" i="11"/>
  <c r="S303" i="11" s="1"/>
  <c r="T303" i="11" s="1"/>
  <c r="R304" i="11"/>
  <c r="S304" i="11" s="1"/>
  <c r="T304" i="11" s="1"/>
  <c r="R305" i="11"/>
  <c r="S305" i="11" s="1"/>
  <c r="T305" i="11" s="1"/>
  <c r="R306" i="11"/>
  <c r="S306" i="11" s="1"/>
  <c r="T306" i="11" s="1"/>
  <c r="R307" i="11"/>
  <c r="S307" i="11" s="1"/>
  <c r="T307" i="11" s="1"/>
  <c r="R308" i="11"/>
  <c r="S308" i="11" s="1"/>
  <c r="T308" i="11" s="1"/>
  <c r="R309" i="11"/>
  <c r="S309" i="11" s="1"/>
  <c r="T309" i="11" s="1"/>
  <c r="R310" i="11"/>
  <c r="S310" i="11" s="1"/>
  <c r="T310" i="11" s="1"/>
  <c r="R311" i="11"/>
  <c r="S311" i="11" s="1"/>
  <c r="T311" i="11" s="1"/>
  <c r="R312" i="11"/>
  <c r="S312" i="11" s="1"/>
  <c r="T312" i="11" s="1"/>
  <c r="R313" i="11"/>
  <c r="S313" i="11" s="1"/>
  <c r="T313" i="11" s="1"/>
  <c r="R314" i="11"/>
  <c r="S314" i="11" s="1"/>
  <c r="T314" i="11" s="1"/>
  <c r="R315" i="11"/>
  <c r="S315" i="11" s="1"/>
  <c r="T315" i="11" s="1"/>
  <c r="R316" i="11"/>
  <c r="S316" i="11" s="1"/>
  <c r="T316" i="11" s="1"/>
  <c r="R317" i="11"/>
  <c r="S317" i="11" s="1"/>
  <c r="T317" i="11" s="1"/>
  <c r="R318" i="11"/>
  <c r="S318" i="11" s="1"/>
  <c r="T318" i="11" s="1"/>
  <c r="R319" i="11"/>
  <c r="S319" i="11" s="1"/>
  <c r="T319" i="11" s="1"/>
  <c r="R320" i="11"/>
  <c r="S320" i="11" s="1"/>
  <c r="T320" i="11" s="1"/>
  <c r="R321" i="11"/>
  <c r="S321" i="11" s="1"/>
  <c r="T321" i="11" s="1"/>
  <c r="R322" i="11"/>
  <c r="S322" i="11" s="1"/>
  <c r="T322" i="11" s="1"/>
  <c r="R323" i="11"/>
  <c r="S323" i="11" s="1"/>
  <c r="T323" i="11" s="1"/>
  <c r="R324" i="11"/>
  <c r="S324" i="11" s="1"/>
  <c r="T324" i="11" s="1"/>
  <c r="R325" i="11"/>
  <c r="S325" i="11" s="1"/>
  <c r="T325" i="11" s="1"/>
  <c r="R326" i="11"/>
  <c r="S326" i="11" s="1"/>
  <c r="T326" i="11" s="1"/>
  <c r="R327" i="11"/>
  <c r="S327" i="11" s="1"/>
  <c r="T327" i="11" s="1"/>
  <c r="R328" i="11"/>
  <c r="S328" i="11" s="1"/>
  <c r="T328" i="11" s="1"/>
  <c r="R329" i="11"/>
  <c r="S329" i="11" s="1"/>
  <c r="T329" i="11" s="1"/>
  <c r="R330" i="11"/>
  <c r="S330" i="11" s="1"/>
  <c r="T330" i="11" s="1"/>
  <c r="R331" i="11"/>
  <c r="S331" i="11" s="1"/>
  <c r="T331" i="11" s="1"/>
  <c r="R332" i="11"/>
  <c r="S332" i="11" s="1"/>
  <c r="T332" i="11" s="1"/>
  <c r="R333" i="11"/>
  <c r="S333" i="11" s="1"/>
  <c r="T333" i="11" s="1"/>
  <c r="R334" i="11"/>
  <c r="S334" i="11" s="1"/>
  <c r="T334" i="11" s="1"/>
  <c r="R335" i="11"/>
  <c r="S335" i="11" s="1"/>
  <c r="T335" i="11" s="1"/>
  <c r="R336" i="11"/>
  <c r="S336" i="11" s="1"/>
  <c r="T336" i="11" s="1"/>
  <c r="R337" i="11"/>
  <c r="S337" i="11" s="1"/>
  <c r="T337" i="11" s="1"/>
  <c r="R338" i="11"/>
  <c r="S338" i="11" s="1"/>
  <c r="T338" i="11" s="1"/>
  <c r="R339" i="11"/>
  <c r="S339" i="11" s="1"/>
  <c r="T339" i="11" s="1"/>
  <c r="R340" i="11"/>
  <c r="S340" i="11" s="1"/>
  <c r="T340" i="11" s="1"/>
  <c r="R341" i="11"/>
  <c r="S341" i="11" s="1"/>
  <c r="T341" i="11" s="1"/>
  <c r="R342" i="11"/>
  <c r="S342" i="11" s="1"/>
  <c r="T342" i="11" s="1"/>
  <c r="R343" i="11"/>
  <c r="S343" i="11" s="1"/>
  <c r="T343" i="11" s="1"/>
  <c r="R344" i="11"/>
  <c r="S344" i="11" s="1"/>
  <c r="T344" i="11" s="1"/>
  <c r="R345" i="11"/>
  <c r="S345" i="11" s="1"/>
  <c r="T345" i="11" s="1"/>
  <c r="R346" i="11"/>
  <c r="S346" i="11" s="1"/>
  <c r="T346" i="11" s="1"/>
  <c r="R347" i="11"/>
  <c r="S347" i="11" s="1"/>
  <c r="T347" i="11" s="1"/>
  <c r="R348" i="11"/>
  <c r="S348" i="11" s="1"/>
  <c r="T348" i="11" s="1"/>
  <c r="R349" i="11"/>
  <c r="S349" i="11" s="1"/>
  <c r="T349" i="11" s="1"/>
  <c r="R350" i="11"/>
  <c r="S350" i="11" s="1"/>
  <c r="T350" i="11" s="1"/>
  <c r="R351" i="11"/>
  <c r="S351" i="11" s="1"/>
  <c r="T351" i="11" s="1"/>
  <c r="R352" i="11"/>
  <c r="S352" i="11" s="1"/>
  <c r="T352" i="11" s="1"/>
  <c r="R353" i="11"/>
  <c r="S353" i="11" s="1"/>
  <c r="T353" i="11" s="1"/>
  <c r="R354" i="11"/>
  <c r="S354" i="11" s="1"/>
  <c r="T354" i="11" s="1"/>
  <c r="R355" i="11"/>
  <c r="S355" i="11" s="1"/>
  <c r="T355" i="11" s="1"/>
  <c r="R356" i="11"/>
  <c r="S356" i="11" s="1"/>
  <c r="T356" i="11" s="1"/>
  <c r="R357" i="11"/>
  <c r="S357" i="11" s="1"/>
  <c r="T357" i="11" s="1"/>
  <c r="R358" i="11"/>
  <c r="S358" i="11" s="1"/>
  <c r="T358" i="11" s="1"/>
  <c r="R359" i="11"/>
  <c r="S359" i="11" s="1"/>
  <c r="T359" i="11" s="1"/>
  <c r="R360" i="11"/>
  <c r="S360" i="11" s="1"/>
  <c r="T360" i="11" s="1"/>
  <c r="R361" i="11"/>
  <c r="S361" i="11" s="1"/>
  <c r="T361" i="11" s="1"/>
  <c r="R362" i="11"/>
  <c r="S362" i="11" s="1"/>
  <c r="T362" i="11" s="1"/>
  <c r="R363" i="11"/>
  <c r="S363" i="11" s="1"/>
  <c r="T363" i="11" s="1"/>
  <c r="R364" i="11"/>
  <c r="S364" i="11" s="1"/>
  <c r="T364" i="11" s="1"/>
  <c r="R365" i="11"/>
  <c r="S365" i="11" s="1"/>
  <c r="T365" i="11" s="1"/>
  <c r="R366" i="11"/>
  <c r="S366" i="11" s="1"/>
  <c r="T366" i="11" s="1"/>
  <c r="R367" i="11"/>
  <c r="S367" i="11" s="1"/>
  <c r="T367" i="11" s="1"/>
  <c r="R368" i="11"/>
  <c r="S368" i="11" s="1"/>
  <c r="T368" i="11" s="1"/>
  <c r="R369" i="11"/>
  <c r="S369" i="11" s="1"/>
  <c r="T369" i="11" s="1"/>
  <c r="R370" i="11"/>
  <c r="S370" i="11" s="1"/>
  <c r="T370" i="11" s="1"/>
  <c r="R371" i="11"/>
  <c r="S371" i="11" s="1"/>
  <c r="T371" i="11" s="1"/>
  <c r="R372" i="11"/>
  <c r="S372" i="11" s="1"/>
  <c r="T372" i="11" s="1"/>
  <c r="R373" i="11"/>
  <c r="S373" i="11" s="1"/>
  <c r="T373" i="11" s="1"/>
  <c r="R374" i="11"/>
  <c r="S374" i="11" s="1"/>
  <c r="T374" i="11" s="1"/>
  <c r="R375" i="11"/>
  <c r="S375" i="11" s="1"/>
  <c r="T375" i="11" s="1"/>
  <c r="R376" i="11"/>
  <c r="S376" i="11" s="1"/>
  <c r="T376" i="11" s="1"/>
  <c r="R377" i="11"/>
  <c r="S377" i="11" s="1"/>
  <c r="T377" i="11" s="1"/>
  <c r="R378" i="11"/>
  <c r="S378" i="11" s="1"/>
  <c r="T378" i="11" s="1"/>
  <c r="R379" i="11"/>
  <c r="S379" i="11" s="1"/>
  <c r="T379" i="11" s="1"/>
  <c r="R380" i="11"/>
  <c r="S380" i="11" s="1"/>
  <c r="T380" i="11" s="1"/>
  <c r="R381" i="11"/>
  <c r="S381" i="11" s="1"/>
  <c r="T381" i="11" s="1"/>
  <c r="R382" i="11"/>
  <c r="S382" i="11" s="1"/>
  <c r="T382" i="11" s="1"/>
  <c r="R383" i="11"/>
  <c r="S383" i="11" s="1"/>
  <c r="T383" i="11" s="1"/>
  <c r="R384" i="11"/>
  <c r="S384" i="11" s="1"/>
  <c r="T384" i="11" s="1"/>
  <c r="R385" i="11"/>
  <c r="S385" i="11" s="1"/>
  <c r="T385" i="11" s="1"/>
  <c r="R386" i="11"/>
  <c r="S386" i="11" s="1"/>
  <c r="T386" i="11" s="1"/>
  <c r="R387" i="11"/>
  <c r="S387" i="11" s="1"/>
  <c r="T387" i="11" s="1"/>
  <c r="R388" i="11"/>
  <c r="S388" i="11" s="1"/>
  <c r="T388" i="11" s="1"/>
  <c r="R389" i="11"/>
  <c r="S389" i="11" s="1"/>
  <c r="T389" i="11" s="1"/>
  <c r="R390" i="11"/>
  <c r="S390" i="11" s="1"/>
  <c r="T390" i="11" s="1"/>
  <c r="R391" i="11"/>
  <c r="S391" i="11" s="1"/>
  <c r="T391" i="11" s="1"/>
  <c r="R392" i="11"/>
  <c r="S392" i="11" s="1"/>
  <c r="T392" i="11" s="1"/>
  <c r="R393" i="11"/>
  <c r="S393" i="11" s="1"/>
  <c r="T393" i="11" s="1"/>
  <c r="R394" i="11"/>
  <c r="S394" i="11" s="1"/>
  <c r="T394" i="11" s="1"/>
  <c r="R395" i="11"/>
  <c r="S395" i="11" s="1"/>
  <c r="T395" i="11" s="1"/>
  <c r="R396" i="11"/>
  <c r="S396" i="11" s="1"/>
  <c r="T396" i="11" s="1"/>
  <c r="R397" i="11"/>
  <c r="S397" i="11" s="1"/>
  <c r="T397" i="11" s="1"/>
  <c r="R398" i="11"/>
  <c r="S398" i="11" s="1"/>
  <c r="T398" i="11" s="1"/>
  <c r="R399" i="11"/>
  <c r="S399" i="11" s="1"/>
  <c r="T399" i="11" s="1"/>
  <c r="R400" i="11"/>
  <c r="S400" i="11" s="1"/>
  <c r="T400" i="11" s="1"/>
  <c r="R401" i="11"/>
  <c r="S401" i="11" s="1"/>
  <c r="T401" i="11" s="1"/>
  <c r="R402" i="11"/>
  <c r="S402" i="11" s="1"/>
  <c r="T402" i="11" s="1"/>
  <c r="R403" i="11"/>
  <c r="S403" i="11" s="1"/>
  <c r="T403" i="11" s="1"/>
  <c r="R404" i="11"/>
  <c r="S404" i="11" s="1"/>
  <c r="T404" i="11" s="1"/>
  <c r="R405" i="11"/>
  <c r="S405" i="11" s="1"/>
  <c r="T405" i="11" s="1"/>
  <c r="R406" i="11"/>
  <c r="S406" i="11" s="1"/>
  <c r="T406" i="11" s="1"/>
  <c r="R407" i="11"/>
  <c r="S407" i="11" s="1"/>
  <c r="T407" i="11" s="1"/>
  <c r="R408" i="11"/>
  <c r="S408" i="11" s="1"/>
  <c r="T408" i="11" s="1"/>
  <c r="R409" i="11"/>
  <c r="S409" i="11" s="1"/>
  <c r="T409" i="11" s="1"/>
  <c r="R410" i="11"/>
  <c r="S410" i="11" s="1"/>
  <c r="T410" i="11" s="1"/>
  <c r="R411" i="11"/>
  <c r="S411" i="11" s="1"/>
  <c r="T411" i="11" s="1"/>
  <c r="R412" i="11"/>
  <c r="S412" i="11" s="1"/>
  <c r="T412" i="11" s="1"/>
  <c r="R413" i="11"/>
  <c r="S413" i="11" s="1"/>
  <c r="T413" i="11" s="1"/>
  <c r="R414" i="11"/>
  <c r="S414" i="11" s="1"/>
  <c r="T414" i="11" s="1"/>
  <c r="R415" i="11"/>
  <c r="S415" i="11" s="1"/>
  <c r="T415" i="11" s="1"/>
  <c r="R416" i="11"/>
  <c r="S416" i="11" s="1"/>
  <c r="T416" i="11" s="1"/>
  <c r="R417" i="11"/>
  <c r="S417" i="11" s="1"/>
  <c r="T417" i="11" s="1"/>
  <c r="R418" i="11"/>
  <c r="S418" i="11" s="1"/>
  <c r="T418" i="11" s="1"/>
  <c r="R419" i="11"/>
  <c r="S419" i="11" s="1"/>
  <c r="T419" i="11" s="1"/>
  <c r="R420" i="11"/>
  <c r="S420" i="11" s="1"/>
  <c r="T420" i="11" s="1"/>
  <c r="R421" i="11"/>
  <c r="S421" i="11" s="1"/>
  <c r="T421" i="11" s="1"/>
  <c r="R422" i="11"/>
  <c r="S422" i="11" s="1"/>
  <c r="T422" i="11" s="1"/>
  <c r="R423" i="11"/>
  <c r="S423" i="11" s="1"/>
  <c r="T423" i="11" s="1"/>
  <c r="R424" i="11"/>
  <c r="S424" i="11" s="1"/>
  <c r="T424" i="11" s="1"/>
  <c r="R425" i="11"/>
  <c r="S425" i="11" s="1"/>
  <c r="T425" i="11" s="1"/>
  <c r="R426" i="11"/>
  <c r="S426" i="11" s="1"/>
  <c r="T426" i="11" s="1"/>
  <c r="R427" i="11"/>
  <c r="S427" i="11" s="1"/>
  <c r="T427" i="11" s="1"/>
  <c r="R428" i="11"/>
  <c r="S428" i="11" s="1"/>
  <c r="T428" i="11" s="1"/>
  <c r="R429" i="11"/>
  <c r="S429" i="11" s="1"/>
  <c r="T429" i="11" s="1"/>
  <c r="R430" i="11"/>
  <c r="S430" i="11" s="1"/>
  <c r="T430" i="11" s="1"/>
  <c r="R431" i="11"/>
  <c r="S431" i="11" s="1"/>
  <c r="T431" i="11" s="1"/>
  <c r="R432" i="11"/>
  <c r="S432" i="11" s="1"/>
  <c r="T432" i="11" s="1"/>
  <c r="R433" i="11"/>
  <c r="S433" i="11" s="1"/>
  <c r="T433" i="11" s="1"/>
  <c r="R434" i="11"/>
  <c r="S434" i="11" s="1"/>
  <c r="T434" i="11" s="1"/>
  <c r="R435" i="11"/>
  <c r="S435" i="11" s="1"/>
  <c r="T435" i="11" s="1"/>
  <c r="R436" i="11"/>
  <c r="S436" i="11" s="1"/>
  <c r="T436" i="11" s="1"/>
  <c r="R437" i="11"/>
  <c r="S437" i="11" s="1"/>
  <c r="T437" i="11" s="1"/>
  <c r="R438" i="11"/>
  <c r="S438" i="11" s="1"/>
  <c r="T438" i="11" s="1"/>
  <c r="R439" i="11"/>
  <c r="S439" i="11" s="1"/>
  <c r="T439" i="11" s="1"/>
  <c r="R440" i="11"/>
  <c r="S440" i="11" s="1"/>
  <c r="T440" i="11" s="1"/>
  <c r="R441" i="11"/>
  <c r="S441" i="11" s="1"/>
  <c r="T441" i="11" s="1"/>
  <c r="R442" i="11"/>
  <c r="S442" i="11" s="1"/>
  <c r="T442" i="11" s="1"/>
  <c r="R443" i="11"/>
  <c r="S443" i="11" s="1"/>
  <c r="T443" i="11" s="1"/>
  <c r="R444" i="11"/>
  <c r="S444" i="11" s="1"/>
  <c r="T444" i="11" s="1"/>
  <c r="R445" i="11"/>
  <c r="S445" i="11" s="1"/>
  <c r="T445" i="11" s="1"/>
  <c r="R446" i="11"/>
  <c r="S446" i="11" s="1"/>
  <c r="T446" i="11" s="1"/>
  <c r="R447" i="11"/>
  <c r="S447" i="11" s="1"/>
  <c r="T447" i="11" s="1"/>
  <c r="R448" i="11"/>
  <c r="S448" i="11" s="1"/>
  <c r="T448" i="11" s="1"/>
  <c r="R449" i="11"/>
  <c r="S449" i="11" s="1"/>
  <c r="T449" i="11" s="1"/>
  <c r="R450" i="11"/>
  <c r="S450" i="11" s="1"/>
  <c r="T450" i="11" s="1"/>
  <c r="R451" i="11"/>
  <c r="S451" i="11" s="1"/>
  <c r="T451" i="11" s="1"/>
  <c r="R452" i="11"/>
  <c r="S452" i="11" s="1"/>
  <c r="T452" i="11" s="1"/>
  <c r="R453" i="11"/>
  <c r="S453" i="11" s="1"/>
  <c r="T453" i="11" s="1"/>
  <c r="R454" i="11"/>
  <c r="S454" i="11" s="1"/>
  <c r="T454" i="11" s="1"/>
  <c r="R455" i="11"/>
  <c r="S455" i="11" s="1"/>
  <c r="T455" i="11" s="1"/>
  <c r="R456" i="11"/>
  <c r="S456" i="11" s="1"/>
  <c r="T456" i="11" s="1"/>
  <c r="R457" i="11"/>
  <c r="S457" i="11" s="1"/>
  <c r="T457" i="11" s="1"/>
  <c r="R458" i="11"/>
  <c r="S458" i="11" s="1"/>
  <c r="T458" i="11" s="1"/>
  <c r="R459" i="11"/>
  <c r="S459" i="11" s="1"/>
  <c r="T459" i="11" s="1"/>
  <c r="R460" i="11"/>
  <c r="S460" i="11" s="1"/>
  <c r="T460" i="11" s="1"/>
  <c r="R461" i="11"/>
  <c r="S461" i="11" s="1"/>
  <c r="T461" i="11" s="1"/>
  <c r="R462" i="11"/>
  <c r="S462" i="11" s="1"/>
  <c r="T462" i="11" s="1"/>
  <c r="R463" i="11"/>
  <c r="S463" i="11" s="1"/>
  <c r="T463" i="11" s="1"/>
  <c r="R464" i="11"/>
  <c r="S464" i="11" s="1"/>
  <c r="T464" i="11" s="1"/>
  <c r="R465" i="11"/>
  <c r="S465" i="11" s="1"/>
  <c r="T465" i="11" s="1"/>
  <c r="R466" i="11"/>
  <c r="S466" i="11" s="1"/>
  <c r="T466" i="11" s="1"/>
  <c r="R467" i="11"/>
  <c r="S467" i="11" s="1"/>
  <c r="T467" i="11" s="1"/>
  <c r="R468" i="11"/>
  <c r="S468" i="11" s="1"/>
  <c r="T468" i="11" s="1"/>
  <c r="R469" i="11"/>
  <c r="S469" i="11" s="1"/>
  <c r="T469" i="11" s="1"/>
  <c r="R470" i="11"/>
  <c r="S470" i="11" s="1"/>
  <c r="T470" i="11" s="1"/>
  <c r="R471" i="11"/>
  <c r="S471" i="11" s="1"/>
  <c r="T471" i="11" s="1"/>
  <c r="R472" i="11"/>
  <c r="S472" i="11" s="1"/>
  <c r="T472" i="11" s="1"/>
  <c r="R473" i="11"/>
  <c r="S473" i="11" s="1"/>
  <c r="T473" i="11" s="1"/>
  <c r="R474" i="11"/>
  <c r="S474" i="11" s="1"/>
  <c r="T474" i="11" s="1"/>
  <c r="R475" i="11"/>
  <c r="S475" i="11" s="1"/>
  <c r="T475" i="11" s="1"/>
  <c r="R476" i="11"/>
  <c r="S476" i="11" s="1"/>
  <c r="T476" i="11" s="1"/>
  <c r="R477" i="11"/>
  <c r="S477" i="11" s="1"/>
  <c r="T477" i="11" s="1"/>
  <c r="R478" i="11"/>
  <c r="S478" i="11" s="1"/>
  <c r="T478" i="11" s="1"/>
  <c r="R479" i="11"/>
  <c r="S479" i="11" s="1"/>
  <c r="T479" i="11" s="1"/>
  <c r="R480" i="11"/>
  <c r="S480" i="11" s="1"/>
  <c r="T480" i="11" s="1"/>
  <c r="R481" i="11"/>
  <c r="S481" i="11" s="1"/>
  <c r="T481" i="11" s="1"/>
  <c r="R482" i="11"/>
  <c r="S482" i="11" s="1"/>
  <c r="T482" i="11" s="1"/>
  <c r="R483" i="11"/>
  <c r="S483" i="11" s="1"/>
  <c r="T483" i="11" s="1"/>
  <c r="R484" i="11"/>
  <c r="S484" i="11" s="1"/>
  <c r="T484" i="11" s="1"/>
  <c r="R485" i="11"/>
  <c r="S485" i="11" s="1"/>
  <c r="T485" i="11" s="1"/>
  <c r="R486" i="11"/>
  <c r="S486" i="11" s="1"/>
  <c r="T486" i="11" s="1"/>
  <c r="R487" i="11"/>
  <c r="S487" i="11" s="1"/>
  <c r="T487" i="11" s="1"/>
  <c r="R488" i="11"/>
  <c r="S488" i="11" s="1"/>
  <c r="T488" i="11" s="1"/>
  <c r="R489" i="11"/>
  <c r="S489" i="11" s="1"/>
  <c r="T489" i="11" s="1"/>
  <c r="R490" i="11"/>
  <c r="S490" i="11" s="1"/>
  <c r="T490" i="11" s="1"/>
  <c r="R491" i="11"/>
  <c r="S491" i="11" s="1"/>
  <c r="T491" i="11" s="1"/>
  <c r="R492" i="11"/>
  <c r="S492" i="11" s="1"/>
  <c r="T492" i="11" s="1"/>
  <c r="R493" i="11"/>
  <c r="S493" i="11" s="1"/>
  <c r="T493" i="11" s="1"/>
  <c r="R494" i="11"/>
  <c r="S494" i="11" s="1"/>
  <c r="T494" i="11" s="1"/>
  <c r="R495" i="11"/>
  <c r="S495" i="11" s="1"/>
  <c r="T495" i="11" s="1"/>
  <c r="R496" i="11"/>
  <c r="S496" i="11" s="1"/>
  <c r="T496" i="11" s="1"/>
  <c r="R497" i="11"/>
  <c r="S497" i="11" s="1"/>
  <c r="T497" i="11" s="1"/>
  <c r="R498" i="11"/>
  <c r="S498" i="11" s="1"/>
  <c r="T498" i="11" s="1"/>
  <c r="R499" i="11"/>
  <c r="S499" i="11" s="1"/>
  <c r="T499" i="11" s="1"/>
  <c r="R500" i="11"/>
  <c r="S500" i="11" s="1"/>
  <c r="T500" i="11" s="1"/>
  <c r="R501" i="11"/>
  <c r="S501" i="11" s="1"/>
  <c r="T501" i="11" s="1"/>
  <c r="R502" i="11"/>
  <c r="S502" i="11" s="1"/>
  <c r="T502" i="11" s="1"/>
  <c r="R503" i="11"/>
  <c r="S503" i="11" s="1"/>
  <c r="T503" i="11" s="1"/>
  <c r="R504" i="11"/>
  <c r="S504" i="11" s="1"/>
  <c r="T504" i="11" s="1"/>
  <c r="R505" i="11"/>
  <c r="S505" i="11" s="1"/>
  <c r="T505" i="11" s="1"/>
  <c r="R506" i="11"/>
  <c r="S506" i="11" s="1"/>
  <c r="T506" i="11" s="1"/>
  <c r="R507" i="11"/>
  <c r="S507" i="11" s="1"/>
  <c r="T507" i="11" s="1"/>
  <c r="R508" i="11"/>
  <c r="S508" i="11" s="1"/>
  <c r="T508" i="11" s="1"/>
  <c r="R509" i="11"/>
  <c r="S509" i="11" s="1"/>
  <c r="T509" i="11" s="1"/>
  <c r="R510" i="11"/>
  <c r="S510" i="11" s="1"/>
  <c r="T510" i="11" s="1"/>
  <c r="R511" i="11"/>
  <c r="S511" i="11" s="1"/>
  <c r="T511" i="11" s="1"/>
  <c r="R512" i="11"/>
  <c r="S512" i="11" s="1"/>
  <c r="T512" i="11" s="1"/>
  <c r="R513" i="11"/>
  <c r="S513" i="11" s="1"/>
  <c r="T513" i="11" s="1"/>
  <c r="R514" i="11"/>
  <c r="S514" i="11" s="1"/>
  <c r="T514" i="11" s="1"/>
  <c r="R515" i="11"/>
  <c r="S515" i="11" s="1"/>
  <c r="T515" i="11" s="1"/>
  <c r="R516" i="11"/>
  <c r="S516" i="11" s="1"/>
  <c r="T516" i="11" s="1"/>
  <c r="R517" i="11"/>
  <c r="S517" i="11" s="1"/>
  <c r="T517" i="11" s="1"/>
  <c r="R518" i="11"/>
  <c r="S518" i="11" s="1"/>
  <c r="T518" i="11" s="1"/>
  <c r="R519" i="11"/>
  <c r="S519" i="11" s="1"/>
  <c r="T519" i="11" s="1"/>
  <c r="R520" i="11"/>
  <c r="S520" i="11" s="1"/>
  <c r="T520" i="11" s="1"/>
  <c r="R521" i="11"/>
  <c r="S521" i="11" s="1"/>
  <c r="T521" i="11" s="1"/>
  <c r="R522" i="11"/>
  <c r="S522" i="11" s="1"/>
  <c r="T522" i="11" s="1"/>
  <c r="R523" i="11"/>
  <c r="S523" i="11" s="1"/>
  <c r="T523" i="11" s="1"/>
  <c r="R524" i="11"/>
  <c r="S524" i="11" s="1"/>
  <c r="T524" i="11" s="1"/>
  <c r="R525" i="11"/>
  <c r="S525" i="11" s="1"/>
  <c r="T525" i="11" s="1"/>
  <c r="R526" i="11"/>
  <c r="S526" i="11" s="1"/>
  <c r="T526" i="11" s="1"/>
  <c r="R527" i="11"/>
  <c r="S527" i="11" s="1"/>
  <c r="T527" i="11" s="1"/>
  <c r="R528" i="11"/>
  <c r="S528" i="11" s="1"/>
  <c r="T528" i="11" s="1"/>
  <c r="R529" i="11"/>
  <c r="S529" i="11" s="1"/>
  <c r="T529" i="11" s="1"/>
  <c r="R530" i="11"/>
  <c r="S530" i="11" s="1"/>
  <c r="T530" i="11" s="1"/>
  <c r="R531" i="11"/>
  <c r="S531" i="11" s="1"/>
  <c r="T531" i="11" s="1"/>
  <c r="R532" i="11"/>
  <c r="S532" i="11" s="1"/>
  <c r="T532" i="11" s="1"/>
  <c r="R533" i="11"/>
  <c r="S533" i="11" s="1"/>
  <c r="T533" i="11" s="1"/>
  <c r="R534" i="11"/>
  <c r="S534" i="11" s="1"/>
  <c r="T534" i="11" s="1"/>
  <c r="R535" i="11"/>
  <c r="S535" i="11" s="1"/>
  <c r="T535" i="11" s="1"/>
  <c r="R536" i="11"/>
  <c r="S536" i="11" s="1"/>
  <c r="T536" i="11" s="1"/>
  <c r="R537" i="11"/>
  <c r="S537" i="11" s="1"/>
  <c r="T537" i="11" s="1"/>
  <c r="R538" i="11"/>
  <c r="S538" i="11" s="1"/>
  <c r="T538" i="11" s="1"/>
  <c r="R539" i="11"/>
  <c r="S539" i="11" s="1"/>
  <c r="T539" i="11" s="1"/>
  <c r="R540" i="11"/>
  <c r="S540" i="11" s="1"/>
  <c r="T540" i="11" s="1"/>
  <c r="R541" i="11"/>
  <c r="S541" i="11" s="1"/>
  <c r="T541" i="11" s="1"/>
  <c r="R542" i="11"/>
  <c r="S542" i="11" s="1"/>
  <c r="T542" i="11" s="1"/>
  <c r="R543" i="11"/>
  <c r="S543" i="11" s="1"/>
  <c r="T543" i="11" s="1"/>
  <c r="R544" i="11"/>
  <c r="S544" i="11" s="1"/>
  <c r="T544" i="11" s="1"/>
  <c r="R545" i="11"/>
  <c r="S545" i="11" s="1"/>
  <c r="T545" i="11" s="1"/>
  <c r="R546" i="11"/>
  <c r="S546" i="11" s="1"/>
  <c r="T546" i="11" s="1"/>
  <c r="R547" i="11"/>
  <c r="S547" i="11" s="1"/>
  <c r="T547" i="11" s="1"/>
  <c r="R548" i="11"/>
  <c r="S548" i="11" s="1"/>
  <c r="T548" i="11" s="1"/>
  <c r="R549" i="11"/>
  <c r="S549" i="11" s="1"/>
  <c r="T549" i="11" s="1"/>
  <c r="R550" i="11"/>
  <c r="S550" i="11" s="1"/>
  <c r="T550" i="11" s="1"/>
  <c r="R551" i="11"/>
  <c r="S551" i="11" s="1"/>
  <c r="T551" i="11" s="1"/>
  <c r="R552" i="11"/>
  <c r="S552" i="11" s="1"/>
  <c r="T552" i="11" s="1"/>
  <c r="R553" i="11"/>
  <c r="S553" i="11" s="1"/>
  <c r="T553" i="11" s="1"/>
  <c r="R554" i="11"/>
  <c r="S554" i="11" s="1"/>
  <c r="T554" i="11" s="1"/>
  <c r="R555" i="11"/>
  <c r="S555" i="11" s="1"/>
  <c r="T555" i="11" s="1"/>
  <c r="R556" i="11"/>
  <c r="S556" i="11" s="1"/>
  <c r="T556" i="11" s="1"/>
  <c r="R557" i="11"/>
  <c r="S557" i="11" s="1"/>
  <c r="T557" i="11" s="1"/>
  <c r="R558" i="11"/>
  <c r="S558" i="11" s="1"/>
  <c r="T558" i="11" s="1"/>
  <c r="R559" i="11"/>
  <c r="S559" i="11" s="1"/>
  <c r="T559" i="11" s="1"/>
  <c r="R560" i="11"/>
  <c r="S560" i="11" s="1"/>
  <c r="T560" i="11" s="1"/>
  <c r="R561" i="11"/>
  <c r="S561" i="11" s="1"/>
  <c r="T561" i="11" s="1"/>
  <c r="R562" i="11"/>
  <c r="S562" i="11" s="1"/>
  <c r="T562" i="11" s="1"/>
  <c r="R563" i="11"/>
  <c r="S563" i="11" s="1"/>
  <c r="T563" i="11" s="1"/>
  <c r="R564" i="11"/>
  <c r="S564" i="11" s="1"/>
  <c r="T564" i="11" s="1"/>
  <c r="R565" i="11"/>
  <c r="S565" i="11" s="1"/>
  <c r="T565" i="11" s="1"/>
  <c r="R566" i="11"/>
  <c r="S566" i="11" s="1"/>
  <c r="T566" i="11" s="1"/>
  <c r="R567" i="11"/>
  <c r="S567" i="11" s="1"/>
  <c r="T567" i="11" s="1"/>
  <c r="R568" i="11"/>
  <c r="S568" i="11" s="1"/>
  <c r="T568" i="11" s="1"/>
  <c r="R569" i="11"/>
  <c r="S569" i="11" s="1"/>
  <c r="T569" i="11" s="1"/>
  <c r="R570" i="11"/>
  <c r="S570" i="11" s="1"/>
  <c r="T570" i="11" s="1"/>
  <c r="R571" i="11"/>
  <c r="S571" i="11" s="1"/>
  <c r="T571" i="11" s="1"/>
  <c r="R572" i="11"/>
  <c r="S572" i="11" s="1"/>
  <c r="T572" i="11" s="1"/>
  <c r="R573" i="11"/>
  <c r="S573" i="11" s="1"/>
  <c r="T573" i="11" s="1"/>
  <c r="R574" i="11"/>
  <c r="S574" i="11" s="1"/>
  <c r="T574" i="11" s="1"/>
  <c r="R575" i="11"/>
  <c r="S575" i="11" s="1"/>
  <c r="T575" i="11" s="1"/>
  <c r="R576" i="11"/>
  <c r="S576" i="11" s="1"/>
  <c r="T576" i="11" s="1"/>
  <c r="R577" i="11"/>
  <c r="S577" i="11" s="1"/>
  <c r="T577" i="11" s="1"/>
  <c r="R578" i="11"/>
  <c r="S578" i="11" s="1"/>
  <c r="T578" i="11" s="1"/>
  <c r="R579" i="11"/>
  <c r="S579" i="11" s="1"/>
  <c r="T579" i="11" s="1"/>
  <c r="R580" i="11"/>
  <c r="S580" i="11" s="1"/>
  <c r="T580" i="11" s="1"/>
  <c r="R581" i="11"/>
  <c r="S581" i="11" s="1"/>
  <c r="T581" i="11" s="1"/>
  <c r="R582" i="11"/>
  <c r="S582" i="11" s="1"/>
  <c r="T582" i="11" s="1"/>
  <c r="R583" i="11"/>
  <c r="S583" i="11" s="1"/>
  <c r="T583" i="11" s="1"/>
  <c r="R584" i="11"/>
  <c r="S584" i="11" s="1"/>
  <c r="T584" i="11" s="1"/>
  <c r="R585" i="11"/>
  <c r="S585" i="11" s="1"/>
  <c r="T585" i="11" s="1"/>
  <c r="R586" i="11"/>
  <c r="S586" i="11" s="1"/>
  <c r="T586" i="11" s="1"/>
  <c r="R587" i="11"/>
  <c r="S587" i="11" s="1"/>
  <c r="T587" i="11" s="1"/>
  <c r="R588" i="11"/>
  <c r="S588" i="11" s="1"/>
  <c r="T588" i="11" s="1"/>
  <c r="R589" i="11"/>
  <c r="S589" i="11" s="1"/>
  <c r="T589" i="11" s="1"/>
  <c r="R590" i="11"/>
  <c r="S590" i="11" s="1"/>
  <c r="T590" i="11" s="1"/>
  <c r="R591" i="11"/>
  <c r="S591" i="11" s="1"/>
  <c r="T591" i="11" s="1"/>
  <c r="R592" i="11"/>
  <c r="S592" i="11" s="1"/>
  <c r="T592" i="11" s="1"/>
  <c r="R593" i="11"/>
  <c r="S593" i="11" s="1"/>
  <c r="T593" i="11" s="1"/>
  <c r="R594" i="11"/>
  <c r="S594" i="11" s="1"/>
  <c r="T594" i="11" s="1"/>
  <c r="R595" i="11"/>
  <c r="S595" i="11" s="1"/>
  <c r="T595" i="11" s="1"/>
  <c r="R596" i="11"/>
  <c r="S596" i="11" s="1"/>
  <c r="T596" i="11" s="1"/>
  <c r="R597" i="11"/>
  <c r="S597" i="11" s="1"/>
  <c r="T597" i="11" s="1"/>
  <c r="R598" i="11"/>
  <c r="S598" i="11" s="1"/>
  <c r="T598" i="11" s="1"/>
  <c r="R599" i="11"/>
  <c r="S599" i="11" s="1"/>
  <c r="T599" i="11" s="1"/>
  <c r="R600" i="11"/>
  <c r="S600" i="11" s="1"/>
  <c r="T600" i="11" s="1"/>
  <c r="R601" i="11"/>
  <c r="S601" i="11" s="1"/>
  <c r="T601" i="11" s="1"/>
  <c r="R602" i="11"/>
  <c r="S602" i="11" s="1"/>
  <c r="T602" i="11" s="1"/>
  <c r="R603" i="11"/>
  <c r="S603" i="11" s="1"/>
  <c r="T603" i="11" s="1"/>
  <c r="R604" i="11"/>
  <c r="S604" i="11" s="1"/>
  <c r="T604" i="11" s="1"/>
  <c r="R605" i="11"/>
  <c r="S605" i="11" s="1"/>
  <c r="T605" i="11" s="1"/>
  <c r="R606" i="11"/>
  <c r="S606" i="11" s="1"/>
  <c r="T606" i="11" s="1"/>
  <c r="R607" i="11"/>
  <c r="S607" i="11" s="1"/>
  <c r="T607" i="11" s="1"/>
  <c r="R608" i="11"/>
  <c r="S608" i="11" s="1"/>
  <c r="T608" i="11" s="1"/>
  <c r="R609" i="11"/>
  <c r="S609" i="11" s="1"/>
  <c r="T609" i="11" s="1"/>
  <c r="R610" i="11"/>
  <c r="S610" i="11" s="1"/>
  <c r="T610" i="11" s="1"/>
  <c r="R611" i="11"/>
  <c r="S611" i="11" s="1"/>
  <c r="T611" i="11" s="1"/>
  <c r="R612" i="11"/>
  <c r="S612" i="11" s="1"/>
  <c r="T612" i="11" s="1"/>
  <c r="R613" i="11"/>
  <c r="S613" i="11" s="1"/>
  <c r="T613" i="11" s="1"/>
  <c r="R614" i="11"/>
  <c r="S614" i="11" s="1"/>
  <c r="T614" i="11" s="1"/>
  <c r="R615" i="11"/>
  <c r="S615" i="11" s="1"/>
  <c r="T615" i="11" s="1"/>
  <c r="R616" i="11"/>
  <c r="S616" i="11" s="1"/>
  <c r="T616" i="11" s="1"/>
  <c r="R617" i="11"/>
  <c r="S617" i="11" s="1"/>
  <c r="T617" i="11" s="1"/>
  <c r="R618" i="11"/>
  <c r="S618" i="11" s="1"/>
  <c r="T618" i="11" s="1"/>
  <c r="R619" i="11"/>
  <c r="S619" i="11" s="1"/>
  <c r="T619" i="11" s="1"/>
  <c r="R620" i="11"/>
  <c r="S620" i="11" s="1"/>
  <c r="T620" i="11" s="1"/>
  <c r="R621" i="11"/>
  <c r="S621" i="11" s="1"/>
  <c r="T621" i="11" s="1"/>
  <c r="R622" i="11"/>
  <c r="S622" i="11" s="1"/>
  <c r="T622" i="11" s="1"/>
  <c r="R623" i="11"/>
  <c r="S623" i="11" s="1"/>
  <c r="T623" i="11" s="1"/>
  <c r="R624" i="11"/>
  <c r="S624" i="11" s="1"/>
  <c r="T624" i="11" s="1"/>
  <c r="R625" i="11"/>
  <c r="S625" i="11" s="1"/>
  <c r="T625" i="11" s="1"/>
  <c r="R626" i="11"/>
  <c r="S626" i="11" s="1"/>
  <c r="T626" i="11" s="1"/>
  <c r="R627" i="11"/>
  <c r="S627" i="11" s="1"/>
  <c r="T627" i="11" s="1"/>
  <c r="R628" i="11"/>
  <c r="S628" i="11" s="1"/>
  <c r="T628" i="11" s="1"/>
  <c r="R629" i="11"/>
  <c r="S629" i="11" s="1"/>
  <c r="T629" i="11" s="1"/>
  <c r="R630" i="11"/>
  <c r="S630" i="11" s="1"/>
  <c r="T630" i="11" s="1"/>
  <c r="R631" i="11"/>
  <c r="S631" i="11" s="1"/>
  <c r="T631" i="11" s="1"/>
  <c r="R632" i="11"/>
  <c r="S632" i="11" s="1"/>
  <c r="T632" i="11" s="1"/>
  <c r="R633" i="11"/>
  <c r="S633" i="11" s="1"/>
  <c r="T633" i="11" s="1"/>
  <c r="R634" i="11"/>
  <c r="S634" i="11" s="1"/>
  <c r="T634" i="11" s="1"/>
  <c r="R635" i="11"/>
  <c r="S635" i="11" s="1"/>
  <c r="T635" i="11" s="1"/>
  <c r="R636" i="11"/>
  <c r="S636" i="11" s="1"/>
  <c r="T636" i="11" s="1"/>
  <c r="R637" i="11"/>
  <c r="S637" i="11" s="1"/>
  <c r="T637" i="11" s="1"/>
  <c r="R638" i="11"/>
  <c r="S638" i="11" s="1"/>
  <c r="T638" i="11" s="1"/>
  <c r="R639" i="11"/>
  <c r="S639" i="11" s="1"/>
  <c r="T639" i="11" s="1"/>
  <c r="R640" i="11"/>
  <c r="S640" i="11" s="1"/>
  <c r="T640" i="11" s="1"/>
  <c r="R641" i="11"/>
  <c r="S641" i="11" s="1"/>
  <c r="T641" i="11" s="1"/>
  <c r="R642" i="11"/>
  <c r="S642" i="11" s="1"/>
  <c r="T642" i="11" s="1"/>
  <c r="R643" i="11"/>
  <c r="S643" i="11" s="1"/>
  <c r="T643" i="11" s="1"/>
  <c r="R644" i="11"/>
  <c r="S644" i="11" s="1"/>
  <c r="T644" i="11" s="1"/>
  <c r="R645" i="11"/>
  <c r="S645" i="11" s="1"/>
  <c r="T645" i="11" s="1"/>
  <c r="R646" i="11"/>
  <c r="S646" i="11" s="1"/>
  <c r="T646" i="11" s="1"/>
  <c r="R647" i="11"/>
  <c r="S647" i="11" s="1"/>
  <c r="T647" i="11" s="1"/>
  <c r="R648" i="11"/>
  <c r="S648" i="11" s="1"/>
  <c r="T648" i="11" s="1"/>
  <c r="R649" i="11"/>
  <c r="S649" i="11" s="1"/>
  <c r="T649" i="11" s="1"/>
  <c r="R650" i="11"/>
  <c r="S650" i="11" s="1"/>
  <c r="T650" i="11" s="1"/>
  <c r="R651" i="11"/>
  <c r="S651" i="11" s="1"/>
  <c r="T651" i="11" s="1"/>
  <c r="R652" i="11"/>
  <c r="S652" i="11" s="1"/>
  <c r="T652" i="11" s="1"/>
  <c r="R653" i="11"/>
  <c r="S653" i="11" s="1"/>
  <c r="T653" i="11" s="1"/>
  <c r="R654" i="11"/>
  <c r="S654" i="11" s="1"/>
  <c r="T654" i="11" s="1"/>
  <c r="R655" i="11"/>
  <c r="S655" i="11" s="1"/>
  <c r="T655" i="11" s="1"/>
  <c r="R656" i="11"/>
  <c r="S656" i="11" s="1"/>
  <c r="T656" i="11" s="1"/>
  <c r="R657" i="11"/>
  <c r="S657" i="11" s="1"/>
  <c r="T657" i="11" s="1"/>
  <c r="R658" i="11"/>
  <c r="S658" i="11" s="1"/>
  <c r="T658" i="11" s="1"/>
  <c r="R659" i="11"/>
  <c r="S659" i="11" s="1"/>
  <c r="T659" i="11" s="1"/>
  <c r="R660" i="11"/>
  <c r="S660" i="11" s="1"/>
  <c r="T660" i="11" s="1"/>
  <c r="R661" i="11"/>
  <c r="S661" i="11" s="1"/>
  <c r="T661" i="11" s="1"/>
  <c r="R662" i="11"/>
  <c r="S662" i="11" s="1"/>
  <c r="T662" i="11" s="1"/>
  <c r="R663" i="11"/>
  <c r="S663" i="11" s="1"/>
  <c r="T663" i="11" s="1"/>
  <c r="R664" i="11"/>
  <c r="S664" i="11" s="1"/>
  <c r="T664" i="11" s="1"/>
  <c r="R665" i="11"/>
  <c r="S665" i="11" s="1"/>
  <c r="T665" i="11" s="1"/>
  <c r="R666" i="11"/>
  <c r="S666" i="11" s="1"/>
  <c r="T666" i="11" s="1"/>
  <c r="R667" i="11"/>
  <c r="S667" i="11" s="1"/>
  <c r="T667" i="11" s="1"/>
  <c r="R668" i="11"/>
  <c r="S668" i="11" s="1"/>
  <c r="T668" i="11" s="1"/>
  <c r="R669" i="11"/>
  <c r="S669" i="11" s="1"/>
  <c r="T669" i="11" s="1"/>
  <c r="R670" i="11"/>
  <c r="S670" i="11" s="1"/>
  <c r="T670" i="11" s="1"/>
  <c r="R671" i="11"/>
  <c r="S671" i="11" s="1"/>
  <c r="T671" i="11" s="1"/>
  <c r="R672" i="11"/>
  <c r="S672" i="11" s="1"/>
  <c r="T672" i="11" s="1"/>
  <c r="R673" i="11"/>
  <c r="S673" i="11" s="1"/>
  <c r="T673" i="11" s="1"/>
  <c r="R674" i="11"/>
  <c r="S674" i="11" s="1"/>
  <c r="T674" i="11" s="1"/>
  <c r="R675" i="11"/>
  <c r="S675" i="11" s="1"/>
  <c r="T675" i="11" s="1"/>
  <c r="R676" i="11"/>
  <c r="S676" i="11" s="1"/>
  <c r="T676" i="11" s="1"/>
  <c r="R677" i="11"/>
  <c r="S677" i="11" s="1"/>
  <c r="T677" i="11" s="1"/>
  <c r="R678" i="11"/>
  <c r="S678" i="11" s="1"/>
  <c r="T678" i="11" s="1"/>
  <c r="R679" i="11"/>
  <c r="S679" i="11" s="1"/>
  <c r="T679" i="11" s="1"/>
  <c r="R680" i="11"/>
  <c r="S680" i="11" s="1"/>
  <c r="T680" i="11" s="1"/>
  <c r="R681" i="11"/>
  <c r="S681" i="11" s="1"/>
  <c r="T681" i="11" s="1"/>
  <c r="R682" i="11"/>
  <c r="S682" i="11" s="1"/>
  <c r="T682" i="11" s="1"/>
  <c r="R683" i="11"/>
  <c r="S683" i="11" s="1"/>
  <c r="T683" i="11" s="1"/>
  <c r="R684" i="11"/>
  <c r="S684" i="11" s="1"/>
  <c r="T684" i="11" s="1"/>
  <c r="R685" i="11"/>
  <c r="S685" i="11" s="1"/>
  <c r="T685" i="11" s="1"/>
  <c r="R686" i="11"/>
  <c r="S686" i="11" s="1"/>
  <c r="T686" i="11" s="1"/>
  <c r="R687" i="11"/>
  <c r="S687" i="11" s="1"/>
  <c r="T687" i="11" s="1"/>
  <c r="R688" i="11"/>
  <c r="S688" i="11" s="1"/>
  <c r="T688" i="11" s="1"/>
  <c r="R689" i="11"/>
  <c r="S689" i="11" s="1"/>
  <c r="T689" i="11" s="1"/>
  <c r="R690" i="11"/>
  <c r="S690" i="11" s="1"/>
  <c r="T690" i="11" s="1"/>
  <c r="R691" i="11"/>
  <c r="S691" i="11" s="1"/>
  <c r="T691" i="11" s="1"/>
  <c r="R692" i="11"/>
  <c r="S692" i="11" s="1"/>
  <c r="T692" i="11" s="1"/>
  <c r="R693" i="11"/>
  <c r="S693" i="11" s="1"/>
  <c r="T693" i="11" s="1"/>
  <c r="R694" i="11"/>
  <c r="S694" i="11" s="1"/>
  <c r="T694" i="11" s="1"/>
  <c r="R695" i="11"/>
  <c r="S695" i="11" s="1"/>
  <c r="T695" i="11" s="1"/>
  <c r="R696" i="11"/>
  <c r="S696" i="11" s="1"/>
  <c r="T696" i="11" s="1"/>
  <c r="R697" i="11"/>
  <c r="S697" i="11" s="1"/>
  <c r="T697" i="11" s="1"/>
  <c r="R698" i="11"/>
  <c r="S698" i="11" s="1"/>
  <c r="T698" i="11" s="1"/>
  <c r="R699" i="11"/>
  <c r="S699" i="11" s="1"/>
  <c r="T699" i="11" s="1"/>
  <c r="R700" i="11"/>
  <c r="S700" i="11" s="1"/>
  <c r="T700" i="11" s="1"/>
  <c r="R701" i="11"/>
  <c r="S701" i="11" s="1"/>
  <c r="T701" i="11" s="1"/>
  <c r="R702" i="11"/>
  <c r="S702" i="11" s="1"/>
  <c r="T702" i="11" s="1"/>
  <c r="R703" i="11"/>
  <c r="S703" i="11" s="1"/>
  <c r="T703" i="11" s="1"/>
  <c r="R704" i="11"/>
  <c r="S704" i="11" s="1"/>
  <c r="T704" i="11" s="1"/>
  <c r="R705" i="11"/>
  <c r="S705" i="11" s="1"/>
  <c r="T705" i="11" s="1"/>
  <c r="R706" i="11"/>
  <c r="S706" i="11" s="1"/>
  <c r="T706" i="11" s="1"/>
  <c r="R707" i="11"/>
  <c r="S707" i="11" s="1"/>
  <c r="T707" i="11" s="1"/>
  <c r="R708" i="11"/>
  <c r="S708" i="11" s="1"/>
  <c r="T708" i="11" s="1"/>
  <c r="R709" i="11"/>
  <c r="S709" i="11" s="1"/>
  <c r="T709" i="11" s="1"/>
  <c r="R710" i="11"/>
  <c r="S710" i="11" s="1"/>
  <c r="T710" i="11" s="1"/>
  <c r="R711" i="11"/>
  <c r="S711" i="11" s="1"/>
  <c r="T711" i="11" s="1"/>
  <c r="R712" i="11"/>
  <c r="S712" i="11" s="1"/>
  <c r="T712" i="11" s="1"/>
  <c r="R713" i="11"/>
  <c r="S713" i="11" s="1"/>
  <c r="T713" i="11" s="1"/>
  <c r="R714" i="11"/>
  <c r="S714" i="11" s="1"/>
  <c r="T714" i="11" s="1"/>
  <c r="R715" i="11"/>
  <c r="S715" i="11" s="1"/>
  <c r="T715" i="11" s="1"/>
  <c r="R716" i="11"/>
  <c r="S716" i="11" s="1"/>
  <c r="T716" i="11" s="1"/>
  <c r="R717" i="11"/>
  <c r="S717" i="11" s="1"/>
  <c r="T717" i="11" s="1"/>
  <c r="R718" i="11"/>
  <c r="S718" i="11" s="1"/>
  <c r="T718" i="11" s="1"/>
  <c r="R719" i="11"/>
  <c r="S719" i="11" s="1"/>
  <c r="T719" i="11" s="1"/>
  <c r="R720" i="11"/>
  <c r="S720" i="11" s="1"/>
  <c r="T720" i="11" s="1"/>
  <c r="R721" i="11"/>
  <c r="S721" i="11" s="1"/>
  <c r="T721" i="11" s="1"/>
  <c r="R722" i="11"/>
  <c r="S722" i="11" s="1"/>
  <c r="T722" i="11" s="1"/>
  <c r="R723" i="11"/>
  <c r="S723" i="11" s="1"/>
  <c r="T723" i="11" s="1"/>
  <c r="R724" i="11"/>
  <c r="S724" i="11" s="1"/>
  <c r="T724" i="11" s="1"/>
  <c r="R725" i="11"/>
  <c r="S725" i="11" s="1"/>
  <c r="T725" i="11" s="1"/>
  <c r="R726" i="11"/>
  <c r="S726" i="11" s="1"/>
  <c r="T726" i="11" s="1"/>
  <c r="R727" i="11"/>
  <c r="S727" i="11" s="1"/>
  <c r="T727" i="11" s="1"/>
  <c r="R728" i="11"/>
  <c r="S728" i="11" s="1"/>
  <c r="T728" i="11" s="1"/>
  <c r="R729" i="11"/>
  <c r="S729" i="11" s="1"/>
  <c r="T729" i="11" s="1"/>
  <c r="R730" i="11"/>
  <c r="S730" i="11" s="1"/>
  <c r="T730" i="11" s="1"/>
  <c r="R731" i="11"/>
  <c r="S731" i="11" s="1"/>
  <c r="T731" i="11" s="1"/>
  <c r="R732" i="11"/>
  <c r="S732" i="11" s="1"/>
  <c r="T732" i="11" s="1"/>
  <c r="R733" i="11"/>
  <c r="S733" i="11" s="1"/>
  <c r="T733" i="11" s="1"/>
  <c r="R734" i="11"/>
  <c r="S734" i="11" s="1"/>
  <c r="T734" i="11" s="1"/>
  <c r="R735" i="11"/>
  <c r="S735" i="11" s="1"/>
  <c r="T735" i="11" s="1"/>
  <c r="R736" i="11"/>
  <c r="S736" i="11" s="1"/>
  <c r="T736" i="11" s="1"/>
  <c r="R737" i="11"/>
  <c r="S737" i="11" s="1"/>
  <c r="T737" i="11" s="1"/>
  <c r="R738" i="11"/>
  <c r="S738" i="11" s="1"/>
  <c r="T738" i="11" s="1"/>
  <c r="R739" i="11"/>
  <c r="S739" i="11" s="1"/>
  <c r="T739" i="11" s="1"/>
  <c r="R740" i="11"/>
  <c r="S740" i="11" s="1"/>
  <c r="T740" i="11" s="1"/>
  <c r="R741" i="11"/>
  <c r="S741" i="11" s="1"/>
  <c r="T741" i="11" s="1"/>
  <c r="R742" i="11"/>
  <c r="S742" i="11" s="1"/>
  <c r="T742" i="11" s="1"/>
  <c r="R743" i="11"/>
  <c r="S743" i="11" s="1"/>
  <c r="T743" i="11" s="1"/>
  <c r="R744" i="11"/>
  <c r="S744" i="11" s="1"/>
  <c r="T744" i="11" s="1"/>
  <c r="R745" i="11"/>
  <c r="S745" i="11" s="1"/>
  <c r="T745" i="11" s="1"/>
  <c r="R746" i="11"/>
  <c r="S746" i="11" s="1"/>
  <c r="T746" i="11" s="1"/>
  <c r="R747" i="11"/>
  <c r="S747" i="11" s="1"/>
  <c r="T747" i="11" s="1"/>
  <c r="R748" i="11"/>
  <c r="S748" i="11" s="1"/>
  <c r="T748" i="11" s="1"/>
  <c r="R749" i="11"/>
  <c r="S749" i="11" s="1"/>
  <c r="T749" i="11" s="1"/>
  <c r="R750" i="11"/>
  <c r="S750" i="11" s="1"/>
  <c r="T750" i="11" s="1"/>
  <c r="R751" i="11"/>
  <c r="S751" i="11" s="1"/>
  <c r="T751" i="11" s="1"/>
  <c r="R752" i="11"/>
  <c r="S752" i="11" s="1"/>
  <c r="T752" i="11" s="1"/>
  <c r="R753" i="11"/>
  <c r="S753" i="11" s="1"/>
  <c r="T753" i="11" s="1"/>
  <c r="R754" i="11"/>
  <c r="S754" i="11" s="1"/>
  <c r="T754" i="11" s="1"/>
  <c r="R755" i="11"/>
  <c r="S755" i="11" s="1"/>
  <c r="T755" i="11" s="1"/>
  <c r="R756" i="11"/>
  <c r="S756" i="11" s="1"/>
  <c r="T756" i="11" s="1"/>
  <c r="R757" i="11"/>
  <c r="S757" i="11" s="1"/>
  <c r="T757" i="11" s="1"/>
  <c r="R758" i="11"/>
  <c r="S758" i="11" s="1"/>
  <c r="T758" i="11" s="1"/>
  <c r="R759" i="11"/>
  <c r="S759" i="11" s="1"/>
  <c r="T759" i="11" s="1"/>
  <c r="R760" i="11"/>
  <c r="S760" i="11" s="1"/>
  <c r="T760" i="11" s="1"/>
  <c r="R761" i="11"/>
  <c r="S761" i="11" s="1"/>
  <c r="T761" i="11" s="1"/>
  <c r="R762" i="11"/>
  <c r="S762" i="11" s="1"/>
  <c r="T762" i="11" s="1"/>
  <c r="R763" i="11"/>
  <c r="S763" i="11" s="1"/>
  <c r="T763" i="11" s="1"/>
  <c r="R764" i="11"/>
  <c r="S764" i="11" s="1"/>
  <c r="T764" i="11" s="1"/>
  <c r="R765" i="11"/>
  <c r="S765" i="11" s="1"/>
  <c r="T765" i="11" s="1"/>
  <c r="R766" i="11"/>
  <c r="S766" i="11" s="1"/>
  <c r="T766" i="11" s="1"/>
  <c r="R767" i="11"/>
  <c r="S767" i="11" s="1"/>
  <c r="T767" i="11" s="1"/>
  <c r="R768" i="11"/>
  <c r="S768" i="11" s="1"/>
  <c r="T768" i="11" s="1"/>
  <c r="R769" i="11"/>
  <c r="S769" i="11" s="1"/>
  <c r="T769" i="11" s="1"/>
  <c r="R770" i="11"/>
  <c r="S770" i="11" s="1"/>
  <c r="T770" i="11" s="1"/>
  <c r="R771" i="11"/>
  <c r="S771" i="11" s="1"/>
  <c r="T771" i="11" s="1"/>
  <c r="R772" i="11"/>
  <c r="S772" i="11" s="1"/>
  <c r="T772" i="11" s="1"/>
  <c r="R773" i="11"/>
  <c r="S773" i="11" s="1"/>
  <c r="T773" i="11" s="1"/>
  <c r="R774" i="11"/>
  <c r="S774" i="11" s="1"/>
  <c r="T774" i="11" s="1"/>
  <c r="R775" i="11"/>
  <c r="S775" i="11" s="1"/>
  <c r="T775" i="11" s="1"/>
  <c r="R776" i="11"/>
  <c r="S776" i="11" s="1"/>
  <c r="T776" i="11" s="1"/>
  <c r="R777" i="11"/>
  <c r="S777" i="11" s="1"/>
  <c r="T777" i="11" s="1"/>
  <c r="R778" i="11"/>
  <c r="S778" i="11" s="1"/>
  <c r="T778" i="11" s="1"/>
  <c r="R779" i="11"/>
  <c r="S779" i="11" s="1"/>
  <c r="T779" i="11" s="1"/>
  <c r="R780" i="11"/>
  <c r="S780" i="11" s="1"/>
  <c r="T780" i="11" s="1"/>
  <c r="R781" i="11"/>
  <c r="S781" i="11" s="1"/>
  <c r="T781" i="11" s="1"/>
  <c r="R782" i="11"/>
  <c r="S782" i="11" s="1"/>
  <c r="T782" i="11" s="1"/>
  <c r="R783" i="11"/>
  <c r="S783" i="11" s="1"/>
  <c r="T783" i="11" s="1"/>
  <c r="R784" i="11"/>
  <c r="S784" i="11" s="1"/>
  <c r="T784" i="11" s="1"/>
  <c r="R785" i="11"/>
  <c r="S785" i="11" s="1"/>
  <c r="T785" i="11" s="1"/>
  <c r="R786" i="11"/>
  <c r="S786" i="11" s="1"/>
  <c r="T786" i="11" s="1"/>
  <c r="R787" i="11"/>
  <c r="S787" i="11" s="1"/>
  <c r="T787" i="11" s="1"/>
  <c r="R788" i="11"/>
  <c r="S788" i="11" s="1"/>
  <c r="T788" i="11" s="1"/>
  <c r="R789" i="11"/>
  <c r="S789" i="11" s="1"/>
  <c r="T789" i="11" s="1"/>
  <c r="R790" i="11"/>
  <c r="S790" i="11" s="1"/>
  <c r="T790" i="11" s="1"/>
  <c r="R791" i="11"/>
  <c r="S791" i="11" s="1"/>
  <c r="T791" i="11" s="1"/>
  <c r="R792" i="11"/>
  <c r="S792" i="11" s="1"/>
  <c r="T792" i="11" s="1"/>
  <c r="R793" i="11"/>
  <c r="S793" i="11" s="1"/>
  <c r="T793" i="11" s="1"/>
  <c r="R794" i="11"/>
  <c r="S794" i="11" s="1"/>
  <c r="T794" i="11" s="1"/>
  <c r="R795" i="11"/>
  <c r="S795" i="11" s="1"/>
  <c r="T795" i="11" s="1"/>
  <c r="R796" i="11"/>
  <c r="S796" i="11" s="1"/>
  <c r="T796" i="11" s="1"/>
  <c r="R797" i="11"/>
  <c r="S797" i="11" s="1"/>
  <c r="T797" i="11" s="1"/>
  <c r="R798" i="11"/>
  <c r="S798" i="11" s="1"/>
  <c r="T798" i="11" s="1"/>
  <c r="R799" i="11"/>
  <c r="S799" i="11" s="1"/>
  <c r="T799" i="11" s="1"/>
  <c r="R800" i="11"/>
  <c r="S800" i="11" s="1"/>
  <c r="T800" i="11" s="1"/>
  <c r="R801" i="11"/>
  <c r="S801" i="11" s="1"/>
  <c r="T801" i="11" s="1"/>
  <c r="R802" i="11"/>
  <c r="S802" i="11" s="1"/>
  <c r="T802" i="11" s="1"/>
  <c r="R803" i="11"/>
  <c r="S803" i="11" s="1"/>
  <c r="T803" i="11" s="1"/>
  <c r="R804" i="11"/>
  <c r="S804" i="11" s="1"/>
  <c r="T804" i="11" s="1"/>
  <c r="R805" i="11"/>
  <c r="S805" i="11" s="1"/>
  <c r="T805" i="11" s="1"/>
  <c r="R806" i="11"/>
  <c r="S806" i="11" s="1"/>
  <c r="T806" i="11" s="1"/>
  <c r="R807" i="11"/>
  <c r="S807" i="11" s="1"/>
  <c r="T807" i="11" s="1"/>
  <c r="R808" i="11"/>
  <c r="S808" i="11" s="1"/>
  <c r="T808" i="11" s="1"/>
  <c r="R809" i="11"/>
  <c r="S809" i="11" s="1"/>
  <c r="T809" i="11" s="1"/>
  <c r="R810" i="11"/>
  <c r="S810" i="11" s="1"/>
  <c r="T810" i="11" s="1"/>
  <c r="R811" i="11"/>
  <c r="S811" i="11" s="1"/>
  <c r="T811" i="11" s="1"/>
  <c r="R812" i="11"/>
  <c r="S812" i="11" s="1"/>
  <c r="T812" i="11" s="1"/>
  <c r="R813" i="11"/>
  <c r="S813" i="11" s="1"/>
  <c r="T813" i="11" s="1"/>
  <c r="R814" i="11"/>
  <c r="S814" i="11" s="1"/>
  <c r="T814" i="11" s="1"/>
  <c r="R815" i="11"/>
  <c r="S815" i="11" s="1"/>
  <c r="T815" i="11" s="1"/>
  <c r="R816" i="11"/>
  <c r="S816" i="11" s="1"/>
  <c r="T816" i="11" s="1"/>
  <c r="R817" i="11"/>
  <c r="S817" i="11" s="1"/>
  <c r="T817" i="11" s="1"/>
  <c r="R818" i="11"/>
  <c r="S818" i="11" s="1"/>
  <c r="T818" i="11" s="1"/>
  <c r="R819" i="11"/>
  <c r="S819" i="11" s="1"/>
  <c r="T819" i="11" s="1"/>
  <c r="R820" i="11"/>
  <c r="S820" i="11" s="1"/>
  <c r="T820" i="11" s="1"/>
  <c r="R821" i="11"/>
  <c r="S821" i="11" s="1"/>
  <c r="T821" i="11" s="1"/>
  <c r="R822" i="11"/>
  <c r="S822" i="11" s="1"/>
  <c r="T822" i="11" s="1"/>
  <c r="R823" i="11"/>
  <c r="S823" i="11" s="1"/>
  <c r="T823" i="11" s="1"/>
  <c r="R824" i="11"/>
  <c r="S824" i="11" s="1"/>
  <c r="T824" i="11" s="1"/>
  <c r="R825" i="11"/>
  <c r="S825" i="11" s="1"/>
  <c r="T825" i="11" s="1"/>
  <c r="R826" i="11"/>
  <c r="S826" i="11" s="1"/>
  <c r="T826" i="11" s="1"/>
  <c r="R827" i="11"/>
  <c r="S827" i="11" s="1"/>
  <c r="T827" i="11" s="1"/>
  <c r="R828" i="11"/>
  <c r="S828" i="11" s="1"/>
  <c r="T828" i="11" s="1"/>
  <c r="R829" i="11"/>
  <c r="S829" i="11" s="1"/>
  <c r="T829" i="11" s="1"/>
  <c r="R830" i="11"/>
  <c r="S830" i="11" s="1"/>
  <c r="T830" i="11" s="1"/>
  <c r="R831" i="11"/>
  <c r="S831" i="11" s="1"/>
  <c r="T831" i="11" s="1"/>
  <c r="R832" i="11"/>
  <c r="S832" i="11" s="1"/>
  <c r="T832" i="11" s="1"/>
  <c r="R833" i="11"/>
  <c r="S833" i="11" s="1"/>
  <c r="T833" i="11" s="1"/>
  <c r="R834" i="11"/>
  <c r="S834" i="11" s="1"/>
  <c r="T834" i="11" s="1"/>
  <c r="R835" i="11"/>
  <c r="S835" i="11" s="1"/>
  <c r="T835" i="11" s="1"/>
  <c r="R836" i="11"/>
  <c r="S836" i="11" s="1"/>
  <c r="T836" i="11" s="1"/>
  <c r="R837" i="11"/>
  <c r="S837" i="11" s="1"/>
  <c r="T837" i="11" s="1"/>
  <c r="R838" i="11"/>
  <c r="S838" i="11" s="1"/>
  <c r="T838" i="11" s="1"/>
  <c r="R839" i="11"/>
  <c r="S839" i="11" s="1"/>
  <c r="T839" i="11" s="1"/>
  <c r="R840" i="11"/>
  <c r="S840" i="11" s="1"/>
  <c r="T840" i="11" s="1"/>
  <c r="R841" i="11"/>
  <c r="S841" i="11" s="1"/>
  <c r="T841" i="11" s="1"/>
  <c r="R842" i="11"/>
  <c r="S842" i="11" s="1"/>
  <c r="T842" i="11" s="1"/>
  <c r="R843" i="11"/>
  <c r="S843" i="11" s="1"/>
  <c r="T843" i="11" s="1"/>
  <c r="R844" i="11"/>
  <c r="S844" i="11" s="1"/>
  <c r="T844" i="11" s="1"/>
  <c r="R845" i="11"/>
  <c r="S845" i="11" s="1"/>
  <c r="T845" i="11" s="1"/>
  <c r="R846" i="11"/>
  <c r="S846" i="11" s="1"/>
  <c r="T846" i="11" s="1"/>
  <c r="R847" i="11"/>
  <c r="S847" i="11" s="1"/>
  <c r="T847" i="11" s="1"/>
  <c r="R848" i="11"/>
  <c r="S848" i="11" s="1"/>
  <c r="T848" i="11" s="1"/>
  <c r="R849" i="11"/>
  <c r="S849" i="11" s="1"/>
  <c r="T849" i="11" s="1"/>
  <c r="R850" i="11"/>
  <c r="S850" i="11" s="1"/>
  <c r="T850" i="11" s="1"/>
  <c r="R851" i="11"/>
  <c r="S851" i="11" s="1"/>
  <c r="T851" i="11" s="1"/>
  <c r="R852" i="11"/>
  <c r="S852" i="11" s="1"/>
  <c r="T852" i="11" s="1"/>
  <c r="R853" i="11"/>
  <c r="S853" i="11" s="1"/>
  <c r="T853" i="11" s="1"/>
  <c r="R854" i="11"/>
  <c r="S854" i="11" s="1"/>
  <c r="T854" i="11" s="1"/>
  <c r="R855" i="11"/>
  <c r="S855" i="11" s="1"/>
  <c r="T855" i="11" s="1"/>
  <c r="R856" i="11"/>
  <c r="S856" i="11" s="1"/>
  <c r="T856" i="11" s="1"/>
  <c r="R857" i="11"/>
  <c r="S857" i="11" s="1"/>
  <c r="T857" i="11" s="1"/>
  <c r="R858" i="11"/>
  <c r="S858" i="11" s="1"/>
  <c r="T858" i="11" s="1"/>
  <c r="R859" i="11"/>
  <c r="S859" i="11" s="1"/>
  <c r="T859" i="11" s="1"/>
  <c r="R860" i="11"/>
  <c r="S860" i="11" s="1"/>
  <c r="T860" i="11" s="1"/>
  <c r="R861" i="11"/>
  <c r="S861" i="11" s="1"/>
  <c r="T861" i="11" s="1"/>
  <c r="R862" i="11"/>
  <c r="S862" i="11" s="1"/>
  <c r="T862" i="11" s="1"/>
  <c r="R863" i="11"/>
  <c r="S863" i="11" s="1"/>
  <c r="T863" i="11" s="1"/>
  <c r="R864" i="11"/>
  <c r="S864" i="11" s="1"/>
  <c r="T864" i="11" s="1"/>
  <c r="R865" i="11"/>
  <c r="S865" i="11" s="1"/>
  <c r="T865" i="11" s="1"/>
  <c r="R866" i="11"/>
  <c r="S866" i="11" s="1"/>
  <c r="T866" i="11" s="1"/>
  <c r="R867" i="11"/>
  <c r="S867" i="11" s="1"/>
  <c r="T867" i="11" s="1"/>
  <c r="R868" i="11"/>
  <c r="S868" i="11" s="1"/>
  <c r="T868" i="11" s="1"/>
  <c r="R869" i="11"/>
  <c r="S869" i="11" s="1"/>
  <c r="T869" i="11" s="1"/>
  <c r="R870" i="11"/>
  <c r="S870" i="11" s="1"/>
  <c r="T870" i="11" s="1"/>
  <c r="R871" i="11"/>
  <c r="S871" i="11" s="1"/>
  <c r="T871" i="11" s="1"/>
  <c r="R872" i="11"/>
  <c r="S872" i="11" s="1"/>
  <c r="T872" i="11" s="1"/>
  <c r="R873" i="11"/>
  <c r="S873" i="11" s="1"/>
  <c r="T873" i="11" s="1"/>
  <c r="R874" i="11"/>
  <c r="S874" i="11" s="1"/>
  <c r="T874" i="11" s="1"/>
  <c r="R875" i="11"/>
  <c r="S875" i="11" s="1"/>
  <c r="T875" i="11" s="1"/>
  <c r="R876" i="11"/>
  <c r="S876" i="11" s="1"/>
  <c r="T876" i="11" s="1"/>
  <c r="R877" i="11"/>
  <c r="S877" i="11" s="1"/>
  <c r="T877" i="11" s="1"/>
  <c r="R878" i="11"/>
  <c r="S878" i="11" s="1"/>
  <c r="T878" i="11" s="1"/>
  <c r="R879" i="11"/>
  <c r="S879" i="11" s="1"/>
  <c r="T879" i="11" s="1"/>
  <c r="R880" i="11"/>
  <c r="S880" i="11" s="1"/>
  <c r="T880" i="11" s="1"/>
  <c r="R881" i="11"/>
  <c r="S881" i="11" s="1"/>
  <c r="T881" i="11" s="1"/>
  <c r="R882" i="11"/>
  <c r="S882" i="11" s="1"/>
  <c r="T882" i="11" s="1"/>
  <c r="R883" i="11"/>
  <c r="S883" i="11" s="1"/>
  <c r="T883" i="11" s="1"/>
  <c r="R884" i="11"/>
  <c r="S884" i="11" s="1"/>
  <c r="T884" i="11" s="1"/>
  <c r="R885" i="11"/>
  <c r="S885" i="11" s="1"/>
  <c r="T885" i="11" s="1"/>
  <c r="R886" i="11"/>
  <c r="S886" i="11" s="1"/>
  <c r="T886" i="11" s="1"/>
  <c r="R887" i="11"/>
  <c r="S887" i="11" s="1"/>
  <c r="T887" i="11" s="1"/>
  <c r="R888" i="11"/>
  <c r="S888" i="11" s="1"/>
  <c r="T888" i="11" s="1"/>
  <c r="R889" i="11"/>
  <c r="S889" i="11" s="1"/>
  <c r="T889" i="11" s="1"/>
  <c r="R890" i="11"/>
  <c r="S890" i="11" s="1"/>
  <c r="T890" i="11" s="1"/>
  <c r="R891" i="11"/>
  <c r="S891" i="11" s="1"/>
  <c r="T891" i="11" s="1"/>
  <c r="R892" i="11"/>
  <c r="S892" i="11" s="1"/>
  <c r="T892" i="11" s="1"/>
  <c r="R893" i="11"/>
  <c r="S893" i="11" s="1"/>
  <c r="T893" i="11" s="1"/>
  <c r="R894" i="11"/>
  <c r="S894" i="11" s="1"/>
  <c r="T894" i="11" s="1"/>
  <c r="R895" i="11"/>
  <c r="S895" i="11" s="1"/>
  <c r="T895" i="11" s="1"/>
  <c r="R896" i="11"/>
  <c r="S896" i="11" s="1"/>
  <c r="T896" i="11" s="1"/>
  <c r="R897" i="11"/>
  <c r="S897" i="11" s="1"/>
  <c r="T897" i="11" s="1"/>
  <c r="R898" i="11"/>
  <c r="S898" i="11" s="1"/>
  <c r="T898" i="11" s="1"/>
  <c r="R899" i="11"/>
  <c r="S899" i="11" s="1"/>
  <c r="T899" i="11" s="1"/>
  <c r="R900" i="11"/>
  <c r="S900" i="11" s="1"/>
  <c r="T900" i="11" s="1"/>
  <c r="R901" i="11"/>
  <c r="S901" i="11" s="1"/>
  <c r="T901" i="11" s="1"/>
  <c r="R902" i="11"/>
  <c r="S902" i="11" s="1"/>
  <c r="T902" i="11" s="1"/>
  <c r="R903" i="11"/>
  <c r="S903" i="11" s="1"/>
  <c r="T903" i="11" s="1"/>
  <c r="R904" i="11"/>
  <c r="S904" i="11" s="1"/>
  <c r="T904" i="11" s="1"/>
  <c r="R905" i="11"/>
  <c r="S905" i="11" s="1"/>
  <c r="T905" i="11" s="1"/>
  <c r="R906" i="11"/>
  <c r="S906" i="11" s="1"/>
  <c r="T906" i="11" s="1"/>
  <c r="R907" i="11"/>
  <c r="S907" i="11" s="1"/>
  <c r="T907" i="11" s="1"/>
  <c r="R908" i="11"/>
  <c r="S908" i="11" s="1"/>
  <c r="T908" i="11" s="1"/>
  <c r="R909" i="11"/>
  <c r="S909" i="11" s="1"/>
  <c r="T909" i="11" s="1"/>
  <c r="R910" i="11"/>
  <c r="S910" i="11" s="1"/>
  <c r="T910" i="11" s="1"/>
  <c r="R911" i="11"/>
  <c r="S911" i="11" s="1"/>
  <c r="T911" i="11" s="1"/>
  <c r="R912" i="11"/>
  <c r="S912" i="11" s="1"/>
  <c r="T912" i="11" s="1"/>
  <c r="R913" i="11"/>
  <c r="S913" i="11" s="1"/>
  <c r="T913" i="11" s="1"/>
  <c r="R914" i="11"/>
  <c r="S914" i="11" s="1"/>
  <c r="T914" i="11" s="1"/>
  <c r="R915" i="11"/>
  <c r="S915" i="11" s="1"/>
  <c r="T915" i="11" s="1"/>
  <c r="R916" i="11"/>
  <c r="S916" i="11" s="1"/>
  <c r="T916" i="11" s="1"/>
  <c r="R917" i="11"/>
  <c r="S917" i="11" s="1"/>
  <c r="T917" i="11" s="1"/>
  <c r="R918" i="11"/>
  <c r="S918" i="11" s="1"/>
  <c r="T918" i="11" s="1"/>
  <c r="R919" i="11"/>
  <c r="S919" i="11" s="1"/>
  <c r="T919" i="11" s="1"/>
  <c r="R920" i="11"/>
  <c r="S920" i="11" s="1"/>
  <c r="T920" i="11" s="1"/>
  <c r="R921" i="11"/>
  <c r="S921" i="11" s="1"/>
  <c r="T921" i="11" s="1"/>
  <c r="R922" i="11"/>
  <c r="S922" i="11" s="1"/>
  <c r="T922" i="11" s="1"/>
  <c r="R923" i="11"/>
  <c r="S923" i="11" s="1"/>
  <c r="T923" i="11" s="1"/>
  <c r="R924" i="11"/>
  <c r="S924" i="11" s="1"/>
  <c r="T924" i="11" s="1"/>
  <c r="R925" i="11"/>
  <c r="S925" i="11" s="1"/>
  <c r="T925" i="11" s="1"/>
  <c r="R926" i="11"/>
  <c r="S926" i="11" s="1"/>
  <c r="T926" i="11" s="1"/>
  <c r="R927" i="11"/>
  <c r="S927" i="11" s="1"/>
  <c r="T927" i="11" s="1"/>
  <c r="R928" i="11"/>
  <c r="S928" i="11" s="1"/>
  <c r="T928" i="11" s="1"/>
  <c r="R929" i="11"/>
  <c r="S929" i="11" s="1"/>
  <c r="T929" i="11" s="1"/>
  <c r="R930" i="11"/>
  <c r="S930" i="11" s="1"/>
  <c r="T930" i="11" s="1"/>
  <c r="R931" i="11"/>
  <c r="S931" i="11" s="1"/>
  <c r="T931" i="11" s="1"/>
  <c r="R932" i="11"/>
  <c r="S932" i="11" s="1"/>
  <c r="T932" i="11" s="1"/>
  <c r="R933" i="11"/>
  <c r="S933" i="11" s="1"/>
  <c r="T933" i="11" s="1"/>
  <c r="R934" i="11"/>
  <c r="S934" i="11" s="1"/>
  <c r="T934" i="11" s="1"/>
  <c r="R935" i="11"/>
  <c r="S935" i="11" s="1"/>
  <c r="T935" i="11" s="1"/>
  <c r="R936" i="11"/>
  <c r="S936" i="11" s="1"/>
  <c r="T936" i="11" s="1"/>
  <c r="R937" i="11"/>
  <c r="S937" i="11" s="1"/>
  <c r="T937" i="11" s="1"/>
  <c r="R938" i="11"/>
  <c r="S938" i="11" s="1"/>
  <c r="T938" i="11" s="1"/>
  <c r="R939" i="11"/>
  <c r="S939" i="11" s="1"/>
  <c r="T939" i="11" s="1"/>
  <c r="R940" i="11"/>
  <c r="S940" i="11" s="1"/>
  <c r="T940" i="11" s="1"/>
  <c r="R941" i="11"/>
  <c r="S941" i="11" s="1"/>
  <c r="T941" i="11" s="1"/>
  <c r="R942" i="11"/>
  <c r="S942" i="11" s="1"/>
  <c r="T942" i="11" s="1"/>
  <c r="R943" i="11"/>
  <c r="S943" i="11" s="1"/>
  <c r="T943" i="11" s="1"/>
  <c r="R944" i="11"/>
  <c r="S944" i="11" s="1"/>
  <c r="T944" i="11" s="1"/>
  <c r="R945" i="11"/>
  <c r="S945" i="11" s="1"/>
  <c r="T945" i="11" s="1"/>
  <c r="R946" i="11"/>
  <c r="S946" i="11" s="1"/>
  <c r="T946" i="11" s="1"/>
  <c r="R947" i="11"/>
  <c r="S947" i="11" s="1"/>
  <c r="T947" i="11" s="1"/>
  <c r="R948" i="11"/>
  <c r="S948" i="11" s="1"/>
  <c r="T948" i="11" s="1"/>
  <c r="R949" i="11"/>
  <c r="S949" i="11" s="1"/>
  <c r="T949" i="11" s="1"/>
  <c r="R950" i="11"/>
  <c r="S950" i="11" s="1"/>
  <c r="T950" i="11" s="1"/>
  <c r="R951" i="11"/>
  <c r="S951" i="11" s="1"/>
  <c r="T951" i="11" s="1"/>
  <c r="R952" i="11"/>
  <c r="S952" i="11" s="1"/>
  <c r="T952" i="11" s="1"/>
  <c r="R953" i="11"/>
  <c r="S953" i="11" s="1"/>
  <c r="T953" i="11" s="1"/>
  <c r="R954" i="11"/>
  <c r="S954" i="11" s="1"/>
  <c r="T954" i="11" s="1"/>
  <c r="R955" i="11"/>
  <c r="S955" i="11" s="1"/>
  <c r="T955" i="11" s="1"/>
  <c r="R956" i="11"/>
  <c r="S956" i="11" s="1"/>
  <c r="T956" i="11" s="1"/>
  <c r="R957" i="11"/>
  <c r="S957" i="11" s="1"/>
  <c r="T957" i="11" s="1"/>
  <c r="R958" i="11"/>
  <c r="S958" i="11" s="1"/>
  <c r="T958" i="11" s="1"/>
  <c r="R959" i="11"/>
  <c r="S959" i="11" s="1"/>
  <c r="T959" i="11" s="1"/>
  <c r="R960" i="11"/>
  <c r="S960" i="11" s="1"/>
  <c r="T960" i="11" s="1"/>
  <c r="R961" i="11"/>
  <c r="S961" i="11" s="1"/>
  <c r="T961" i="11" s="1"/>
  <c r="R962" i="11"/>
  <c r="S962" i="11" s="1"/>
  <c r="T962" i="11" s="1"/>
  <c r="R963" i="11"/>
  <c r="S963" i="11" s="1"/>
  <c r="T963" i="11" s="1"/>
  <c r="R964" i="11"/>
  <c r="S964" i="11" s="1"/>
  <c r="T964" i="11" s="1"/>
  <c r="R965" i="11"/>
  <c r="S965" i="11" s="1"/>
  <c r="T965" i="11" s="1"/>
  <c r="R966" i="11"/>
  <c r="S966" i="11" s="1"/>
  <c r="T966" i="11" s="1"/>
  <c r="R967" i="11"/>
  <c r="S967" i="11" s="1"/>
  <c r="T967" i="11" s="1"/>
  <c r="R968" i="11"/>
  <c r="S968" i="11" s="1"/>
  <c r="T968" i="11" s="1"/>
  <c r="R969" i="11"/>
  <c r="S969" i="11" s="1"/>
  <c r="T969" i="11" s="1"/>
  <c r="R970" i="11"/>
  <c r="S970" i="11" s="1"/>
  <c r="T970" i="11" s="1"/>
  <c r="R971" i="11"/>
  <c r="S971" i="11" s="1"/>
  <c r="T971" i="11" s="1"/>
  <c r="R972" i="11"/>
  <c r="S972" i="11" s="1"/>
  <c r="T972" i="11" s="1"/>
  <c r="R973" i="11"/>
  <c r="S973" i="11" s="1"/>
  <c r="T973" i="11" s="1"/>
  <c r="R974" i="11"/>
  <c r="S974" i="11" s="1"/>
  <c r="T974" i="11" s="1"/>
  <c r="R975" i="11"/>
  <c r="S975" i="11" s="1"/>
  <c r="T975" i="11" s="1"/>
  <c r="R976" i="11"/>
  <c r="S976" i="11" s="1"/>
  <c r="T976" i="11" s="1"/>
  <c r="R977" i="11"/>
  <c r="S977" i="11" s="1"/>
  <c r="T977" i="11" s="1"/>
  <c r="R978" i="11"/>
  <c r="S978" i="11" s="1"/>
  <c r="T978" i="11" s="1"/>
  <c r="R979" i="11"/>
  <c r="S979" i="11" s="1"/>
  <c r="T979" i="11" s="1"/>
  <c r="R980" i="11"/>
  <c r="S980" i="11" s="1"/>
  <c r="T980" i="11" s="1"/>
  <c r="R981" i="11"/>
  <c r="S981" i="11" s="1"/>
  <c r="T981" i="11" s="1"/>
  <c r="R982" i="11"/>
  <c r="S982" i="11" s="1"/>
  <c r="T982" i="11" s="1"/>
  <c r="R983" i="11"/>
  <c r="S983" i="11" s="1"/>
  <c r="T983" i="11" s="1"/>
  <c r="R984" i="11"/>
  <c r="S984" i="11" s="1"/>
  <c r="T984" i="11" s="1"/>
  <c r="R985" i="11"/>
  <c r="S985" i="11" s="1"/>
  <c r="T985" i="11" s="1"/>
  <c r="R986" i="11"/>
  <c r="S986" i="11" s="1"/>
  <c r="T986" i="11" s="1"/>
  <c r="R987" i="11"/>
  <c r="S987" i="11" s="1"/>
  <c r="T987" i="11" s="1"/>
  <c r="R988" i="11"/>
  <c r="S988" i="11" s="1"/>
  <c r="T988" i="11" s="1"/>
  <c r="R989" i="11"/>
  <c r="S989" i="11" s="1"/>
  <c r="T989" i="11" s="1"/>
  <c r="R990" i="11"/>
  <c r="S990" i="11" s="1"/>
  <c r="T990" i="11" s="1"/>
  <c r="R991" i="11"/>
  <c r="S991" i="11" s="1"/>
  <c r="T991" i="11" s="1"/>
  <c r="R992" i="11"/>
  <c r="S992" i="11" s="1"/>
  <c r="T992" i="11" s="1"/>
  <c r="R993" i="11"/>
  <c r="S993" i="11" s="1"/>
  <c r="T993" i="11" s="1"/>
  <c r="R994" i="11"/>
  <c r="S994" i="11" s="1"/>
  <c r="T994" i="11" s="1"/>
  <c r="R995" i="11"/>
  <c r="S995" i="11" s="1"/>
  <c r="T995" i="11" s="1"/>
  <c r="R996" i="11"/>
  <c r="S996" i="11" s="1"/>
  <c r="T996" i="11" s="1"/>
  <c r="R997" i="11"/>
  <c r="S997" i="11" s="1"/>
  <c r="T997" i="11" s="1"/>
  <c r="R998" i="11"/>
  <c r="S998" i="11" s="1"/>
  <c r="T998" i="11" s="1"/>
  <c r="R999" i="11"/>
  <c r="S999" i="11" s="1"/>
  <c r="T999" i="11" s="1"/>
  <c r="R1000" i="11"/>
  <c r="S1000" i="11" s="1"/>
  <c r="T1000" i="11" s="1"/>
  <c r="R1001" i="11"/>
  <c r="S1001" i="11" s="1"/>
  <c r="T1001" i="11" s="1"/>
  <c r="R1002" i="11"/>
  <c r="S1002" i="11" s="1"/>
  <c r="T1002" i="11" s="1"/>
  <c r="R1003" i="11"/>
  <c r="S1003" i="11" s="1"/>
  <c r="T1003" i="11" s="1"/>
  <c r="R1004" i="11"/>
  <c r="S1004" i="11" s="1"/>
  <c r="T1004" i="11" s="1"/>
  <c r="R1005" i="11"/>
  <c r="S1005" i="11" s="1"/>
  <c r="T1005" i="11" s="1"/>
  <c r="R1006" i="11"/>
  <c r="S1006" i="11" s="1"/>
  <c r="T1006" i="11" s="1"/>
  <c r="R1007" i="11"/>
  <c r="S1007" i="11" s="1"/>
  <c r="T1007" i="11" s="1"/>
  <c r="R1008" i="11"/>
  <c r="S1008" i="11" s="1"/>
  <c r="T1008" i="11" s="1"/>
  <c r="R1009" i="11"/>
  <c r="S1009" i="11" s="1"/>
  <c r="T1009" i="11" s="1"/>
  <c r="R1010" i="11"/>
  <c r="S1010" i="11" s="1"/>
  <c r="T1010" i="11" s="1"/>
  <c r="R1011" i="11"/>
  <c r="S1011" i="11" s="1"/>
  <c r="T1011" i="11" s="1"/>
  <c r="R1012" i="11"/>
  <c r="S1012" i="11" s="1"/>
  <c r="T1012" i="11" s="1"/>
  <c r="R1013" i="11"/>
  <c r="S1013" i="11" s="1"/>
  <c r="T1013" i="11" s="1"/>
  <c r="R1014" i="11"/>
  <c r="S1014" i="11" s="1"/>
  <c r="T1014" i="11" s="1"/>
  <c r="R1015" i="11"/>
  <c r="S1015" i="11" s="1"/>
  <c r="T1015" i="11" s="1"/>
  <c r="R1016" i="11"/>
  <c r="S1016" i="11" s="1"/>
  <c r="T1016" i="11" s="1"/>
  <c r="R1017" i="11"/>
  <c r="S1017" i="11" s="1"/>
  <c r="T1017" i="11" s="1"/>
  <c r="R1018" i="11"/>
  <c r="S1018" i="11" s="1"/>
  <c r="T1018" i="11" s="1"/>
  <c r="R1019" i="11"/>
  <c r="S1019" i="11" s="1"/>
  <c r="T1019" i="11" s="1"/>
  <c r="R1020" i="11"/>
  <c r="S1020" i="11" s="1"/>
  <c r="T1020" i="11" s="1"/>
  <c r="R1021" i="11"/>
  <c r="S1021" i="11" s="1"/>
  <c r="T1021" i="11" s="1"/>
  <c r="R1022" i="11"/>
  <c r="S1022" i="11" s="1"/>
  <c r="T1022" i="11" s="1"/>
  <c r="R1023" i="11"/>
  <c r="S1023" i="11" s="1"/>
  <c r="T1023" i="11" s="1"/>
  <c r="R1024" i="11"/>
  <c r="S1024" i="11" s="1"/>
  <c r="T1024" i="11" s="1"/>
  <c r="R1025" i="11"/>
  <c r="S1025" i="11" s="1"/>
  <c r="T1025" i="11" s="1"/>
  <c r="R1026" i="11"/>
  <c r="S1026" i="11" s="1"/>
  <c r="T1026" i="11" s="1"/>
  <c r="R1027" i="11"/>
  <c r="S1027" i="11" s="1"/>
  <c r="T1027" i="11" s="1"/>
  <c r="R1028" i="11"/>
  <c r="S1028" i="11" s="1"/>
  <c r="T1028" i="11" s="1"/>
  <c r="R1029" i="11"/>
  <c r="S1029" i="11" s="1"/>
  <c r="T1029" i="11" s="1"/>
  <c r="R1030" i="11"/>
  <c r="S1030" i="11" s="1"/>
  <c r="T1030" i="11" s="1"/>
  <c r="R1031" i="11"/>
  <c r="S1031" i="11" s="1"/>
  <c r="T1031" i="11" s="1"/>
  <c r="R1032" i="11"/>
  <c r="S1032" i="11" s="1"/>
  <c r="T1032" i="11" s="1"/>
  <c r="R1033" i="11"/>
  <c r="S1033" i="11" s="1"/>
  <c r="T1033" i="11" s="1"/>
  <c r="R1034" i="11"/>
  <c r="S1034" i="11" s="1"/>
  <c r="T1034" i="11" s="1"/>
  <c r="R1035" i="11"/>
  <c r="S1035" i="11" s="1"/>
  <c r="T1035" i="11" s="1"/>
  <c r="R1036" i="11"/>
  <c r="S1036" i="11" s="1"/>
  <c r="T1036" i="11" s="1"/>
  <c r="R1037" i="11"/>
  <c r="S1037" i="11" s="1"/>
  <c r="T1037" i="11" s="1"/>
  <c r="R1038" i="11"/>
  <c r="S1038" i="11" s="1"/>
  <c r="T1038" i="11" s="1"/>
  <c r="R1039" i="11"/>
  <c r="S1039" i="11" s="1"/>
  <c r="T1039" i="11" s="1"/>
  <c r="R1040" i="11"/>
  <c r="S1040" i="11" s="1"/>
  <c r="T1040" i="11" s="1"/>
  <c r="R1041" i="11"/>
  <c r="S1041" i="11" s="1"/>
  <c r="T1041" i="11" s="1"/>
  <c r="R1042" i="11"/>
  <c r="S1042" i="11" s="1"/>
  <c r="T1042" i="11" s="1"/>
  <c r="R1043" i="11"/>
  <c r="S1043" i="11" s="1"/>
  <c r="T1043" i="11" s="1"/>
  <c r="R1044" i="11"/>
  <c r="S1044" i="11" s="1"/>
  <c r="T1044" i="11" s="1"/>
  <c r="R1045" i="11"/>
  <c r="S1045" i="11" s="1"/>
  <c r="T1045" i="11" s="1"/>
  <c r="R1046" i="11"/>
  <c r="S1046" i="11" s="1"/>
  <c r="T1046" i="11" s="1"/>
  <c r="R1047" i="11"/>
  <c r="S1047" i="11" s="1"/>
  <c r="T1047" i="11" s="1"/>
  <c r="R1048" i="11"/>
  <c r="S1048" i="11" s="1"/>
  <c r="T1048" i="11" s="1"/>
  <c r="R1049" i="11"/>
  <c r="S1049" i="11" s="1"/>
  <c r="T1049" i="11" s="1"/>
  <c r="R1050" i="11"/>
  <c r="S1050" i="11" s="1"/>
  <c r="T1050" i="11" s="1"/>
  <c r="R1051" i="11"/>
  <c r="S1051" i="11" s="1"/>
  <c r="T1051" i="11" s="1"/>
  <c r="R1052" i="11"/>
  <c r="S1052" i="11" s="1"/>
  <c r="T1052" i="11" s="1"/>
  <c r="R1053" i="11"/>
  <c r="S1053" i="11" s="1"/>
  <c r="T1053" i="11" s="1"/>
  <c r="R1054" i="11"/>
  <c r="S1054" i="11" s="1"/>
  <c r="T1054" i="11" s="1"/>
  <c r="R1055" i="11"/>
  <c r="S1055" i="11" s="1"/>
  <c r="T1055" i="11" s="1"/>
  <c r="R1056" i="11"/>
  <c r="S1056" i="11" s="1"/>
  <c r="T1056" i="11" s="1"/>
  <c r="R1057" i="11"/>
  <c r="S1057" i="11" s="1"/>
  <c r="T1057" i="11" s="1"/>
  <c r="R1058" i="11"/>
  <c r="S1058" i="11" s="1"/>
  <c r="T1058" i="11" s="1"/>
  <c r="R1059" i="11"/>
  <c r="S1059" i="11" s="1"/>
  <c r="T1059" i="11" s="1"/>
  <c r="R1060" i="11"/>
  <c r="S1060" i="11" s="1"/>
  <c r="T1060" i="11" s="1"/>
  <c r="R1061" i="11"/>
  <c r="S1061" i="11" s="1"/>
  <c r="T1061" i="11" s="1"/>
  <c r="R1062" i="11"/>
  <c r="S1062" i="11" s="1"/>
  <c r="T1062" i="11" s="1"/>
  <c r="R1063" i="11"/>
  <c r="S1063" i="11" s="1"/>
  <c r="T1063" i="11" s="1"/>
  <c r="R1064" i="11"/>
  <c r="S1064" i="11" s="1"/>
  <c r="T1064" i="11" s="1"/>
  <c r="R1065" i="11"/>
  <c r="S1065" i="11" s="1"/>
  <c r="T1065" i="11" s="1"/>
  <c r="R1066" i="11"/>
  <c r="S1066" i="11" s="1"/>
  <c r="T1066" i="11" s="1"/>
  <c r="R1067" i="11"/>
  <c r="S1067" i="11" s="1"/>
  <c r="T1067" i="11" s="1"/>
  <c r="R1068" i="11"/>
  <c r="S1068" i="11" s="1"/>
  <c r="T1068" i="11" s="1"/>
  <c r="R1069" i="11"/>
  <c r="S1069" i="11" s="1"/>
  <c r="T1069" i="11" s="1"/>
  <c r="R1070" i="11"/>
  <c r="S1070" i="11" s="1"/>
  <c r="T1070" i="11" s="1"/>
  <c r="R1071" i="11"/>
  <c r="S1071" i="11" s="1"/>
  <c r="T1071" i="11" s="1"/>
  <c r="R1072" i="11"/>
  <c r="S1072" i="11" s="1"/>
  <c r="T1072" i="11" s="1"/>
  <c r="R1073" i="11"/>
  <c r="S1073" i="11" s="1"/>
  <c r="T1073" i="11" s="1"/>
  <c r="R1074" i="11"/>
  <c r="S1074" i="11" s="1"/>
  <c r="T1074" i="11" s="1"/>
  <c r="R1075" i="11"/>
  <c r="S1075" i="11" s="1"/>
  <c r="T1075" i="11" s="1"/>
  <c r="R1076" i="11"/>
  <c r="S1076" i="11" s="1"/>
  <c r="T1076" i="11" s="1"/>
  <c r="R1077" i="11"/>
  <c r="S1077" i="11" s="1"/>
  <c r="T1077" i="11" s="1"/>
  <c r="R1078" i="11"/>
  <c r="S1078" i="11" s="1"/>
  <c r="T1078" i="11" s="1"/>
  <c r="R1079" i="11"/>
  <c r="S1079" i="11" s="1"/>
  <c r="T1079" i="11" s="1"/>
  <c r="R1080" i="11"/>
  <c r="S1080" i="11" s="1"/>
  <c r="T1080" i="11" s="1"/>
  <c r="R1081" i="11"/>
  <c r="S1081" i="11" s="1"/>
  <c r="T1081" i="11" s="1"/>
  <c r="R2" i="11"/>
  <c r="S2" i="11" s="1"/>
  <c r="T2" i="11" s="1"/>
  <c r="Q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Q758" i="11"/>
  <c r="Q759" i="11"/>
  <c r="Q760" i="11"/>
  <c r="Q761" i="11"/>
  <c r="Q762" i="11"/>
  <c r="Q763" i="11"/>
  <c r="Q764" i="11"/>
  <c r="Q765" i="11"/>
  <c r="Q766" i="11"/>
  <c r="Q767" i="11"/>
  <c r="Q768" i="11"/>
  <c r="Q769" i="11"/>
  <c r="Q770" i="11"/>
  <c r="Q771" i="11"/>
  <c r="Q772" i="11"/>
  <c r="Q773" i="11"/>
  <c r="Q774" i="11"/>
  <c r="Q775" i="11"/>
  <c r="Q776" i="11"/>
  <c r="Q777" i="11"/>
  <c r="Q778" i="11"/>
  <c r="Q779" i="11"/>
  <c r="Q780" i="11"/>
  <c r="Q781" i="11"/>
  <c r="Q782" i="11"/>
  <c r="Q783" i="11"/>
  <c r="Q784" i="11"/>
  <c r="Q785" i="11"/>
  <c r="Q786" i="11"/>
  <c r="Q787" i="11"/>
  <c r="Q788" i="11"/>
  <c r="Q789" i="11"/>
  <c r="Q790" i="11"/>
  <c r="Q791" i="11"/>
  <c r="Q792" i="11"/>
  <c r="Q793" i="11"/>
  <c r="Q794" i="11"/>
  <c r="Q795" i="11"/>
  <c r="Q796" i="11"/>
  <c r="Q797" i="11"/>
  <c r="Q798" i="11"/>
  <c r="Q799" i="11"/>
  <c r="Q800" i="11"/>
  <c r="Q801" i="11"/>
  <c r="Q802" i="11"/>
  <c r="Q803" i="11"/>
  <c r="Q804" i="11"/>
  <c r="Q805" i="11"/>
  <c r="Q806" i="11"/>
  <c r="Q807" i="11"/>
  <c r="Q808" i="11"/>
  <c r="Q809" i="11"/>
  <c r="Q810" i="11"/>
  <c r="Q811" i="11"/>
  <c r="Q812" i="11"/>
  <c r="Q813" i="11"/>
  <c r="Q814" i="11"/>
  <c r="Q815" i="11"/>
  <c r="Q816" i="11"/>
  <c r="Q817" i="11"/>
  <c r="Q818" i="11"/>
  <c r="Q819" i="11"/>
  <c r="Q820" i="11"/>
  <c r="Q821" i="11"/>
  <c r="Q822" i="11"/>
  <c r="Q823" i="11"/>
  <c r="Q824" i="11"/>
  <c r="Q825" i="11"/>
  <c r="Q826" i="11"/>
  <c r="Q827" i="11"/>
  <c r="Q828" i="11"/>
  <c r="Q829" i="11"/>
  <c r="Q830" i="11"/>
  <c r="Q831" i="11"/>
  <c r="Q832" i="11"/>
  <c r="Q833" i="11"/>
  <c r="Q834" i="11"/>
  <c r="Q835" i="11"/>
  <c r="Q836" i="11"/>
  <c r="Q837" i="11"/>
  <c r="Q838" i="11"/>
  <c r="Q839" i="11"/>
  <c r="Q840" i="11"/>
  <c r="Q841" i="11"/>
  <c r="Q842" i="11"/>
  <c r="Q843" i="11"/>
  <c r="Q844" i="11"/>
  <c r="Q845" i="11"/>
  <c r="Q846" i="11"/>
  <c r="Q847" i="11"/>
  <c r="Q848" i="11"/>
  <c r="Q849" i="11"/>
  <c r="Q850" i="11"/>
  <c r="Q851" i="11"/>
  <c r="Q852" i="11"/>
  <c r="Q853" i="11"/>
  <c r="Q854" i="11"/>
  <c r="Q855" i="11"/>
  <c r="Q856" i="11"/>
  <c r="Q857" i="11"/>
  <c r="Q858" i="11"/>
  <c r="Q859" i="11"/>
  <c r="Q860" i="11"/>
  <c r="Q861" i="11"/>
  <c r="Q862" i="11"/>
  <c r="Q863" i="11"/>
  <c r="Q864" i="11"/>
  <c r="Q865" i="11"/>
  <c r="Q866" i="11"/>
  <c r="Q867" i="11"/>
  <c r="Q868" i="11"/>
  <c r="Q869" i="11"/>
  <c r="Q870" i="11"/>
  <c r="Q871" i="11"/>
  <c r="Q872" i="11"/>
  <c r="Q873" i="11"/>
  <c r="Q874" i="11"/>
  <c r="Q875" i="11"/>
  <c r="Q876" i="11"/>
  <c r="Q877" i="11"/>
  <c r="Q878" i="11"/>
  <c r="Q879" i="11"/>
  <c r="Q880" i="11"/>
  <c r="Q881" i="11"/>
  <c r="Q882" i="11"/>
  <c r="Q883" i="11"/>
  <c r="Q884" i="11"/>
  <c r="Q885" i="11"/>
  <c r="Q886" i="11"/>
  <c r="Q887" i="11"/>
  <c r="Q888" i="11"/>
  <c r="Q889" i="11"/>
  <c r="Q890" i="11"/>
  <c r="Q891" i="11"/>
  <c r="Q892" i="11"/>
  <c r="Q893" i="11"/>
  <c r="Q894" i="11"/>
  <c r="Q895" i="11"/>
  <c r="Q896" i="11"/>
  <c r="Q897" i="11"/>
  <c r="Q898" i="11"/>
  <c r="Q899" i="11"/>
  <c r="Q900" i="11"/>
  <c r="Q901" i="11"/>
  <c r="Q902" i="11"/>
  <c r="Q903" i="11"/>
  <c r="Q904" i="11"/>
  <c r="Q905" i="11"/>
  <c r="Q906" i="11"/>
  <c r="Q907" i="11"/>
  <c r="Q908" i="11"/>
  <c r="Q909" i="11"/>
  <c r="Q910" i="11"/>
  <c r="Q911" i="11"/>
  <c r="Q912" i="11"/>
  <c r="Q913" i="11"/>
  <c r="Q914" i="11"/>
  <c r="Q915" i="11"/>
  <c r="Q916" i="11"/>
  <c r="Q917" i="11"/>
  <c r="Q918" i="11"/>
  <c r="Q919" i="11"/>
  <c r="Q920" i="11"/>
  <c r="Q921" i="11"/>
  <c r="Q922" i="11"/>
  <c r="Q923" i="11"/>
  <c r="Q924" i="11"/>
  <c r="Q925" i="11"/>
  <c r="Q926" i="11"/>
  <c r="Q927" i="11"/>
  <c r="Q928" i="11"/>
  <c r="Q929" i="11"/>
  <c r="Q930" i="11"/>
  <c r="Q931" i="11"/>
  <c r="Q932" i="11"/>
  <c r="Q933" i="11"/>
  <c r="Q934" i="11"/>
  <c r="Q935" i="11"/>
  <c r="Q936" i="11"/>
  <c r="Q937" i="11"/>
  <c r="Q938" i="11"/>
  <c r="Q939" i="11"/>
  <c r="Q940" i="11"/>
  <c r="Q941" i="11"/>
  <c r="Q942" i="11"/>
  <c r="Q943" i="11"/>
  <c r="Q944" i="11"/>
  <c r="Q945" i="11"/>
  <c r="Q946" i="11"/>
  <c r="Q947" i="11"/>
  <c r="Q948" i="11"/>
  <c r="Q949" i="11"/>
  <c r="Q950" i="11"/>
  <c r="Q951" i="11"/>
  <c r="Q952" i="11"/>
  <c r="Q953" i="11"/>
  <c r="Q954" i="11"/>
  <c r="Q955" i="11"/>
  <c r="Q956" i="11"/>
  <c r="Q957" i="11"/>
  <c r="Q958" i="11"/>
  <c r="Q959" i="11"/>
  <c r="Q960" i="11"/>
  <c r="Q961" i="11"/>
  <c r="Q962" i="11"/>
  <c r="Q963" i="11"/>
  <c r="Q964" i="11"/>
  <c r="Q965" i="11"/>
  <c r="Q966" i="11"/>
  <c r="Q967" i="11"/>
  <c r="Q968" i="11"/>
  <c r="Q969" i="11"/>
  <c r="Q970" i="11"/>
  <c r="Q971" i="11"/>
  <c r="Q972" i="11"/>
  <c r="Q973" i="11"/>
  <c r="Q974" i="11"/>
  <c r="Q975" i="11"/>
  <c r="Q976" i="11"/>
  <c r="Q977" i="11"/>
  <c r="Q978" i="11"/>
  <c r="Q979" i="11"/>
  <c r="Q980" i="11"/>
  <c r="Q981" i="11"/>
  <c r="Q982" i="11"/>
  <c r="Q983" i="11"/>
  <c r="Q984" i="11"/>
  <c r="Q985" i="11"/>
  <c r="Q986" i="11"/>
  <c r="Q987" i="11"/>
  <c r="Q988" i="11"/>
  <c r="Q989" i="11"/>
  <c r="Q990" i="11"/>
  <c r="Q991" i="11"/>
  <c r="Q992" i="11"/>
  <c r="Q993" i="11"/>
  <c r="Q994" i="11"/>
  <c r="Q995" i="11"/>
  <c r="Q996" i="11"/>
  <c r="Q997" i="11"/>
  <c r="Q998" i="11"/>
  <c r="Q999" i="11"/>
  <c r="Q1000" i="11"/>
  <c r="Q1001" i="11"/>
  <c r="Q1002" i="11"/>
  <c r="Q1003" i="11"/>
  <c r="Q1004" i="11"/>
  <c r="Q1005" i="11"/>
  <c r="Q1006" i="11"/>
  <c r="Q1007" i="11"/>
  <c r="Q1008" i="11"/>
  <c r="Q1009" i="11"/>
  <c r="Q1010" i="11"/>
  <c r="Q1011" i="11"/>
  <c r="Q1012" i="11"/>
  <c r="Q1013" i="11"/>
  <c r="Q1014" i="11"/>
  <c r="Q1015" i="11"/>
  <c r="Q1016" i="11"/>
  <c r="Q1017" i="11"/>
  <c r="Q1018" i="11"/>
  <c r="Q1019" i="11"/>
  <c r="Q1020" i="11"/>
  <c r="Q1021" i="11"/>
  <c r="Q1022" i="11"/>
  <c r="Q1023" i="11"/>
  <c r="Q1024" i="11"/>
  <c r="Q1025" i="11"/>
  <c r="Q1026" i="11"/>
  <c r="Q1027" i="11"/>
  <c r="Q1028" i="11"/>
  <c r="Q1029" i="11"/>
  <c r="Q1030" i="11"/>
  <c r="Q1031" i="11"/>
  <c r="Q1032" i="11"/>
  <c r="Q1033" i="11"/>
  <c r="Q1034" i="11"/>
  <c r="Q1035" i="11"/>
  <c r="Q1036" i="11"/>
  <c r="Q1037" i="11"/>
  <c r="Q1038" i="11"/>
  <c r="Q1039" i="11"/>
  <c r="Q1040" i="11"/>
  <c r="Q1041" i="11"/>
  <c r="Q1042" i="11"/>
  <c r="Q1043" i="11"/>
  <c r="Q1044" i="11"/>
  <c r="Q1045" i="11"/>
  <c r="Q1046" i="11"/>
  <c r="Q1047" i="11"/>
  <c r="Q1048" i="11"/>
  <c r="Q1049" i="11"/>
  <c r="Q1050" i="11"/>
  <c r="Q1051" i="11"/>
  <c r="Q1052" i="11"/>
  <c r="Q1053" i="11"/>
  <c r="Q1054" i="11"/>
  <c r="Q1055" i="11"/>
  <c r="Q1056" i="11"/>
  <c r="Q1057" i="11"/>
  <c r="Q1058" i="11"/>
  <c r="Q1059" i="11"/>
  <c r="Q1060" i="11"/>
  <c r="Q1061" i="11"/>
  <c r="Q1062" i="11"/>
  <c r="Q1063" i="11"/>
  <c r="Q1064" i="11"/>
  <c r="Q1065" i="11"/>
  <c r="Q1066" i="11"/>
  <c r="Q1067" i="11"/>
  <c r="Q1068" i="11"/>
  <c r="Q1069" i="11"/>
  <c r="Q1070" i="11"/>
  <c r="Q1071" i="11"/>
  <c r="Q1072" i="11"/>
  <c r="Q1073" i="11"/>
  <c r="Q1074" i="11"/>
  <c r="Q1075" i="11"/>
  <c r="Q1076" i="11"/>
  <c r="Q1077" i="11"/>
  <c r="Q1078" i="11"/>
  <c r="Q1079" i="11"/>
  <c r="Q1080" i="11"/>
  <c r="Q1081" i="11"/>
  <c r="A15" i="10"/>
  <c r="A16" i="10"/>
  <c r="A17" i="10"/>
  <c r="A18" i="10"/>
  <c r="A19" i="10"/>
  <c r="A20" i="10"/>
  <c r="A21" i="10"/>
  <c r="A22" i="10"/>
  <c r="A23" i="10"/>
  <c r="A24" i="10"/>
  <c r="A25" i="10"/>
  <c r="A3" i="10"/>
  <c r="A4" i="10"/>
  <c r="A5" i="10"/>
  <c r="A6" i="10"/>
  <c r="A7" i="10"/>
  <c r="A8" i="10"/>
  <c r="A9" i="10"/>
  <c r="A10" i="10"/>
  <c r="A11" i="10"/>
  <c r="A12" i="10"/>
  <c r="A13" i="10"/>
  <c r="A14" i="10"/>
  <c r="A2" i="10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0" i="11"/>
  <c r="K1041" i="11"/>
  <c r="K1042" i="11"/>
  <c r="K1043" i="11"/>
  <c r="K1044" i="11"/>
  <c r="K1045" i="11"/>
  <c r="K1046" i="11"/>
  <c r="K1047" i="11"/>
  <c r="K1048" i="11"/>
  <c r="K1049" i="11"/>
  <c r="K1050" i="11"/>
  <c r="K1051" i="11"/>
  <c r="K1052" i="11"/>
  <c r="K1053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K1075" i="11"/>
  <c r="K1076" i="11"/>
  <c r="K1077" i="11"/>
  <c r="K1078" i="11"/>
  <c r="K1079" i="11"/>
  <c r="K1080" i="11"/>
  <c r="K1081" i="11"/>
  <c r="A18" i="7"/>
  <c r="A19" i="7"/>
  <c r="A20" i="7"/>
  <c r="A21" i="7"/>
  <c r="A22" i="7"/>
  <c r="A23" i="7"/>
  <c r="A24" i="7"/>
  <c r="A25" i="7"/>
  <c r="A26" i="7"/>
  <c r="A27" i="7"/>
  <c r="A28" i="7"/>
  <c r="A17" i="7"/>
  <c r="A6" i="7"/>
  <c r="A7" i="7"/>
  <c r="A8" i="7"/>
  <c r="A9" i="7"/>
  <c r="A10" i="7"/>
  <c r="A11" i="7"/>
  <c r="A12" i="7"/>
  <c r="A13" i="7"/>
  <c r="A14" i="7"/>
  <c r="A15" i="7"/>
  <c r="A16" i="7"/>
  <c r="A5" i="7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5" i="9"/>
  <c r="D22" i="9"/>
  <c r="D23" i="9"/>
  <c r="D24" i="9"/>
  <c r="D25" i="9"/>
  <c r="D26" i="9"/>
  <c r="D27" i="9"/>
  <c r="D28" i="9"/>
  <c r="D17" i="9"/>
  <c r="D18" i="9"/>
  <c r="D19" i="9"/>
  <c r="D20" i="9"/>
  <c r="D21" i="9"/>
  <c r="D6" i="9"/>
  <c r="D7" i="9"/>
  <c r="D8" i="9"/>
  <c r="D9" i="9"/>
  <c r="D10" i="9"/>
  <c r="D11" i="9"/>
  <c r="D12" i="9"/>
  <c r="D13" i="9"/>
  <c r="D14" i="9"/>
  <c r="D15" i="9"/>
  <c r="D16" i="9"/>
  <c r="D5" i="9"/>
  <c r="C18" i="9"/>
  <c r="C19" i="9"/>
  <c r="C20" i="9"/>
  <c r="C21" i="9"/>
  <c r="C22" i="9"/>
  <c r="C23" i="9"/>
  <c r="C24" i="9"/>
  <c r="C25" i="9"/>
  <c r="C26" i="9"/>
  <c r="C27" i="9"/>
  <c r="C28" i="9"/>
  <c r="C17" i="9"/>
  <c r="C16" i="9"/>
  <c r="C6" i="9"/>
  <c r="C7" i="9"/>
  <c r="C8" i="9"/>
  <c r="C9" i="9"/>
  <c r="C10" i="9"/>
  <c r="C11" i="9"/>
  <c r="C12" i="9"/>
  <c r="C13" i="9"/>
  <c r="C14" i="9"/>
  <c r="C15" i="9"/>
  <c r="C5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I33" i="19" l="1"/>
  <c r="I34" i="19"/>
  <c r="H34" i="19"/>
  <c r="H33" i="19"/>
  <c r="G33" i="19"/>
  <c r="G34" i="19"/>
  <c r="F34" i="19"/>
  <c r="F33" i="19"/>
  <c r="E33" i="19"/>
  <c r="E34" i="19"/>
  <c r="D33" i="19"/>
  <c r="D34" i="19"/>
  <c r="C33" i="19"/>
  <c r="C34" i="19"/>
  <c r="B33" i="19"/>
  <c r="B34" i="19"/>
  <c r="J6" i="19"/>
  <c r="K6" i="19" s="1"/>
  <c r="R25" i="18"/>
  <c r="G7" i="17"/>
  <c r="F7" i="17"/>
  <c r="K4" i="17"/>
  <c r="K3" i="17"/>
  <c r="R22" i="18"/>
  <c r="R16" i="18"/>
  <c r="R15" i="18"/>
  <c r="R11" i="18"/>
  <c r="R10" i="18"/>
  <c r="R8" i="18"/>
  <c r="R7" i="18"/>
  <c r="R6" i="18"/>
  <c r="R4" i="18"/>
  <c r="R21" i="18"/>
  <c r="R20" i="18"/>
  <c r="R19" i="18"/>
  <c r="R18" i="18"/>
  <c r="R17" i="18"/>
  <c r="R13" i="18"/>
  <c r="R12" i="18"/>
  <c r="K6" i="17"/>
  <c r="R24" i="18"/>
  <c r="R23" i="18"/>
  <c r="R14" i="18"/>
  <c r="R9" i="18"/>
  <c r="R5" i="18"/>
  <c r="R3" i="18"/>
  <c r="K5" i="17"/>
  <c r="Q25" i="18"/>
  <c r="K25" i="18"/>
  <c r="N25" i="18"/>
  <c r="D25" i="18"/>
  <c r="Q24" i="18"/>
  <c r="K24" i="18"/>
  <c r="D24" i="18"/>
  <c r="N24" i="18"/>
  <c r="K23" i="18"/>
  <c r="Q23" i="18"/>
  <c r="D23" i="18"/>
  <c r="N23" i="18"/>
  <c r="Q22" i="18"/>
  <c r="K22" i="18"/>
  <c r="D22" i="18"/>
  <c r="N22" i="18"/>
  <c r="Q21" i="18"/>
  <c r="K21" i="18"/>
  <c r="D21" i="18"/>
  <c r="N21" i="18"/>
  <c r="Q20" i="18"/>
  <c r="K20" i="18"/>
  <c r="D20" i="18"/>
  <c r="N20" i="18"/>
  <c r="Q19" i="18"/>
  <c r="K19" i="18"/>
  <c r="N19" i="18"/>
  <c r="D19" i="18"/>
  <c r="Q18" i="18"/>
  <c r="K18" i="18"/>
  <c r="N18" i="18"/>
  <c r="D18" i="18"/>
  <c r="Q17" i="18"/>
  <c r="K17" i="18"/>
  <c r="N17" i="18"/>
  <c r="D17" i="18"/>
  <c r="K16" i="18"/>
  <c r="Q16" i="18"/>
  <c r="N16" i="18"/>
  <c r="D16" i="18"/>
  <c r="Q15" i="18"/>
  <c r="K15" i="18"/>
  <c r="N15" i="18"/>
  <c r="D15" i="18"/>
  <c r="K14" i="18"/>
  <c r="Q14" i="18"/>
  <c r="N14" i="18"/>
  <c r="D14" i="18"/>
  <c r="K13" i="18"/>
  <c r="Q13" i="18"/>
  <c r="N13" i="18"/>
  <c r="D13" i="18"/>
  <c r="Q12" i="18"/>
  <c r="K12" i="18"/>
  <c r="N12" i="18"/>
  <c r="D12" i="18"/>
  <c r="K11" i="18"/>
  <c r="Q11" i="18"/>
  <c r="D11" i="18"/>
  <c r="N11" i="18"/>
  <c r="Q10" i="18"/>
  <c r="K10" i="18"/>
  <c r="N10" i="18"/>
  <c r="D10" i="18"/>
  <c r="K9" i="18"/>
  <c r="Q9" i="18"/>
  <c r="N9" i="18"/>
  <c r="D9" i="18"/>
  <c r="K8" i="18"/>
  <c r="Q8" i="18"/>
  <c r="D8" i="18"/>
  <c r="N8" i="18"/>
  <c r="Q7" i="18"/>
  <c r="K7" i="18"/>
  <c r="N7" i="18"/>
  <c r="D7" i="18"/>
  <c r="K6" i="18"/>
  <c r="Q6" i="18"/>
  <c r="N6" i="18"/>
  <c r="D6" i="18"/>
  <c r="Q5" i="18"/>
  <c r="K5" i="18"/>
  <c r="N5" i="18"/>
  <c r="D5" i="18"/>
  <c r="Q4" i="18"/>
  <c r="K4" i="18"/>
  <c r="N4" i="18"/>
  <c r="D4" i="18"/>
  <c r="Q3" i="18"/>
  <c r="K3" i="18"/>
  <c r="O3" i="18" s="1"/>
  <c r="D3" i="18"/>
  <c r="N3" i="18"/>
  <c r="E2" i="18"/>
  <c r="L2" i="18"/>
  <c r="M2" i="18" s="1"/>
  <c r="L6" i="17"/>
  <c r="J6" i="17"/>
  <c r="H6" i="17"/>
  <c r="L5" i="17"/>
  <c r="J5" i="17"/>
  <c r="H5" i="17"/>
  <c r="I5" i="17" s="1"/>
  <c r="L4" i="17"/>
  <c r="J4" i="17"/>
  <c r="H4" i="17"/>
  <c r="L3" i="17"/>
  <c r="J3" i="17"/>
  <c r="H3" i="17"/>
  <c r="K2" i="17"/>
  <c r="D7" i="17"/>
  <c r="L2" i="17"/>
  <c r="J2" i="17"/>
  <c r="H2" i="17"/>
  <c r="G15" i="10"/>
  <c r="G13" i="10"/>
  <c r="G18" i="10"/>
  <c r="G20" i="10"/>
  <c r="G24" i="10"/>
  <c r="B12" i="7"/>
  <c r="D9" i="10" s="1"/>
  <c r="G11" i="10"/>
  <c r="G16" i="10"/>
  <c r="G17" i="10"/>
  <c r="G19" i="10"/>
  <c r="G22" i="10"/>
  <c r="G25" i="10"/>
  <c r="G2" i="10"/>
  <c r="G14" i="10"/>
  <c r="G12" i="10"/>
  <c r="G21" i="10"/>
  <c r="G23" i="10"/>
  <c r="G4" i="10"/>
  <c r="G3" i="10"/>
  <c r="G5" i="10"/>
  <c r="G6" i="10"/>
  <c r="G7" i="10"/>
  <c r="G8" i="10"/>
  <c r="G9" i="10"/>
  <c r="H9" i="10" s="1"/>
  <c r="G10" i="10"/>
  <c r="B23" i="7"/>
  <c r="D20" i="10" s="1"/>
  <c r="B18" i="10"/>
  <c r="B23" i="10"/>
  <c r="B25" i="10"/>
  <c r="B22" i="7"/>
  <c r="D19" i="10" s="1"/>
  <c r="B21" i="7"/>
  <c r="D18" i="10" s="1"/>
  <c r="B2" i="10"/>
  <c r="B12" i="10"/>
  <c r="B5" i="7"/>
  <c r="D2" i="10" s="1"/>
  <c r="B28" i="7"/>
  <c r="D25" i="10" s="1"/>
  <c r="B27" i="7"/>
  <c r="D24" i="10" s="1"/>
  <c r="B26" i="7"/>
  <c r="D23" i="10" s="1"/>
  <c r="B25" i="7"/>
  <c r="D22" i="10" s="1"/>
  <c r="B24" i="7"/>
  <c r="D21" i="10" s="1"/>
  <c r="B7" i="7"/>
  <c r="D4" i="10" s="1"/>
  <c r="B20" i="7"/>
  <c r="D17" i="10" s="1"/>
  <c r="B19" i="7"/>
  <c r="D16" i="10" s="1"/>
  <c r="B16" i="7"/>
  <c r="D13" i="10" s="1"/>
  <c r="B15" i="7"/>
  <c r="D12" i="10" s="1"/>
  <c r="B13" i="7"/>
  <c r="D10" i="10" s="1"/>
  <c r="B11" i="7"/>
  <c r="D8" i="10" s="1"/>
  <c r="B6" i="7"/>
  <c r="D3" i="10" s="1"/>
  <c r="B24" i="10"/>
  <c r="C24" i="10" s="1"/>
  <c r="B22" i="10"/>
  <c r="B21" i="10"/>
  <c r="B20" i="10"/>
  <c r="B19" i="10"/>
  <c r="C19" i="10" s="1"/>
  <c r="B14" i="10"/>
  <c r="B10" i="10"/>
  <c r="B8" i="10"/>
  <c r="B5" i="10"/>
  <c r="B18" i="7"/>
  <c r="D15" i="10" s="1"/>
  <c r="B17" i="7"/>
  <c r="D14" i="10" s="1"/>
  <c r="B14" i="7"/>
  <c r="D11" i="10" s="1"/>
  <c r="B10" i="7"/>
  <c r="D7" i="10" s="1"/>
  <c r="B9" i="7"/>
  <c r="D6" i="10" s="1"/>
  <c r="B8" i="7"/>
  <c r="D5" i="10" s="1"/>
  <c r="B15" i="10"/>
  <c r="C15" i="10" s="1"/>
  <c r="B13" i="10"/>
  <c r="C13" i="10" s="1"/>
  <c r="B11" i="10"/>
  <c r="C11" i="10" s="1"/>
  <c r="B9" i="10"/>
  <c r="B7" i="10"/>
  <c r="B6" i="10"/>
  <c r="C6" i="10" s="1"/>
  <c r="B4" i="10"/>
  <c r="B16" i="10"/>
  <c r="C16" i="10" s="1"/>
  <c r="B3" i="10"/>
  <c r="C3" i="10" s="1"/>
  <c r="B17" i="10"/>
  <c r="C17" i="10" s="1"/>
  <c r="P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J12" i="19" l="1"/>
  <c r="K12" i="19" s="1"/>
  <c r="J14" i="19"/>
  <c r="K14" i="19" s="1"/>
  <c r="J17" i="19"/>
  <c r="K17" i="19" s="1"/>
  <c r="J18" i="19"/>
  <c r="K18" i="19" s="1"/>
  <c r="J22" i="19"/>
  <c r="K22" i="19" s="1"/>
  <c r="J27" i="19"/>
  <c r="K27" i="19" s="1"/>
  <c r="J26" i="19"/>
  <c r="K26" i="19" s="1"/>
  <c r="J8" i="19"/>
  <c r="K8" i="19" s="1"/>
  <c r="J9" i="19"/>
  <c r="K9" i="19" s="1"/>
  <c r="J13" i="19"/>
  <c r="K13" i="19" s="1"/>
  <c r="J16" i="19"/>
  <c r="K16" i="19" s="1"/>
  <c r="J20" i="19"/>
  <c r="K20" i="19" s="1"/>
  <c r="J21" i="19"/>
  <c r="K21" i="19" s="1"/>
  <c r="J24" i="19"/>
  <c r="K24" i="19" s="1"/>
  <c r="J25" i="19"/>
  <c r="K25" i="19" s="1"/>
  <c r="J7" i="19"/>
  <c r="K7" i="19" s="1"/>
  <c r="J10" i="19"/>
  <c r="K10" i="19" s="1"/>
  <c r="J11" i="19"/>
  <c r="K11" i="19" s="1"/>
  <c r="J15" i="19"/>
  <c r="K15" i="19" s="1"/>
  <c r="J19" i="19"/>
  <c r="K19" i="19" s="1"/>
  <c r="J23" i="19"/>
  <c r="K23" i="19" s="1"/>
  <c r="J28" i="19"/>
  <c r="K28" i="19" s="1"/>
  <c r="P3" i="18"/>
  <c r="J7" i="17"/>
  <c r="K7" i="17"/>
  <c r="E25" i="18"/>
  <c r="L25" i="18"/>
  <c r="M25" i="18" s="1"/>
  <c r="E24" i="18"/>
  <c r="L24" i="18"/>
  <c r="M24" i="18" s="1"/>
  <c r="E23" i="18"/>
  <c r="L23" i="18"/>
  <c r="M23" i="18" s="1"/>
  <c r="E22" i="18"/>
  <c r="L22" i="18"/>
  <c r="M22" i="18" s="1"/>
  <c r="E21" i="18"/>
  <c r="L21" i="18"/>
  <c r="M21" i="18" s="1"/>
  <c r="E20" i="18"/>
  <c r="L20" i="18"/>
  <c r="M20" i="18" s="1"/>
  <c r="E19" i="18"/>
  <c r="L19" i="18"/>
  <c r="M19" i="18" s="1"/>
  <c r="E18" i="18"/>
  <c r="L18" i="18"/>
  <c r="M18" i="18" s="1"/>
  <c r="E17" i="18"/>
  <c r="L17" i="18"/>
  <c r="M17" i="18" s="1"/>
  <c r="L16" i="18"/>
  <c r="M16" i="18" s="1"/>
  <c r="E16" i="18"/>
  <c r="E15" i="18"/>
  <c r="L15" i="18"/>
  <c r="M15" i="18" s="1"/>
  <c r="E14" i="18"/>
  <c r="L14" i="18"/>
  <c r="M14" i="18" s="1"/>
  <c r="E13" i="18"/>
  <c r="L13" i="18"/>
  <c r="M13" i="18" s="1"/>
  <c r="E12" i="18"/>
  <c r="L12" i="18"/>
  <c r="M12" i="18" s="1"/>
  <c r="E11" i="18"/>
  <c r="L11" i="18"/>
  <c r="M11" i="18" s="1"/>
  <c r="E10" i="18"/>
  <c r="L10" i="18"/>
  <c r="M10" i="18" s="1"/>
  <c r="E9" i="18"/>
  <c r="L9" i="18"/>
  <c r="M9" i="18" s="1"/>
  <c r="L8" i="18"/>
  <c r="M8" i="18" s="1"/>
  <c r="E8" i="18"/>
  <c r="E7" i="18"/>
  <c r="L7" i="18"/>
  <c r="M7" i="18" s="1"/>
  <c r="E6" i="18"/>
  <c r="L6" i="18"/>
  <c r="M6" i="18" s="1"/>
  <c r="E5" i="18"/>
  <c r="L5" i="18"/>
  <c r="M5" i="18" s="1"/>
  <c r="E4" i="18"/>
  <c r="L4" i="18"/>
  <c r="M4" i="18" s="1"/>
  <c r="E3" i="18"/>
  <c r="S3" i="18" s="1"/>
  <c r="L3" i="18"/>
  <c r="M3" i="18" s="1"/>
  <c r="T3" i="18" s="1"/>
  <c r="O25" i="18"/>
  <c r="P25" i="18" s="1"/>
  <c r="O24" i="18"/>
  <c r="P24" i="18" s="1"/>
  <c r="O23" i="18"/>
  <c r="P23" i="18" s="1"/>
  <c r="O22" i="18"/>
  <c r="P22" i="18" s="1"/>
  <c r="O21" i="18"/>
  <c r="P21" i="18" s="1"/>
  <c r="O20" i="18"/>
  <c r="P20" i="18" s="1"/>
  <c r="O19" i="18"/>
  <c r="P19" i="18" s="1"/>
  <c r="O18" i="18"/>
  <c r="P18" i="18" s="1"/>
  <c r="O17" i="18"/>
  <c r="P17" i="18" s="1"/>
  <c r="O16" i="18"/>
  <c r="P16" i="18" s="1"/>
  <c r="O15" i="18"/>
  <c r="P15" i="18" s="1"/>
  <c r="O14" i="18"/>
  <c r="P14" i="18" s="1"/>
  <c r="O13" i="18"/>
  <c r="P13" i="18" s="1"/>
  <c r="O12" i="18"/>
  <c r="P12" i="18" s="1"/>
  <c r="O11" i="18"/>
  <c r="P11" i="18" s="1"/>
  <c r="O10" i="18"/>
  <c r="P10" i="18" s="1"/>
  <c r="O9" i="18"/>
  <c r="P9" i="18" s="1"/>
  <c r="O8" i="18"/>
  <c r="P8" i="18" s="1"/>
  <c r="O7" i="18"/>
  <c r="P7" i="18" s="1"/>
  <c r="O6" i="18"/>
  <c r="P6" i="18" s="1"/>
  <c r="O5" i="18"/>
  <c r="P5" i="18" s="1"/>
  <c r="O4" i="18"/>
  <c r="P4" i="18" s="1"/>
  <c r="I6" i="17"/>
  <c r="N6" i="17"/>
  <c r="O6" i="17" s="1"/>
  <c r="N5" i="17"/>
  <c r="O5" i="17" s="1"/>
  <c r="I4" i="17"/>
  <c r="N4" i="17"/>
  <c r="O4" i="17" s="1"/>
  <c r="I3" i="17"/>
  <c r="N3" i="17"/>
  <c r="O3" i="17" s="1"/>
  <c r="I2" i="17"/>
  <c r="N2" i="17"/>
  <c r="H7" i="17"/>
  <c r="I7" i="17" s="1"/>
  <c r="L7" i="17"/>
  <c r="C18" i="10"/>
  <c r="C12" i="10"/>
  <c r="C20" i="10"/>
  <c r="C10" i="10"/>
  <c r="C4" i="10"/>
  <c r="C23" i="10"/>
  <c r="C22" i="10"/>
  <c r="C8" i="10"/>
  <c r="C7" i="10"/>
  <c r="C25" i="10"/>
  <c r="C21" i="10"/>
  <c r="C14" i="10"/>
  <c r="C5" i="10"/>
  <c r="H20" i="10"/>
  <c r="E20" i="10"/>
  <c r="H19" i="10"/>
  <c r="E19" i="10"/>
  <c r="H18" i="10"/>
  <c r="E18" i="10"/>
  <c r="H2" i="10"/>
  <c r="E2" i="10"/>
  <c r="H25" i="10"/>
  <c r="E25" i="10"/>
  <c r="H24" i="10"/>
  <c r="E24" i="10"/>
  <c r="H23" i="10"/>
  <c r="E23" i="10"/>
  <c r="H22" i="10"/>
  <c r="E22" i="10"/>
  <c r="H21" i="10"/>
  <c r="I21" i="10" s="1"/>
  <c r="E21" i="10"/>
  <c r="F21" i="10" s="1"/>
  <c r="J21" i="10" s="1"/>
  <c r="H4" i="10"/>
  <c r="E4" i="10"/>
  <c r="H17" i="10"/>
  <c r="E17" i="10"/>
  <c r="H16" i="10"/>
  <c r="E16" i="10"/>
  <c r="H13" i="10"/>
  <c r="E13" i="10"/>
  <c r="H12" i="10"/>
  <c r="E12" i="10"/>
  <c r="H10" i="10"/>
  <c r="I10" i="10" s="1"/>
  <c r="E10" i="10"/>
  <c r="H8" i="10"/>
  <c r="E8" i="10"/>
  <c r="H3" i="10"/>
  <c r="E3" i="10"/>
  <c r="H15" i="10"/>
  <c r="E15" i="10"/>
  <c r="H14" i="10"/>
  <c r="E14" i="10"/>
  <c r="H11" i="10"/>
  <c r="I11" i="10" s="1"/>
  <c r="E11" i="10"/>
  <c r="F11" i="10" s="1"/>
  <c r="J11" i="10" s="1"/>
  <c r="H7" i="10"/>
  <c r="E7" i="10"/>
  <c r="H6" i="10"/>
  <c r="E6" i="10"/>
  <c r="H5" i="10"/>
  <c r="E5" i="10"/>
  <c r="E9" i="10"/>
  <c r="C9" i="10"/>
  <c r="C23" i="7"/>
  <c r="D23" i="7"/>
  <c r="E25" i="7"/>
  <c r="D22" i="7"/>
  <c r="E24" i="7"/>
  <c r="C22" i="7"/>
  <c r="C21" i="7"/>
  <c r="D21" i="7"/>
  <c r="E23" i="7"/>
  <c r="C28" i="7"/>
  <c r="D28" i="7"/>
  <c r="D27" i="7"/>
  <c r="C27" i="7"/>
  <c r="D26" i="7"/>
  <c r="E28" i="7"/>
  <c r="C26" i="7"/>
  <c r="D25" i="7"/>
  <c r="E27" i="7"/>
  <c r="C25" i="7"/>
  <c r="D24" i="7"/>
  <c r="E26" i="7"/>
  <c r="C24" i="7"/>
  <c r="E9" i="7"/>
  <c r="C7" i="7"/>
  <c r="D20" i="7"/>
  <c r="E22" i="7"/>
  <c r="C20" i="7"/>
  <c r="D19" i="7"/>
  <c r="E21" i="7"/>
  <c r="C19" i="7"/>
  <c r="C16" i="7"/>
  <c r="E18" i="7"/>
  <c r="C15" i="7"/>
  <c r="E17" i="7"/>
  <c r="C13" i="7"/>
  <c r="E15" i="7"/>
  <c r="C11" i="7"/>
  <c r="E13" i="7"/>
  <c r="E8" i="7"/>
  <c r="C6" i="7"/>
  <c r="C12" i="7"/>
  <c r="E14" i="7"/>
  <c r="C18" i="7"/>
  <c r="D18" i="7"/>
  <c r="E20" i="7"/>
  <c r="D17" i="7"/>
  <c r="E19" i="7"/>
  <c r="C17" i="7"/>
  <c r="E16" i="7"/>
  <c r="C14" i="7"/>
  <c r="C10" i="7"/>
  <c r="E12" i="7"/>
  <c r="C9" i="7"/>
  <c r="E11" i="7"/>
  <c r="E10" i="7"/>
  <c r="C8" i="7"/>
  <c r="E7" i="7"/>
  <c r="S13" i="18" l="1"/>
  <c r="T10" i="18"/>
  <c r="S7" i="18"/>
  <c r="S25" i="18"/>
  <c r="T25" i="18"/>
  <c r="S24" i="18"/>
  <c r="T24" i="18"/>
  <c r="S23" i="18"/>
  <c r="T23" i="18"/>
  <c r="S22" i="18"/>
  <c r="T22" i="18"/>
  <c r="S21" i="18"/>
  <c r="T21" i="18"/>
  <c r="S20" i="18"/>
  <c r="T20" i="18"/>
  <c r="S19" i="18"/>
  <c r="T19" i="18"/>
  <c r="S18" i="18"/>
  <c r="T18" i="18"/>
  <c r="S17" i="18"/>
  <c r="T17" i="18"/>
  <c r="T16" i="18"/>
  <c r="S16" i="18"/>
  <c r="S15" i="18"/>
  <c r="T15" i="18"/>
  <c r="S14" i="18"/>
  <c r="T14" i="18"/>
  <c r="T13" i="18"/>
  <c r="S12" i="18"/>
  <c r="T12" i="18"/>
  <c r="S11" i="18"/>
  <c r="T11" i="18"/>
  <c r="S10" i="18"/>
  <c r="T9" i="18"/>
  <c r="T8" i="18"/>
  <c r="S9" i="18"/>
  <c r="T7" i="18"/>
  <c r="T6" i="18"/>
  <c r="T5" i="18"/>
  <c r="S8" i="18"/>
  <c r="S6" i="18"/>
  <c r="S5" i="18"/>
  <c r="S4" i="18"/>
  <c r="T4" i="18"/>
  <c r="O2" i="17"/>
  <c r="N7" i="17"/>
  <c r="O7" i="17" s="1"/>
  <c r="I3" i="10"/>
  <c r="F3" i="10"/>
  <c r="J3" i="10" s="1"/>
  <c r="I14" i="10"/>
  <c r="F14" i="10"/>
  <c r="J14" i="10" s="1"/>
  <c r="I6" i="10"/>
  <c r="F6" i="10"/>
  <c r="J6" i="10" s="1"/>
  <c r="F10" i="10"/>
  <c r="J10" i="10" s="1"/>
  <c r="I9" i="10"/>
  <c r="I8" i="10"/>
  <c r="I4" i="10"/>
  <c r="F4" i="10"/>
  <c r="J4" i="10" s="1"/>
  <c r="I17" i="10"/>
  <c r="F17" i="10"/>
  <c r="J17" i="10" s="1"/>
  <c r="I16" i="10"/>
  <c r="F16" i="10"/>
  <c r="J16" i="10" s="1"/>
  <c r="I13" i="10"/>
  <c r="F13" i="10"/>
  <c r="J13" i="10" s="1"/>
  <c r="I12" i="10"/>
  <c r="F12" i="10"/>
  <c r="J12" i="10" s="1"/>
  <c r="I15" i="10"/>
  <c r="F15" i="10"/>
  <c r="J15" i="10" s="1"/>
  <c r="I7" i="10"/>
  <c r="F7" i="10"/>
  <c r="J7" i="10" s="1"/>
  <c r="I5" i="10"/>
  <c r="F5" i="10"/>
  <c r="J5" i="10" s="1"/>
  <c r="F9" i="10"/>
  <c r="J9" i="10" s="1"/>
  <c r="F8" i="10"/>
  <c r="J8" i="10" s="1"/>
  <c r="I20" i="10"/>
  <c r="F20" i="10"/>
  <c r="J20" i="10" s="1"/>
  <c r="I19" i="10"/>
  <c r="F19" i="10"/>
  <c r="J19" i="10" s="1"/>
  <c r="I18" i="10"/>
  <c r="F18" i="10"/>
  <c r="J18" i="10" s="1"/>
  <c r="I25" i="10"/>
  <c r="F25" i="10"/>
  <c r="J25" i="10" s="1"/>
  <c r="I24" i="10"/>
  <c r="F24" i="10"/>
  <c r="J24" i="10" s="1"/>
  <c r="I23" i="10"/>
  <c r="F23" i="10"/>
  <c r="J23" i="10" s="1"/>
  <c r="I22" i="10"/>
  <c r="F22" i="10"/>
  <c r="J2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2F330-BA9B-46D9-93C9-B41A641E007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2B2A91-A9FA-4C89-A43A-905C4E5EEB76}" name="WorksheetConnection_TrendMart Retail Analysis Project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TrendMartRetailAnalysisProject.xlsxTable21"/>
        </x15:connection>
      </ext>
    </extLst>
  </connection>
  <connection id="3" xr16:uid="{EED2A2C6-0D99-435F-9206-CDBD1F6D5E78}" name="WorksheetConnection_TrendMart Retail Analysis Project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TrendMartRetailAnalysisProject.xlsxTable51"/>
        </x15:connection>
      </ext>
    </extLst>
  </connection>
</connections>
</file>

<file path=xl/sharedStrings.xml><?xml version="1.0" encoding="utf-8"?>
<sst xmlns="http://schemas.openxmlformats.org/spreadsheetml/2006/main" count="6040" uniqueCount="1349">
  <si>
    <t>Product ID</t>
  </si>
  <si>
    <t>Product Name</t>
  </si>
  <si>
    <t>Category</t>
  </si>
  <si>
    <t>Supplier</t>
  </si>
  <si>
    <t>Standard Cost</t>
  </si>
  <si>
    <t>Retail Price</t>
  </si>
  <si>
    <t>P01</t>
  </si>
  <si>
    <t>Women Basic Tee</t>
  </si>
  <si>
    <t>Womenswear</t>
  </si>
  <si>
    <t>Supplier A</t>
  </si>
  <si>
    <t>P02</t>
  </si>
  <si>
    <t>Women Denim Jacket</t>
  </si>
  <si>
    <t>Supplier B</t>
  </si>
  <si>
    <t>P03</t>
  </si>
  <si>
    <t>Men Casual Shirt</t>
  </si>
  <si>
    <t>Menswear</t>
  </si>
  <si>
    <t>Supplier C</t>
  </si>
  <si>
    <t>P04</t>
  </si>
  <si>
    <t>Men Chinos</t>
  </si>
  <si>
    <t>P05</t>
  </si>
  <si>
    <t>Kids Hoodie</t>
  </si>
  <si>
    <t>Kidswear</t>
  </si>
  <si>
    <t>Supplier D</t>
  </si>
  <si>
    <t>P06</t>
  </si>
  <si>
    <t>Kids Jacket</t>
  </si>
  <si>
    <t>P07</t>
  </si>
  <si>
    <t>Running Shoes</t>
  </si>
  <si>
    <t>Footwear</t>
  </si>
  <si>
    <t>Supplier E</t>
  </si>
  <si>
    <t>P08</t>
  </si>
  <si>
    <t>Fashion Belt</t>
  </si>
  <si>
    <t>Accessories</t>
  </si>
  <si>
    <t>Supplier F</t>
  </si>
  <si>
    <t>P09</t>
  </si>
  <si>
    <t>Handbag</t>
  </si>
  <si>
    <t>Store ID</t>
  </si>
  <si>
    <t>Store Location</t>
  </si>
  <si>
    <t>Region</t>
  </si>
  <si>
    <t>Store Size (Sq Ft)</t>
  </si>
  <si>
    <t>Opening Date</t>
  </si>
  <si>
    <t>S01</t>
  </si>
  <si>
    <t>Manchester</t>
  </si>
  <si>
    <t>North</t>
  </si>
  <si>
    <t>2015-06-01</t>
  </si>
  <si>
    <t>S02</t>
  </si>
  <si>
    <t>Birmingham</t>
  </si>
  <si>
    <t>Midlands</t>
  </si>
  <si>
    <t>2016-09-01</t>
  </si>
  <si>
    <t>S03</t>
  </si>
  <si>
    <t>London Stratford</t>
  </si>
  <si>
    <t>South</t>
  </si>
  <si>
    <t>2018-03-01</t>
  </si>
  <si>
    <t>S04</t>
  </si>
  <si>
    <t>Glasgow</t>
  </si>
  <si>
    <t>Scotland</t>
  </si>
  <si>
    <t>2019-07-01</t>
  </si>
  <si>
    <t>S05</t>
  </si>
  <si>
    <t>Leeds</t>
  </si>
  <si>
    <t>2020-10-01</t>
  </si>
  <si>
    <t>Transaction ID</t>
  </si>
  <si>
    <t>Date</t>
  </si>
  <si>
    <t>Units Sold</t>
  </si>
  <si>
    <t>Selling Price</t>
  </si>
  <si>
    <t>Discount %</t>
  </si>
  <si>
    <t>Net Sales Revenue</t>
  </si>
  <si>
    <t>Cost of Sales</t>
  </si>
  <si>
    <t>Total Revenue</t>
  </si>
  <si>
    <t>TX00001</t>
  </si>
  <si>
    <t>2023-01-28</t>
  </si>
  <si>
    <t>TX00002</t>
  </si>
  <si>
    <t>TX00003</t>
  </si>
  <si>
    <t>TX00004</t>
  </si>
  <si>
    <t>TX00005</t>
  </si>
  <si>
    <t>TX00006</t>
  </si>
  <si>
    <t>TX00007</t>
  </si>
  <si>
    <t>TX00008</t>
  </si>
  <si>
    <t>TX00009</t>
  </si>
  <si>
    <t>TX00010</t>
  </si>
  <si>
    <t>TX00011</t>
  </si>
  <si>
    <t>TX00012</t>
  </si>
  <si>
    <t>TX00013</t>
  </si>
  <si>
    <t>TX00014</t>
  </si>
  <si>
    <t>TX00015</t>
  </si>
  <si>
    <t>TX00016</t>
  </si>
  <si>
    <t>TX00017</t>
  </si>
  <si>
    <t>TX00018</t>
  </si>
  <si>
    <t>TX00019</t>
  </si>
  <si>
    <t>TX00020</t>
  </si>
  <si>
    <t>TX00021</t>
  </si>
  <si>
    <t>TX00022</t>
  </si>
  <si>
    <t>TX00023</t>
  </si>
  <si>
    <t>TX00024</t>
  </si>
  <si>
    <t>TX00025</t>
  </si>
  <si>
    <t>TX00026</t>
  </si>
  <si>
    <t>TX00027</t>
  </si>
  <si>
    <t>TX00028</t>
  </si>
  <si>
    <t>TX00029</t>
  </si>
  <si>
    <t>TX00030</t>
  </si>
  <si>
    <t>TX00031</t>
  </si>
  <si>
    <t>TX00032</t>
  </si>
  <si>
    <t>TX00033</t>
  </si>
  <si>
    <t>TX00034</t>
  </si>
  <si>
    <t>TX00035</t>
  </si>
  <si>
    <t>TX00036</t>
  </si>
  <si>
    <t>TX00037</t>
  </si>
  <si>
    <t>TX00038</t>
  </si>
  <si>
    <t>TX00039</t>
  </si>
  <si>
    <t>TX00040</t>
  </si>
  <si>
    <t>TX00041</t>
  </si>
  <si>
    <t>TX00042</t>
  </si>
  <si>
    <t>TX00043</t>
  </si>
  <si>
    <t>TX00044</t>
  </si>
  <si>
    <t>TX00045</t>
  </si>
  <si>
    <t>TX00046</t>
  </si>
  <si>
    <t>2023-02-28</t>
  </si>
  <si>
    <t>TX00047</t>
  </si>
  <si>
    <t>TX00048</t>
  </si>
  <si>
    <t>TX00049</t>
  </si>
  <si>
    <t>TX00050</t>
  </si>
  <si>
    <t>TX00051</t>
  </si>
  <si>
    <t>TX00052</t>
  </si>
  <si>
    <t>TX00053</t>
  </si>
  <si>
    <t>TX00054</t>
  </si>
  <si>
    <t>TX00055</t>
  </si>
  <si>
    <t>TX00056</t>
  </si>
  <si>
    <t>TX00057</t>
  </si>
  <si>
    <t>TX00058</t>
  </si>
  <si>
    <t>TX00059</t>
  </si>
  <si>
    <t>TX00060</t>
  </si>
  <si>
    <t>TX00061</t>
  </si>
  <si>
    <t>TX00062</t>
  </si>
  <si>
    <t>TX00063</t>
  </si>
  <si>
    <t>TX00064</t>
  </si>
  <si>
    <t>TX00065</t>
  </si>
  <si>
    <t>TX00066</t>
  </si>
  <si>
    <t>TX00067</t>
  </si>
  <si>
    <t>TX00068</t>
  </si>
  <si>
    <t>TX00069</t>
  </si>
  <si>
    <t>TX00070</t>
  </si>
  <si>
    <t>TX00071</t>
  </si>
  <si>
    <t>TX00072</t>
  </si>
  <si>
    <t>TX00073</t>
  </si>
  <si>
    <t>TX00074</t>
  </si>
  <si>
    <t>TX00075</t>
  </si>
  <si>
    <t>TX00076</t>
  </si>
  <si>
    <t>TX00077</t>
  </si>
  <si>
    <t>TX00078</t>
  </si>
  <si>
    <t>TX00079</t>
  </si>
  <si>
    <t>TX00080</t>
  </si>
  <si>
    <t>TX00081</t>
  </si>
  <si>
    <t>TX00082</t>
  </si>
  <si>
    <t>TX00083</t>
  </si>
  <si>
    <t>TX00084</t>
  </si>
  <si>
    <t>TX00085</t>
  </si>
  <si>
    <t>TX00086</t>
  </si>
  <si>
    <t>TX00087</t>
  </si>
  <si>
    <t>TX00088</t>
  </si>
  <si>
    <t>TX00089</t>
  </si>
  <si>
    <t>TX00090</t>
  </si>
  <si>
    <t>TX00091</t>
  </si>
  <si>
    <t>2023-03-28</t>
  </si>
  <si>
    <t>TX00092</t>
  </si>
  <si>
    <t>TX00093</t>
  </si>
  <si>
    <t>TX00094</t>
  </si>
  <si>
    <t>TX00095</t>
  </si>
  <si>
    <t>TX00096</t>
  </si>
  <si>
    <t>TX00097</t>
  </si>
  <si>
    <t>TX00098</t>
  </si>
  <si>
    <t>TX00099</t>
  </si>
  <si>
    <t>TX00100</t>
  </si>
  <si>
    <t>TX00101</t>
  </si>
  <si>
    <t>TX00102</t>
  </si>
  <si>
    <t>TX00103</t>
  </si>
  <si>
    <t>TX00104</t>
  </si>
  <si>
    <t>TX00105</t>
  </si>
  <si>
    <t>TX00106</t>
  </si>
  <si>
    <t>TX00107</t>
  </si>
  <si>
    <t>TX00108</t>
  </si>
  <si>
    <t>TX00109</t>
  </si>
  <si>
    <t>TX00110</t>
  </si>
  <si>
    <t>TX00111</t>
  </si>
  <si>
    <t>TX00112</t>
  </si>
  <si>
    <t>TX00113</t>
  </si>
  <si>
    <t>TX00114</t>
  </si>
  <si>
    <t>TX00115</t>
  </si>
  <si>
    <t>TX00116</t>
  </si>
  <si>
    <t>TX00117</t>
  </si>
  <si>
    <t>TX00118</t>
  </si>
  <si>
    <t>TX00119</t>
  </si>
  <si>
    <t>TX00120</t>
  </si>
  <si>
    <t>TX00121</t>
  </si>
  <si>
    <t>TX00122</t>
  </si>
  <si>
    <t>TX00123</t>
  </si>
  <si>
    <t>TX00124</t>
  </si>
  <si>
    <t>TX00125</t>
  </si>
  <si>
    <t>TX00126</t>
  </si>
  <si>
    <t>TX00127</t>
  </si>
  <si>
    <t>TX00128</t>
  </si>
  <si>
    <t>TX00129</t>
  </si>
  <si>
    <t>TX00130</t>
  </si>
  <si>
    <t>TX00131</t>
  </si>
  <si>
    <t>TX00132</t>
  </si>
  <si>
    <t>TX00133</t>
  </si>
  <si>
    <t>TX00134</t>
  </si>
  <si>
    <t>TX00135</t>
  </si>
  <si>
    <t>TX00136</t>
  </si>
  <si>
    <t>2023-04-28</t>
  </si>
  <si>
    <t>TX00137</t>
  </si>
  <si>
    <t>TX00138</t>
  </si>
  <si>
    <t>TX00139</t>
  </si>
  <si>
    <t>TX00140</t>
  </si>
  <si>
    <t>TX00141</t>
  </si>
  <si>
    <t>TX00142</t>
  </si>
  <si>
    <t>TX00143</t>
  </si>
  <si>
    <t>TX00144</t>
  </si>
  <si>
    <t>TX00145</t>
  </si>
  <si>
    <t>TX00146</t>
  </si>
  <si>
    <t>TX00147</t>
  </si>
  <si>
    <t>TX00148</t>
  </si>
  <si>
    <t>TX00149</t>
  </si>
  <si>
    <t>TX00150</t>
  </si>
  <si>
    <t>TX00151</t>
  </si>
  <si>
    <t>TX00152</t>
  </si>
  <si>
    <t>TX00153</t>
  </si>
  <si>
    <t>TX00154</t>
  </si>
  <si>
    <t>TX00155</t>
  </si>
  <si>
    <t>TX00156</t>
  </si>
  <si>
    <t>TX00157</t>
  </si>
  <si>
    <t>TX00158</t>
  </si>
  <si>
    <t>TX00159</t>
  </si>
  <si>
    <t>TX00160</t>
  </si>
  <si>
    <t>TX00161</t>
  </si>
  <si>
    <t>TX00162</t>
  </si>
  <si>
    <t>TX00163</t>
  </si>
  <si>
    <t>TX00164</t>
  </si>
  <si>
    <t>TX00165</t>
  </si>
  <si>
    <t>TX00166</t>
  </si>
  <si>
    <t>TX00167</t>
  </si>
  <si>
    <t>TX00168</t>
  </si>
  <si>
    <t>TX00169</t>
  </si>
  <si>
    <t>TX00170</t>
  </si>
  <si>
    <t>TX00171</t>
  </si>
  <si>
    <t>TX00172</t>
  </si>
  <si>
    <t>TX00173</t>
  </si>
  <si>
    <t>TX00174</t>
  </si>
  <si>
    <t>TX00175</t>
  </si>
  <si>
    <t>TX00176</t>
  </si>
  <si>
    <t>TX00177</t>
  </si>
  <si>
    <t>TX00178</t>
  </si>
  <si>
    <t>TX00179</t>
  </si>
  <si>
    <t>TX00180</t>
  </si>
  <si>
    <t>TX00181</t>
  </si>
  <si>
    <t>2023-05-28</t>
  </si>
  <si>
    <t>TX00182</t>
  </si>
  <si>
    <t>TX00183</t>
  </si>
  <si>
    <t>TX00184</t>
  </si>
  <si>
    <t>TX00185</t>
  </si>
  <si>
    <t>TX00186</t>
  </si>
  <si>
    <t>TX00187</t>
  </si>
  <si>
    <t>TX00188</t>
  </si>
  <si>
    <t>TX00189</t>
  </si>
  <si>
    <t>TX00190</t>
  </si>
  <si>
    <t>TX00191</t>
  </si>
  <si>
    <t>TX00192</t>
  </si>
  <si>
    <t>TX00193</t>
  </si>
  <si>
    <t>TX00194</t>
  </si>
  <si>
    <t>TX00195</t>
  </si>
  <si>
    <t>TX00196</t>
  </si>
  <si>
    <t>TX00197</t>
  </si>
  <si>
    <t>TX00198</t>
  </si>
  <si>
    <t>TX00199</t>
  </si>
  <si>
    <t>TX00200</t>
  </si>
  <si>
    <t>TX00201</t>
  </si>
  <si>
    <t>TX00202</t>
  </si>
  <si>
    <t>TX00203</t>
  </si>
  <si>
    <t>TX00204</t>
  </si>
  <si>
    <t>TX00205</t>
  </si>
  <si>
    <t>TX00206</t>
  </si>
  <si>
    <t>TX00207</t>
  </si>
  <si>
    <t>TX00208</t>
  </si>
  <si>
    <t>TX00209</t>
  </si>
  <si>
    <t>TX00210</t>
  </si>
  <si>
    <t>TX00211</t>
  </si>
  <si>
    <t>TX00212</t>
  </si>
  <si>
    <t>TX00213</t>
  </si>
  <si>
    <t>TX00214</t>
  </si>
  <si>
    <t>TX00215</t>
  </si>
  <si>
    <t>TX00216</t>
  </si>
  <si>
    <t>TX00217</t>
  </si>
  <si>
    <t>TX00218</t>
  </si>
  <si>
    <t>TX00219</t>
  </si>
  <si>
    <t>TX00220</t>
  </si>
  <si>
    <t>TX00221</t>
  </si>
  <si>
    <t>TX00222</t>
  </si>
  <si>
    <t>TX00223</t>
  </si>
  <si>
    <t>TX00224</t>
  </si>
  <si>
    <t>TX00225</t>
  </si>
  <si>
    <t>TX00226</t>
  </si>
  <si>
    <t>2023-06-28</t>
  </si>
  <si>
    <t>TX00227</t>
  </si>
  <si>
    <t>TX00228</t>
  </si>
  <si>
    <t>TX00229</t>
  </si>
  <si>
    <t>TX00230</t>
  </si>
  <si>
    <t>TX00231</t>
  </si>
  <si>
    <t>TX00232</t>
  </si>
  <si>
    <t>TX00233</t>
  </si>
  <si>
    <t>TX00234</t>
  </si>
  <si>
    <t>TX00235</t>
  </si>
  <si>
    <t>TX00236</t>
  </si>
  <si>
    <t>TX00237</t>
  </si>
  <si>
    <t>TX00238</t>
  </si>
  <si>
    <t>TX00239</t>
  </si>
  <si>
    <t>TX00240</t>
  </si>
  <si>
    <t>TX00241</t>
  </si>
  <si>
    <t>TX00242</t>
  </si>
  <si>
    <t>TX00243</t>
  </si>
  <si>
    <t>TX00244</t>
  </si>
  <si>
    <t>TX00245</t>
  </si>
  <si>
    <t>TX00246</t>
  </si>
  <si>
    <t>TX00247</t>
  </si>
  <si>
    <t>TX00248</t>
  </si>
  <si>
    <t>TX00249</t>
  </si>
  <si>
    <t>TX00250</t>
  </si>
  <si>
    <t>TX00251</t>
  </si>
  <si>
    <t>TX00252</t>
  </si>
  <si>
    <t>TX00253</t>
  </si>
  <si>
    <t>TX00254</t>
  </si>
  <si>
    <t>TX00255</t>
  </si>
  <si>
    <t>TX00256</t>
  </si>
  <si>
    <t>TX00257</t>
  </si>
  <si>
    <t>TX00258</t>
  </si>
  <si>
    <t>TX00259</t>
  </si>
  <si>
    <t>TX00260</t>
  </si>
  <si>
    <t>TX00261</t>
  </si>
  <si>
    <t>TX00262</t>
  </si>
  <si>
    <t>TX00263</t>
  </si>
  <si>
    <t>TX00264</t>
  </si>
  <si>
    <t>TX00265</t>
  </si>
  <si>
    <t>TX00266</t>
  </si>
  <si>
    <t>TX00267</t>
  </si>
  <si>
    <t>TX00268</t>
  </si>
  <si>
    <t>TX00269</t>
  </si>
  <si>
    <t>TX00270</t>
  </si>
  <si>
    <t>TX00271</t>
  </si>
  <si>
    <t>2023-07-28</t>
  </si>
  <si>
    <t>TX00272</t>
  </si>
  <si>
    <t>TX00273</t>
  </si>
  <si>
    <t>TX00274</t>
  </si>
  <si>
    <t>TX00275</t>
  </si>
  <si>
    <t>TX00276</t>
  </si>
  <si>
    <t>TX00277</t>
  </si>
  <si>
    <t>TX00278</t>
  </si>
  <si>
    <t>TX00279</t>
  </si>
  <si>
    <t>TX00280</t>
  </si>
  <si>
    <t>TX00281</t>
  </si>
  <si>
    <t>TX00282</t>
  </si>
  <si>
    <t>TX00283</t>
  </si>
  <si>
    <t>TX00284</t>
  </si>
  <si>
    <t>TX00285</t>
  </si>
  <si>
    <t>TX00286</t>
  </si>
  <si>
    <t>TX00287</t>
  </si>
  <si>
    <t>TX00288</t>
  </si>
  <si>
    <t>TX00289</t>
  </si>
  <si>
    <t>TX00290</t>
  </si>
  <si>
    <t>TX00291</t>
  </si>
  <si>
    <t>TX00292</t>
  </si>
  <si>
    <t>TX00293</t>
  </si>
  <si>
    <t>TX00294</t>
  </si>
  <si>
    <t>TX00295</t>
  </si>
  <si>
    <t>TX00296</t>
  </si>
  <si>
    <t>TX00297</t>
  </si>
  <si>
    <t>TX00298</t>
  </si>
  <si>
    <t>TX00299</t>
  </si>
  <si>
    <t>TX00300</t>
  </si>
  <si>
    <t>TX00301</t>
  </si>
  <si>
    <t>TX00302</t>
  </si>
  <si>
    <t>TX00303</t>
  </si>
  <si>
    <t>TX00304</t>
  </si>
  <si>
    <t>TX00305</t>
  </si>
  <si>
    <t>TX00306</t>
  </si>
  <si>
    <t>TX00307</t>
  </si>
  <si>
    <t>TX00308</t>
  </si>
  <si>
    <t>TX00309</t>
  </si>
  <si>
    <t>TX00310</t>
  </si>
  <si>
    <t>TX00311</t>
  </si>
  <si>
    <t>TX00312</t>
  </si>
  <si>
    <t>TX00313</t>
  </si>
  <si>
    <t>TX00314</t>
  </si>
  <si>
    <t>TX00315</t>
  </si>
  <si>
    <t>TX00316</t>
  </si>
  <si>
    <t>2023-08-28</t>
  </si>
  <si>
    <t>TX00317</t>
  </si>
  <si>
    <t>TX00318</t>
  </si>
  <si>
    <t>TX00319</t>
  </si>
  <si>
    <t>TX00320</t>
  </si>
  <si>
    <t>TX00321</t>
  </si>
  <si>
    <t>TX00322</t>
  </si>
  <si>
    <t>TX00323</t>
  </si>
  <si>
    <t>TX00324</t>
  </si>
  <si>
    <t>TX00325</t>
  </si>
  <si>
    <t>TX00326</t>
  </si>
  <si>
    <t>TX00327</t>
  </si>
  <si>
    <t>TX00328</t>
  </si>
  <si>
    <t>TX00329</t>
  </si>
  <si>
    <t>TX00330</t>
  </si>
  <si>
    <t>TX00331</t>
  </si>
  <si>
    <t>TX00332</t>
  </si>
  <si>
    <t>TX00333</t>
  </si>
  <si>
    <t>TX00334</t>
  </si>
  <si>
    <t>TX00335</t>
  </si>
  <si>
    <t>TX00336</t>
  </si>
  <si>
    <t>TX00337</t>
  </si>
  <si>
    <t>TX00338</t>
  </si>
  <si>
    <t>TX00339</t>
  </si>
  <si>
    <t>TX00340</t>
  </si>
  <si>
    <t>TX00341</t>
  </si>
  <si>
    <t>TX00342</t>
  </si>
  <si>
    <t>TX00343</t>
  </si>
  <si>
    <t>TX00344</t>
  </si>
  <si>
    <t>TX00345</t>
  </si>
  <si>
    <t>TX00346</t>
  </si>
  <si>
    <t>TX00347</t>
  </si>
  <si>
    <t>TX00348</t>
  </si>
  <si>
    <t>TX00349</t>
  </si>
  <si>
    <t>TX00350</t>
  </si>
  <si>
    <t>TX00351</t>
  </si>
  <si>
    <t>TX00352</t>
  </si>
  <si>
    <t>TX00353</t>
  </si>
  <si>
    <t>TX00354</t>
  </si>
  <si>
    <t>TX00355</t>
  </si>
  <si>
    <t>TX00356</t>
  </si>
  <si>
    <t>TX00357</t>
  </si>
  <si>
    <t>TX00358</t>
  </si>
  <si>
    <t>TX00359</t>
  </si>
  <si>
    <t>TX00360</t>
  </si>
  <si>
    <t>TX00361</t>
  </si>
  <si>
    <t>2023-09-28</t>
  </si>
  <si>
    <t>TX00362</t>
  </si>
  <si>
    <t>TX00363</t>
  </si>
  <si>
    <t>TX00364</t>
  </si>
  <si>
    <t>TX00365</t>
  </si>
  <si>
    <t>TX00366</t>
  </si>
  <si>
    <t>TX00367</t>
  </si>
  <si>
    <t>TX00368</t>
  </si>
  <si>
    <t>TX00369</t>
  </si>
  <si>
    <t>TX00370</t>
  </si>
  <si>
    <t>TX00371</t>
  </si>
  <si>
    <t>TX00372</t>
  </si>
  <si>
    <t>TX00373</t>
  </si>
  <si>
    <t>TX00374</t>
  </si>
  <si>
    <t>TX00375</t>
  </si>
  <si>
    <t>TX00376</t>
  </si>
  <si>
    <t>TX00377</t>
  </si>
  <si>
    <t>TX00378</t>
  </si>
  <si>
    <t>TX00379</t>
  </si>
  <si>
    <t>TX00380</t>
  </si>
  <si>
    <t>TX00381</t>
  </si>
  <si>
    <t>TX00382</t>
  </si>
  <si>
    <t>TX00383</t>
  </si>
  <si>
    <t>TX00384</t>
  </si>
  <si>
    <t>TX00385</t>
  </si>
  <si>
    <t>TX00386</t>
  </si>
  <si>
    <t>TX00387</t>
  </si>
  <si>
    <t>TX00388</t>
  </si>
  <si>
    <t>TX00389</t>
  </si>
  <si>
    <t>TX00390</t>
  </si>
  <si>
    <t>TX00391</t>
  </si>
  <si>
    <t>TX00392</t>
  </si>
  <si>
    <t>TX00393</t>
  </si>
  <si>
    <t>TX00394</t>
  </si>
  <si>
    <t>TX00395</t>
  </si>
  <si>
    <t>TX00396</t>
  </si>
  <si>
    <t>TX00397</t>
  </si>
  <si>
    <t>TX00398</t>
  </si>
  <si>
    <t>TX00399</t>
  </si>
  <si>
    <t>TX00400</t>
  </si>
  <si>
    <t>TX00401</t>
  </si>
  <si>
    <t>TX00402</t>
  </si>
  <si>
    <t>TX00403</t>
  </si>
  <si>
    <t>TX00404</t>
  </si>
  <si>
    <t>TX00405</t>
  </si>
  <si>
    <t>TX00406</t>
  </si>
  <si>
    <t>2023-10-28</t>
  </si>
  <si>
    <t>TX00407</t>
  </si>
  <si>
    <t>TX00408</t>
  </si>
  <si>
    <t>TX00409</t>
  </si>
  <si>
    <t>TX00410</t>
  </si>
  <si>
    <t>TX00411</t>
  </si>
  <si>
    <t>TX00412</t>
  </si>
  <si>
    <t>TX00413</t>
  </si>
  <si>
    <t>TX00414</t>
  </si>
  <si>
    <t>TX00415</t>
  </si>
  <si>
    <t>TX00416</t>
  </si>
  <si>
    <t>TX00417</t>
  </si>
  <si>
    <t>TX00418</t>
  </si>
  <si>
    <t>TX00419</t>
  </si>
  <si>
    <t>TX00420</t>
  </si>
  <si>
    <t>TX00421</t>
  </si>
  <si>
    <t>TX00422</t>
  </si>
  <si>
    <t>TX00423</t>
  </si>
  <si>
    <t>TX00424</t>
  </si>
  <si>
    <t>TX00425</t>
  </si>
  <si>
    <t>TX00426</t>
  </si>
  <si>
    <t>TX00427</t>
  </si>
  <si>
    <t>TX00428</t>
  </si>
  <si>
    <t>TX00429</t>
  </si>
  <si>
    <t>TX00430</t>
  </si>
  <si>
    <t>TX00431</t>
  </si>
  <si>
    <t>TX00432</t>
  </si>
  <si>
    <t>TX00433</t>
  </si>
  <si>
    <t>TX00434</t>
  </si>
  <si>
    <t>TX00435</t>
  </si>
  <si>
    <t>TX00436</t>
  </si>
  <si>
    <t>TX00437</t>
  </si>
  <si>
    <t>TX00438</t>
  </si>
  <si>
    <t>TX00439</t>
  </si>
  <si>
    <t>TX00440</t>
  </si>
  <si>
    <t>TX00441</t>
  </si>
  <si>
    <t>TX00442</t>
  </si>
  <si>
    <t>TX00443</t>
  </si>
  <si>
    <t>TX00444</t>
  </si>
  <si>
    <t>TX00445</t>
  </si>
  <si>
    <t>TX00446</t>
  </si>
  <si>
    <t>TX00447</t>
  </si>
  <si>
    <t>TX00448</t>
  </si>
  <si>
    <t>TX00449</t>
  </si>
  <si>
    <t>TX00450</t>
  </si>
  <si>
    <t>TX00451</t>
  </si>
  <si>
    <t>2023-11-28</t>
  </si>
  <si>
    <t>TX00452</t>
  </si>
  <si>
    <t>TX00453</t>
  </si>
  <si>
    <t>TX00454</t>
  </si>
  <si>
    <t>TX00455</t>
  </si>
  <si>
    <t>TX00456</t>
  </si>
  <si>
    <t>TX00457</t>
  </si>
  <si>
    <t>TX00458</t>
  </si>
  <si>
    <t>TX00459</t>
  </si>
  <si>
    <t>TX00460</t>
  </si>
  <si>
    <t>TX00461</t>
  </si>
  <si>
    <t>TX00462</t>
  </si>
  <si>
    <t>TX00463</t>
  </si>
  <si>
    <t>TX00464</t>
  </si>
  <si>
    <t>TX00465</t>
  </si>
  <si>
    <t>TX00466</t>
  </si>
  <si>
    <t>TX00467</t>
  </si>
  <si>
    <t>TX00468</t>
  </si>
  <si>
    <t>TX00469</t>
  </si>
  <si>
    <t>TX00470</t>
  </si>
  <si>
    <t>TX00471</t>
  </si>
  <si>
    <t>TX00472</t>
  </si>
  <si>
    <t>TX00473</t>
  </si>
  <si>
    <t>TX00474</t>
  </si>
  <si>
    <t>TX00475</t>
  </si>
  <si>
    <t>TX00476</t>
  </si>
  <si>
    <t>TX00477</t>
  </si>
  <si>
    <t>TX00478</t>
  </si>
  <si>
    <t>TX00479</t>
  </si>
  <si>
    <t>TX00480</t>
  </si>
  <si>
    <t>TX00481</t>
  </si>
  <si>
    <t>TX00482</t>
  </si>
  <si>
    <t>TX00483</t>
  </si>
  <si>
    <t>TX00484</t>
  </si>
  <si>
    <t>TX00485</t>
  </si>
  <si>
    <t>TX00486</t>
  </si>
  <si>
    <t>TX00487</t>
  </si>
  <si>
    <t>TX00488</t>
  </si>
  <si>
    <t>TX00489</t>
  </si>
  <si>
    <t>TX00490</t>
  </si>
  <si>
    <t>TX00491</t>
  </si>
  <si>
    <t>TX00492</t>
  </si>
  <si>
    <t>TX00493</t>
  </si>
  <si>
    <t>TX00494</t>
  </si>
  <si>
    <t>TX00495</t>
  </si>
  <si>
    <t>TX00496</t>
  </si>
  <si>
    <t>2023-12-28</t>
  </si>
  <si>
    <t>TX00497</t>
  </si>
  <si>
    <t>TX00498</t>
  </si>
  <si>
    <t>TX00499</t>
  </si>
  <si>
    <t>TX00500</t>
  </si>
  <si>
    <t>TX00501</t>
  </si>
  <si>
    <t>TX00502</t>
  </si>
  <si>
    <t>TX00503</t>
  </si>
  <si>
    <t>TX00504</t>
  </si>
  <si>
    <t>TX00505</t>
  </si>
  <si>
    <t>TX00506</t>
  </si>
  <si>
    <t>TX00507</t>
  </si>
  <si>
    <t>TX00508</t>
  </si>
  <si>
    <t>TX00509</t>
  </si>
  <si>
    <t>TX00510</t>
  </si>
  <si>
    <t>TX00511</t>
  </si>
  <si>
    <t>TX00512</t>
  </si>
  <si>
    <t>TX00513</t>
  </si>
  <si>
    <t>TX00514</t>
  </si>
  <si>
    <t>TX00515</t>
  </si>
  <si>
    <t>TX00516</t>
  </si>
  <si>
    <t>TX00517</t>
  </si>
  <si>
    <t>TX00518</t>
  </si>
  <si>
    <t>TX00519</t>
  </si>
  <si>
    <t>TX00520</t>
  </si>
  <si>
    <t>TX00521</t>
  </si>
  <si>
    <t>TX00522</t>
  </si>
  <si>
    <t>TX00523</t>
  </si>
  <si>
    <t>TX00524</t>
  </si>
  <si>
    <t>TX00525</t>
  </si>
  <si>
    <t>TX00526</t>
  </si>
  <si>
    <t>TX00527</t>
  </si>
  <si>
    <t>TX00528</t>
  </si>
  <si>
    <t>TX00529</t>
  </si>
  <si>
    <t>TX00530</t>
  </si>
  <si>
    <t>TX00531</t>
  </si>
  <si>
    <t>TX00532</t>
  </si>
  <si>
    <t>TX00533</t>
  </si>
  <si>
    <t>TX00534</t>
  </si>
  <si>
    <t>TX00535</t>
  </si>
  <si>
    <t>TX00536</t>
  </si>
  <si>
    <t>TX00537</t>
  </si>
  <si>
    <t>TX00538</t>
  </si>
  <si>
    <t>TX00539</t>
  </si>
  <si>
    <t>TX00540</t>
  </si>
  <si>
    <t>TX00541</t>
  </si>
  <si>
    <t>2024-01-28</t>
  </si>
  <si>
    <t>TX00542</t>
  </si>
  <si>
    <t>TX00543</t>
  </si>
  <si>
    <t>TX00544</t>
  </si>
  <si>
    <t>TX00545</t>
  </si>
  <si>
    <t>TX00546</t>
  </si>
  <si>
    <t>TX00547</t>
  </si>
  <si>
    <t>TX00548</t>
  </si>
  <si>
    <t>TX00549</t>
  </si>
  <si>
    <t>TX00550</t>
  </si>
  <si>
    <t>TX00551</t>
  </si>
  <si>
    <t>TX00552</t>
  </si>
  <si>
    <t>TX00553</t>
  </si>
  <si>
    <t>TX00554</t>
  </si>
  <si>
    <t>TX00555</t>
  </si>
  <si>
    <t>TX00556</t>
  </si>
  <si>
    <t>TX00557</t>
  </si>
  <si>
    <t>TX00558</t>
  </si>
  <si>
    <t>TX00559</t>
  </si>
  <si>
    <t>TX00560</t>
  </si>
  <si>
    <t>TX00561</t>
  </si>
  <si>
    <t>TX00562</t>
  </si>
  <si>
    <t>TX00563</t>
  </si>
  <si>
    <t>TX00564</t>
  </si>
  <si>
    <t>TX00565</t>
  </si>
  <si>
    <t>TX00566</t>
  </si>
  <si>
    <t>TX00567</t>
  </si>
  <si>
    <t>TX00568</t>
  </si>
  <si>
    <t>TX00569</t>
  </si>
  <si>
    <t>TX00570</t>
  </si>
  <si>
    <t>TX00571</t>
  </si>
  <si>
    <t>TX00572</t>
  </si>
  <si>
    <t>TX00573</t>
  </si>
  <si>
    <t>TX00574</t>
  </si>
  <si>
    <t>TX00575</t>
  </si>
  <si>
    <t>TX00576</t>
  </si>
  <si>
    <t>TX00577</t>
  </si>
  <si>
    <t>TX00578</t>
  </si>
  <si>
    <t>TX00579</t>
  </si>
  <si>
    <t>TX00580</t>
  </si>
  <si>
    <t>TX00581</t>
  </si>
  <si>
    <t>TX00582</t>
  </si>
  <si>
    <t>TX00583</t>
  </si>
  <si>
    <t>TX00584</t>
  </si>
  <si>
    <t>TX00585</t>
  </si>
  <si>
    <t>TX00586</t>
  </si>
  <si>
    <t>2024-02-28</t>
  </si>
  <si>
    <t>TX00587</t>
  </si>
  <si>
    <t>TX00588</t>
  </si>
  <si>
    <t>TX00589</t>
  </si>
  <si>
    <t>TX00590</t>
  </si>
  <si>
    <t>TX00591</t>
  </si>
  <si>
    <t>TX00592</t>
  </si>
  <si>
    <t>TX00593</t>
  </si>
  <si>
    <t>TX00594</t>
  </si>
  <si>
    <t>TX00595</t>
  </si>
  <si>
    <t>TX00596</t>
  </si>
  <si>
    <t>TX00597</t>
  </si>
  <si>
    <t>TX00598</t>
  </si>
  <si>
    <t>TX00599</t>
  </si>
  <si>
    <t>TX00600</t>
  </si>
  <si>
    <t>TX00601</t>
  </si>
  <si>
    <t>TX00602</t>
  </si>
  <si>
    <t>TX00603</t>
  </si>
  <si>
    <t>TX00604</t>
  </si>
  <si>
    <t>TX00605</t>
  </si>
  <si>
    <t>TX00606</t>
  </si>
  <si>
    <t>TX00607</t>
  </si>
  <si>
    <t>TX00608</t>
  </si>
  <si>
    <t>TX00609</t>
  </si>
  <si>
    <t>TX00610</t>
  </si>
  <si>
    <t>TX00611</t>
  </si>
  <si>
    <t>TX00612</t>
  </si>
  <si>
    <t>TX00613</t>
  </si>
  <si>
    <t>TX00614</t>
  </si>
  <si>
    <t>TX00615</t>
  </si>
  <si>
    <t>TX00616</t>
  </si>
  <si>
    <t>TX00617</t>
  </si>
  <si>
    <t>TX00618</t>
  </si>
  <si>
    <t>TX00619</t>
  </si>
  <si>
    <t>TX00620</t>
  </si>
  <si>
    <t>TX00621</t>
  </si>
  <si>
    <t>TX00622</t>
  </si>
  <si>
    <t>TX00623</t>
  </si>
  <si>
    <t>TX00624</t>
  </si>
  <si>
    <t>TX00625</t>
  </si>
  <si>
    <t>TX00626</t>
  </si>
  <si>
    <t>TX00627</t>
  </si>
  <si>
    <t>TX00628</t>
  </si>
  <si>
    <t>TX00629</t>
  </si>
  <si>
    <t>TX00630</t>
  </si>
  <si>
    <t>TX00631</t>
  </si>
  <si>
    <t>2024-03-28</t>
  </si>
  <si>
    <t>TX00632</t>
  </si>
  <si>
    <t>TX00633</t>
  </si>
  <si>
    <t>TX00634</t>
  </si>
  <si>
    <t>TX00635</t>
  </si>
  <si>
    <t>TX00636</t>
  </si>
  <si>
    <t>TX00637</t>
  </si>
  <si>
    <t>TX00638</t>
  </si>
  <si>
    <t>TX00639</t>
  </si>
  <si>
    <t>TX00640</t>
  </si>
  <si>
    <t>TX00641</t>
  </si>
  <si>
    <t>TX00642</t>
  </si>
  <si>
    <t>TX00643</t>
  </si>
  <si>
    <t>TX00644</t>
  </si>
  <si>
    <t>TX00645</t>
  </si>
  <si>
    <t>TX00646</t>
  </si>
  <si>
    <t>TX00647</t>
  </si>
  <si>
    <t>TX00648</t>
  </si>
  <si>
    <t>TX00649</t>
  </si>
  <si>
    <t>TX00650</t>
  </si>
  <si>
    <t>TX00651</t>
  </si>
  <si>
    <t>TX00652</t>
  </si>
  <si>
    <t>TX00653</t>
  </si>
  <si>
    <t>TX00654</t>
  </si>
  <si>
    <t>TX00655</t>
  </si>
  <si>
    <t>TX00656</t>
  </si>
  <si>
    <t>TX00657</t>
  </si>
  <si>
    <t>TX00658</t>
  </si>
  <si>
    <t>TX00659</t>
  </si>
  <si>
    <t>TX00660</t>
  </si>
  <si>
    <t>TX00661</t>
  </si>
  <si>
    <t>TX00662</t>
  </si>
  <si>
    <t>TX00663</t>
  </si>
  <si>
    <t>TX00664</t>
  </si>
  <si>
    <t>TX00665</t>
  </si>
  <si>
    <t>TX00666</t>
  </si>
  <si>
    <t>TX00667</t>
  </si>
  <si>
    <t>TX00668</t>
  </si>
  <si>
    <t>TX00669</t>
  </si>
  <si>
    <t>TX00670</t>
  </si>
  <si>
    <t>TX00671</t>
  </si>
  <si>
    <t>TX00672</t>
  </si>
  <si>
    <t>TX00673</t>
  </si>
  <si>
    <t>TX00674</t>
  </si>
  <si>
    <t>TX00675</t>
  </si>
  <si>
    <t>TX00676</t>
  </si>
  <si>
    <t>2024-04-28</t>
  </si>
  <si>
    <t>TX00677</t>
  </si>
  <si>
    <t>TX00678</t>
  </si>
  <si>
    <t>TX00679</t>
  </si>
  <si>
    <t>TX00680</t>
  </si>
  <si>
    <t>TX00681</t>
  </si>
  <si>
    <t>TX00682</t>
  </si>
  <si>
    <t>TX00683</t>
  </si>
  <si>
    <t>TX00684</t>
  </si>
  <si>
    <t>TX00685</t>
  </si>
  <si>
    <t>TX00686</t>
  </si>
  <si>
    <t>TX00687</t>
  </si>
  <si>
    <t>TX00688</t>
  </si>
  <si>
    <t>TX00689</t>
  </si>
  <si>
    <t>TX00690</t>
  </si>
  <si>
    <t>TX00691</t>
  </si>
  <si>
    <t>TX00692</t>
  </si>
  <si>
    <t>TX00693</t>
  </si>
  <si>
    <t>TX00694</t>
  </si>
  <si>
    <t>TX00695</t>
  </si>
  <si>
    <t>TX00696</t>
  </si>
  <si>
    <t>TX00697</t>
  </si>
  <si>
    <t>TX00698</t>
  </si>
  <si>
    <t>TX00699</t>
  </si>
  <si>
    <t>TX00700</t>
  </si>
  <si>
    <t>TX00701</t>
  </si>
  <si>
    <t>TX00702</t>
  </si>
  <si>
    <t>TX00703</t>
  </si>
  <si>
    <t>TX00704</t>
  </si>
  <si>
    <t>TX00705</t>
  </si>
  <si>
    <t>TX00706</t>
  </si>
  <si>
    <t>TX00707</t>
  </si>
  <si>
    <t>TX00708</t>
  </si>
  <si>
    <t>TX00709</t>
  </si>
  <si>
    <t>TX00710</t>
  </si>
  <si>
    <t>TX00711</t>
  </si>
  <si>
    <t>TX00712</t>
  </si>
  <si>
    <t>TX00713</t>
  </si>
  <si>
    <t>TX00714</t>
  </si>
  <si>
    <t>TX00715</t>
  </si>
  <si>
    <t>TX00716</t>
  </si>
  <si>
    <t>TX00717</t>
  </si>
  <si>
    <t>TX00718</t>
  </si>
  <si>
    <t>TX00719</t>
  </si>
  <si>
    <t>TX00720</t>
  </si>
  <si>
    <t>TX00721</t>
  </si>
  <si>
    <t>2024-05-28</t>
  </si>
  <si>
    <t>TX00722</t>
  </si>
  <si>
    <t>TX00723</t>
  </si>
  <si>
    <t>TX00724</t>
  </si>
  <si>
    <t>TX00725</t>
  </si>
  <si>
    <t>TX00726</t>
  </si>
  <si>
    <t>TX00727</t>
  </si>
  <si>
    <t>TX00728</t>
  </si>
  <si>
    <t>TX00729</t>
  </si>
  <si>
    <t>TX00730</t>
  </si>
  <si>
    <t>TX00731</t>
  </si>
  <si>
    <t>TX00732</t>
  </si>
  <si>
    <t>TX00733</t>
  </si>
  <si>
    <t>TX00734</t>
  </si>
  <si>
    <t>TX00735</t>
  </si>
  <si>
    <t>TX00736</t>
  </si>
  <si>
    <t>TX00737</t>
  </si>
  <si>
    <t>TX00738</t>
  </si>
  <si>
    <t>TX00739</t>
  </si>
  <si>
    <t>TX00740</t>
  </si>
  <si>
    <t>TX00741</t>
  </si>
  <si>
    <t>TX00742</t>
  </si>
  <si>
    <t>TX00743</t>
  </si>
  <si>
    <t>TX00744</t>
  </si>
  <si>
    <t>TX00745</t>
  </si>
  <si>
    <t>TX00746</t>
  </si>
  <si>
    <t>TX00747</t>
  </si>
  <si>
    <t>TX00748</t>
  </si>
  <si>
    <t>TX00749</t>
  </si>
  <si>
    <t>TX00750</t>
  </si>
  <si>
    <t>TX00751</t>
  </si>
  <si>
    <t>TX00752</t>
  </si>
  <si>
    <t>TX00753</t>
  </si>
  <si>
    <t>TX00754</t>
  </si>
  <si>
    <t>TX00755</t>
  </si>
  <si>
    <t>TX00756</t>
  </si>
  <si>
    <t>TX00757</t>
  </si>
  <si>
    <t>TX00758</t>
  </si>
  <si>
    <t>TX00759</t>
  </si>
  <si>
    <t>TX00760</t>
  </si>
  <si>
    <t>TX00761</t>
  </si>
  <si>
    <t>TX00762</t>
  </si>
  <si>
    <t>TX00763</t>
  </si>
  <si>
    <t>TX00764</t>
  </si>
  <si>
    <t>TX00765</t>
  </si>
  <si>
    <t>TX00766</t>
  </si>
  <si>
    <t>2024-06-28</t>
  </si>
  <si>
    <t>TX00767</t>
  </si>
  <si>
    <t>TX00768</t>
  </si>
  <si>
    <t>TX00769</t>
  </si>
  <si>
    <t>TX00770</t>
  </si>
  <si>
    <t>TX00771</t>
  </si>
  <si>
    <t>TX00772</t>
  </si>
  <si>
    <t>TX00773</t>
  </si>
  <si>
    <t>TX00774</t>
  </si>
  <si>
    <t>TX00775</t>
  </si>
  <si>
    <t>TX00776</t>
  </si>
  <si>
    <t>TX00777</t>
  </si>
  <si>
    <t>TX00778</t>
  </si>
  <si>
    <t>TX00779</t>
  </si>
  <si>
    <t>TX00780</t>
  </si>
  <si>
    <t>TX00781</t>
  </si>
  <si>
    <t>TX00782</t>
  </si>
  <si>
    <t>TX00783</t>
  </si>
  <si>
    <t>TX00784</t>
  </si>
  <si>
    <t>TX00785</t>
  </si>
  <si>
    <t>TX00786</t>
  </si>
  <si>
    <t>TX00787</t>
  </si>
  <si>
    <t>TX00788</t>
  </si>
  <si>
    <t>TX00789</t>
  </si>
  <si>
    <t>TX00790</t>
  </si>
  <si>
    <t>TX00791</t>
  </si>
  <si>
    <t>TX00792</t>
  </si>
  <si>
    <t>TX00793</t>
  </si>
  <si>
    <t>TX00794</t>
  </si>
  <si>
    <t>TX00795</t>
  </si>
  <si>
    <t>TX00796</t>
  </si>
  <si>
    <t>TX00797</t>
  </si>
  <si>
    <t>TX00798</t>
  </si>
  <si>
    <t>TX00799</t>
  </si>
  <si>
    <t>TX00800</t>
  </si>
  <si>
    <t>TX00801</t>
  </si>
  <si>
    <t>TX00802</t>
  </si>
  <si>
    <t>TX00803</t>
  </si>
  <si>
    <t>TX00804</t>
  </si>
  <si>
    <t>TX00805</t>
  </si>
  <si>
    <t>TX00806</t>
  </si>
  <si>
    <t>TX00807</t>
  </si>
  <si>
    <t>TX00808</t>
  </si>
  <si>
    <t>TX00809</t>
  </si>
  <si>
    <t>TX00810</t>
  </si>
  <si>
    <t>TX00811</t>
  </si>
  <si>
    <t>2024-07-28</t>
  </si>
  <si>
    <t>TX00812</t>
  </si>
  <si>
    <t>TX00813</t>
  </si>
  <si>
    <t>TX00814</t>
  </si>
  <si>
    <t>TX00815</t>
  </si>
  <si>
    <t>TX00816</t>
  </si>
  <si>
    <t>TX00817</t>
  </si>
  <si>
    <t>TX00818</t>
  </si>
  <si>
    <t>TX00819</t>
  </si>
  <si>
    <t>TX00820</t>
  </si>
  <si>
    <t>TX00821</t>
  </si>
  <si>
    <t>TX00822</t>
  </si>
  <si>
    <t>TX00823</t>
  </si>
  <si>
    <t>TX00824</t>
  </si>
  <si>
    <t>TX00825</t>
  </si>
  <si>
    <t>TX00826</t>
  </si>
  <si>
    <t>TX00827</t>
  </si>
  <si>
    <t>TX00828</t>
  </si>
  <si>
    <t>TX00829</t>
  </si>
  <si>
    <t>TX00830</t>
  </si>
  <si>
    <t>TX00831</t>
  </si>
  <si>
    <t>TX00832</t>
  </si>
  <si>
    <t>TX00833</t>
  </si>
  <si>
    <t>TX00834</t>
  </si>
  <si>
    <t>TX00835</t>
  </si>
  <si>
    <t>TX00836</t>
  </si>
  <si>
    <t>TX00837</t>
  </si>
  <si>
    <t>TX00838</t>
  </si>
  <si>
    <t>TX00839</t>
  </si>
  <si>
    <t>TX00840</t>
  </si>
  <si>
    <t>TX00841</t>
  </si>
  <si>
    <t>TX00842</t>
  </si>
  <si>
    <t>TX00843</t>
  </si>
  <si>
    <t>TX00844</t>
  </si>
  <si>
    <t>TX00845</t>
  </si>
  <si>
    <t>TX00846</t>
  </si>
  <si>
    <t>TX00847</t>
  </si>
  <si>
    <t>TX00848</t>
  </si>
  <si>
    <t>TX00849</t>
  </si>
  <si>
    <t>TX00850</t>
  </si>
  <si>
    <t>TX00851</t>
  </si>
  <si>
    <t>TX00852</t>
  </si>
  <si>
    <t>TX00853</t>
  </si>
  <si>
    <t>TX00854</t>
  </si>
  <si>
    <t>TX00855</t>
  </si>
  <si>
    <t>TX00856</t>
  </si>
  <si>
    <t>2024-08-28</t>
  </si>
  <si>
    <t>TX00857</t>
  </si>
  <si>
    <t>TX00858</t>
  </si>
  <si>
    <t>TX00859</t>
  </si>
  <si>
    <t>TX00860</t>
  </si>
  <si>
    <t>TX00861</t>
  </si>
  <si>
    <t>TX00862</t>
  </si>
  <si>
    <t>TX00863</t>
  </si>
  <si>
    <t>TX00864</t>
  </si>
  <si>
    <t>TX00865</t>
  </si>
  <si>
    <t>TX00866</t>
  </si>
  <si>
    <t>TX00867</t>
  </si>
  <si>
    <t>TX00868</t>
  </si>
  <si>
    <t>TX00869</t>
  </si>
  <si>
    <t>TX00870</t>
  </si>
  <si>
    <t>TX00871</t>
  </si>
  <si>
    <t>TX00872</t>
  </si>
  <si>
    <t>TX00873</t>
  </si>
  <si>
    <t>TX00874</t>
  </si>
  <si>
    <t>TX00875</t>
  </si>
  <si>
    <t>TX00876</t>
  </si>
  <si>
    <t>TX00877</t>
  </si>
  <si>
    <t>TX00878</t>
  </si>
  <si>
    <t>TX00879</t>
  </si>
  <si>
    <t>TX00880</t>
  </si>
  <si>
    <t>TX00881</t>
  </si>
  <si>
    <t>TX00882</t>
  </si>
  <si>
    <t>TX00883</t>
  </si>
  <si>
    <t>TX00884</t>
  </si>
  <si>
    <t>TX00885</t>
  </si>
  <si>
    <t>TX00886</t>
  </si>
  <si>
    <t>TX00887</t>
  </si>
  <si>
    <t>TX00888</t>
  </si>
  <si>
    <t>TX00889</t>
  </si>
  <si>
    <t>TX00890</t>
  </si>
  <si>
    <t>TX00891</t>
  </si>
  <si>
    <t>TX00892</t>
  </si>
  <si>
    <t>TX00893</t>
  </si>
  <si>
    <t>TX00894</t>
  </si>
  <si>
    <t>TX00895</t>
  </si>
  <si>
    <t>TX00896</t>
  </si>
  <si>
    <t>TX00897</t>
  </si>
  <si>
    <t>TX00898</t>
  </si>
  <si>
    <t>TX00899</t>
  </si>
  <si>
    <t>TX00900</t>
  </si>
  <si>
    <t>TX00901</t>
  </si>
  <si>
    <t>2024-09-28</t>
  </si>
  <si>
    <t>TX00902</t>
  </si>
  <si>
    <t>TX00903</t>
  </si>
  <si>
    <t>TX00904</t>
  </si>
  <si>
    <t>TX00905</t>
  </si>
  <si>
    <t>TX00906</t>
  </si>
  <si>
    <t>TX00907</t>
  </si>
  <si>
    <t>TX00908</t>
  </si>
  <si>
    <t>TX00909</t>
  </si>
  <si>
    <t>TX00910</t>
  </si>
  <si>
    <t>TX00911</t>
  </si>
  <si>
    <t>TX00912</t>
  </si>
  <si>
    <t>TX00913</t>
  </si>
  <si>
    <t>TX00914</t>
  </si>
  <si>
    <t>TX00915</t>
  </si>
  <si>
    <t>TX00916</t>
  </si>
  <si>
    <t>TX00917</t>
  </si>
  <si>
    <t>TX00918</t>
  </si>
  <si>
    <t>TX00919</t>
  </si>
  <si>
    <t>TX00920</t>
  </si>
  <si>
    <t>TX00921</t>
  </si>
  <si>
    <t>TX00922</t>
  </si>
  <si>
    <t>TX00923</t>
  </si>
  <si>
    <t>TX00924</t>
  </si>
  <si>
    <t>TX00925</t>
  </si>
  <si>
    <t>TX00926</t>
  </si>
  <si>
    <t>TX00927</t>
  </si>
  <si>
    <t>TX00928</t>
  </si>
  <si>
    <t>TX00929</t>
  </si>
  <si>
    <t>TX00930</t>
  </si>
  <si>
    <t>TX00931</t>
  </si>
  <si>
    <t>TX00932</t>
  </si>
  <si>
    <t>TX00933</t>
  </si>
  <si>
    <t>TX00934</t>
  </si>
  <si>
    <t>TX00935</t>
  </si>
  <si>
    <t>TX00936</t>
  </si>
  <si>
    <t>TX00937</t>
  </si>
  <si>
    <t>TX00938</t>
  </si>
  <si>
    <t>TX00939</t>
  </si>
  <si>
    <t>TX00940</t>
  </si>
  <si>
    <t>TX00941</t>
  </si>
  <si>
    <t>TX00942</t>
  </si>
  <si>
    <t>TX00943</t>
  </si>
  <si>
    <t>TX00944</t>
  </si>
  <si>
    <t>TX00945</t>
  </si>
  <si>
    <t>TX00946</t>
  </si>
  <si>
    <t>2024-10-28</t>
  </si>
  <si>
    <t>TX00947</t>
  </si>
  <si>
    <t>TX00948</t>
  </si>
  <si>
    <t>TX00949</t>
  </si>
  <si>
    <t>TX00950</t>
  </si>
  <si>
    <t>TX00951</t>
  </si>
  <si>
    <t>TX00952</t>
  </si>
  <si>
    <t>TX00953</t>
  </si>
  <si>
    <t>TX00954</t>
  </si>
  <si>
    <t>TX00955</t>
  </si>
  <si>
    <t>TX00956</t>
  </si>
  <si>
    <t>TX00957</t>
  </si>
  <si>
    <t>TX00958</t>
  </si>
  <si>
    <t>TX00959</t>
  </si>
  <si>
    <t>TX00960</t>
  </si>
  <si>
    <t>TX00961</t>
  </si>
  <si>
    <t>TX00962</t>
  </si>
  <si>
    <t>TX00963</t>
  </si>
  <si>
    <t>TX00964</t>
  </si>
  <si>
    <t>TX00965</t>
  </si>
  <si>
    <t>TX00966</t>
  </si>
  <si>
    <t>TX00967</t>
  </si>
  <si>
    <t>TX00968</t>
  </si>
  <si>
    <t>TX00969</t>
  </si>
  <si>
    <t>TX00970</t>
  </si>
  <si>
    <t>TX00971</t>
  </si>
  <si>
    <t>TX00972</t>
  </si>
  <si>
    <t>TX00973</t>
  </si>
  <si>
    <t>TX00974</t>
  </si>
  <si>
    <t>TX00975</t>
  </si>
  <si>
    <t>TX00976</t>
  </si>
  <si>
    <t>TX00977</t>
  </si>
  <si>
    <t>TX00978</t>
  </si>
  <si>
    <t>TX00979</t>
  </si>
  <si>
    <t>TX00980</t>
  </si>
  <si>
    <t>TX00981</t>
  </si>
  <si>
    <t>TX00982</t>
  </si>
  <si>
    <t>TX00983</t>
  </si>
  <si>
    <t>TX00984</t>
  </si>
  <si>
    <t>TX00985</t>
  </si>
  <si>
    <t>TX00986</t>
  </si>
  <si>
    <t>TX00987</t>
  </si>
  <si>
    <t>TX00988</t>
  </si>
  <si>
    <t>TX00989</t>
  </si>
  <si>
    <t>TX00990</t>
  </si>
  <si>
    <t>TX00991</t>
  </si>
  <si>
    <t>2024-11-28</t>
  </si>
  <si>
    <t>TX00992</t>
  </si>
  <si>
    <t>TX00993</t>
  </si>
  <si>
    <t>TX00994</t>
  </si>
  <si>
    <t>TX00995</t>
  </si>
  <si>
    <t>TX00996</t>
  </si>
  <si>
    <t>TX00997</t>
  </si>
  <si>
    <t>TX00998</t>
  </si>
  <si>
    <t>TX00999</t>
  </si>
  <si>
    <t>TX01000</t>
  </si>
  <si>
    <t>TX01001</t>
  </si>
  <si>
    <t>TX01002</t>
  </si>
  <si>
    <t>TX01003</t>
  </si>
  <si>
    <t>TX01004</t>
  </si>
  <si>
    <t>TX01005</t>
  </si>
  <si>
    <t>TX01006</t>
  </si>
  <si>
    <t>TX01007</t>
  </si>
  <si>
    <t>TX01008</t>
  </si>
  <si>
    <t>TX01009</t>
  </si>
  <si>
    <t>TX01010</t>
  </si>
  <si>
    <t>TX01011</t>
  </si>
  <si>
    <t>TX01012</t>
  </si>
  <si>
    <t>TX01013</t>
  </si>
  <si>
    <t>TX01014</t>
  </si>
  <si>
    <t>TX01015</t>
  </si>
  <si>
    <t>TX01016</t>
  </si>
  <si>
    <t>TX01017</t>
  </si>
  <si>
    <t>TX01018</t>
  </si>
  <si>
    <t>TX01019</t>
  </si>
  <si>
    <t>TX01020</t>
  </si>
  <si>
    <t>TX01021</t>
  </si>
  <si>
    <t>TX01022</t>
  </si>
  <si>
    <t>TX01023</t>
  </si>
  <si>
    <t>TX01024</t>
  </si>
  <si>
    <t>TX01025</t>
  </si>
  <si>
    <t>TX01026</t>
  </si>
  <si>
    <t>TX01027</t>
  </si>
  <si>
    <t>TX01028</t>
  </si>
  <si>
    <t>TX01029</t>
  </si>
  <si>
    <t>TX01030</t>
  </si>
  <si>
    <t>TX01031</t>
  </si>
  <si>
    <t>TX01032</t>
  </si>
  <si>
    <t>TX01033</t>
  </si>
  <si>
    <t>TX01034</t>
  </si>
  <si>
    <t>TX01035</t>
  </si>
  <si>
    <t>TX01036</t>
  </si>
  <si>
    <t>2024-12-28</t>
  </si>
  <si>
    <t>TX01037</t>
  </si>
  <si>
    <t>TX01038</t>
  </si>
  <si>
    <t>TX01039</t>
  </si>
  <si>
    <t>TX01040</t>
  </si>
  <si>
    <t>TX01041</t>
  </si>
  <si>
    <t>TX01042</t>
  </si>
  <si>
    <t>TX01043</t>
  </si>
  <si>
    <t>TX01044</t>
  </si>
  <si>
    <t>TX01045</t>
  </si>
  <si>
    <t>TX01046</t>
  </si>
  <si>
    <t>TX01047</t>
  </si>
  <si>
    <t>TX01048</t>
  </si>
  <si>
    <t>TX01049</t>
  </si>
  <si>
    <t>TX01050</t>
  </si>
  <si>
    <t>TX01051</t>
  </si>
  <si>
    <t>TX01052</t>
  </si>
  <si>
    <t>TX01053</t>
  </si>
  <si>
    <t>TX01054</t>
  </si>
  <si>
    <t>TX01055</t>
  </si>
  <si>
    <t>TX01056</t>
  </si>
  <si>
    <t>TX01057</t>
  </si>
  <si>
    <t>TX01058</t>
  </si>
  <si>
    <t>TX01059</t>
  </si>
  <si>
    <t>TX01060</t>
  </si>
  <si>
    <t>TX01061</t>
  </si>
  <si>
    <t>TX01062</t>
  </si>
  <si>
    <t>TX01063</t>
  </si>
  <si>
    <t>TX01064</t>
  </si>
  <si>
    <t>TX01065</t>
  </si>
  <si>
    <t>TX01066</t>
  </si>
  <si>
    <t>TX01067</t>
  </si>
  <si>
    <t>TX01068</t>
  </si>
  <si>
    <t>TX01069</t>
  </si>
  <si>
    <t>TX01070</t>
  </si>
  <si>
    <t>TX01071</t>
  </si>
  <si>
    <t>TX01072</t>
  </si>
  <si>
    <t>TX01073</t>
  </si>
  <si>
    <t>TX01074</t>
  </si>
  <si>
    <t>TX01075</t>
  </si>
  <si>
    <t>TX01076</t>
  </si>
  <si>
    <t>TX01077</t>
  </si>
  <si>
    <t>TX01078</t>
  </si>
  <si>
    <t>TX01079</t>
  </si>
  <si>
    <t>TX01080</t>
  </si>
  <si>
    <t>Month</t>
  </si>
  <si>
    <t>Staff Cost</t>
  </si>
  <si>
    <t>Rent Expense</t>
  </si>
  <si>
    <t>Utilities Expense</t>
  </si>
  <si>
    <t>Marketing Expense</t>
  </si>
  <si>
    <t>Logistics Cost</t>
  </si>
  <si>
    <t>Campaign ID</t>
  </si>
  <si>
    <t>Campaign Period</t>
  </si>
  <si>
    <t>Marketing Channel</t>
  </si>
  <si>
    <t>Campaign Cost</t>
  </si>
  <si>
    <t>Sales Generated</t>
  </si>
  <si>
    <t>C001</t>
  </si>
  <si>
    <t>2023-01</t>
  </si>
  <si>
    <t>Paid Search</t>
  </si>
  <si>
    <t>C002</t>
  </si>
  <si>
    <t>2023-02</t>
  </si>
  <si>
    <t>Social Media</t>
  </si>
  <si>
    <t>C003</t>
  </si>
  <si>
    <t>2023-03</t>
  </si>
  <si>
    <t>C004</t>
  </si>
  <si>
    <t>2023-04</t>
  </si>
  <si>
    <t>Email</t>
  </si>
  <si>
    <t>C005</t>
  </si>
  <si>
    <t>2023-05</t>
  </si>
  <si>
    <t>C006</t>
  </si>
  <si>
    <t>2023-06</t>
  </si>
  <si>
    <t>TV</t>
  </si>
  <si>
    <t>C007</t>
  </si>
  <si>
    <t>2023-07</t>
  </si>
  <si>
    <t>Influencer</t>
  </si>
  <si>
    <t>C008</t>
  </si>
  <si>
    <t>2023-08</t>
  </si>
  <si>
    <t>C009</t>
  </si>
  <si>
    <t>2023-09</t>
  </si>
  <si>
    <t>C010</t>
  </si>
  <si>
    <t>2023-10</t>
  </si>
  <si>
    <t>C011</t>
  </si>
  <si>
    <t>2023-11</t>
  </si>
  <si>
    <t>C012</t>
  </si>
  <si>
    <t>2023-12</t>
  </si>
  <si>
    <t>C013</t>
  </si>
  <si>
    <t>2024-01</t>
  </si>
  <si>
    <t>C014</t>
  </si>
  <si>
    <t>2024-02</t>
  </si>
  <si>
    <t>C015</t>
  </si>
  <si>
    <t>2024-03</t>
  </si>
  <si>
    <t>C016</t>
  </si>
  <si>
    <t>2024-04</t>
  </si>
  <si>
    <t>C017</t>
  </si>
  <si>
    <t>2024-05</t>
  </si>
  <si>
    <t>C018</t>
  </si>
  <si>
    <t>2024-06</t>
  </si>
  <si>
    <t>C019</t>
  </si>
  <si>
    <t>2024-07</t>
  </si>
  <si>
    <t>C020</t>
  </si>
  <si>
    <t>2024-08</t>
  </si>
  <si>
    <t>C021</t>
  </si>
  <si>
    <t>2024-09</t>
  </si>
  <si>
    <t>C022</t>
  </si>
  <si>
    <t>2024-10</t>
  </si>
  <si>
    <t>C023</t>
  </si>
  <si>
    <t>2024-11</t>
  </si>
  <si>
    <t>C024</t>
  </si>
  <si>
    <t>2024-12</t>
  </si>
  <si>
    <t xml:space="preserve">KPI Directory </t>
  </si>
  <si>
    <t>KPI</t>
  </si>
  <si>
    <t>Formula</t>
  </si>
  <si>
    <t>Revenue Growth %</t>
  </si>
  <si>
    <t>Units Growth %</t>
  </si>
  <si>
    <t>Gross Margin %</t>
  </si>
  <si>
    <t>Operating Margin %</t>
  </si>
  <si>
    <t>Cost of Sales Growth %</t>
  </si>
  <si>
    <t>Staff Cost Growth %</t>
  </si>
  <si>
    <t>Logistics Cost Growth %</t>
  </si>
  <si>
    <t>Marketing ROI</t>
  </si>
  <si>
    <t>Revenue per Store</t>
  </si>
  <si>
    <t>Revenue per Unit</t>
  </si>
  <si>
    <t>(Revenue this period – Revenue last period) ÷ Revenue last period × 100</t>
  </si>
  <si>
    <r>
      <rPr>
        <b/>
        <sz val="11"/>
        <color theme="1"/>
        <rFont val="Calibri"/>
        <family val="2"/>
        <scheme val="minor"/>
      </rPr>
      <t>Units Growth %</t>
    </r>
    <r>
      <rPr>
        <sz val="11"/>
        <color theme="1"/>
        <rFont val="Calibri"/>
        <family val="2"/>
        <scheme val="minor"/>
      </rPr>
      <t xml:space="preserve">
Measures change in units sold.</t>
    </r>
  </si>
  <si>
    <r>
      <rPr>
        <b/>
        <sz val="11"/>
        <color theme="1"/>
        <rFont val="Calibri"/>
        <family val="2"/>
        <scheme val="minor"/>
      </rPr>
      <t xml:space="preserve">Revenue Growth % </t>
    </r>
    <r>
      <rPr>
        <sz val="11"/>
        <color theme="1"/>
        <rFont val="Calibri"/>
        <family val="2"/>
        <scheme val="minor"/>
      </rPr>
      <t xml:space="preserve">
Measures how revenue changes over time.</t>
    </r>
  </si>
  <si>
    <r>
      <t xml:space="preserve">Discount %
</t>
    </r>
    <r>
      <rPr>
        <sz val="11"/>
        <color theme="1"/>
        <rFont val="Calibri"/>
        <family val="2"/>
        <scheme val="minor"/>
      </rPr>
      <t>Helps to show the average discount applied.</t>
    </r>
  </si>
  <si>
    <r>
      <t xml:space="preserve">Gross Margin %
</t>
    </r>
    <r>
      <rPr>
        <sz val="11"/>
        <color theme="1"/>
        <rFont val="Calibri"/>
        <family val="2"/>
        <scheme val="minor"/>
      </rPr>
      <t>helps to show profitability after deducting cost of sales</t>
    </r>
  </si>
  <si>
    <r>
      <t xml:space="preserve">Operating Margin %
</t>
    </r>
    <r>
      <rPr>
        <sz val="11"/>
        <color theme="1"/>
        <rFont val="Calibri"/>
        <family val="2"/>
        <scheme val="minor"/>
      </rPr>
      <t>helps to show profitability after deducting operating cost</t>
    </r>
  </si>
  <si>
    <r>
      <t xml:space="preserve">Cost of Sales Growth %
</t>
    </r>
    <r>
      <rPr>
        <sz val="11"/>
        <color theme="1"/>
        <rFont val="Calibri"/>
        <family val="2"/>
        <scheme val="minor"/>
      </rPr>
      <t>Measures change in cost of sales.</t>
    </r>
  </si>
  <si>
    <r>
      <t xml:space="preserve">Staff Cost Growth %
</t>
    </r>
    <r>
      <rPr>
        <sz val="11"/>
        <color theme="1"/>
        <rFont val="Calibri"/>
        <family val="2"/>
        <scheme val="minor"/>
      </rPr>
      <t>Measures change in Staff costs.</t>
    </r>
  </si>
  <si>
    <r>
      <t xml:space="preserve">Logistics Cost Growth %
</t>
    </r>
    <r>
      <rPr>
        <sz val="11"/>
        <color theme="1"/>
        <rFont val="Calibri"/>
        <family val="2"/>
        <scheme val="minor"/>
      </rPr>
      <t>Measures change in logistics costs.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</si>
  <si>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Marketing ROI
</t>
    </r>
    <r>
      <rPr>
        <sz val="11"/>
        <color theme="1"/>
        <rFont val="Calibri"/>
        <family val="2"/>
        <scheme val="minor"/>
      </rPr>
      <t>Shows Returns generated from marketing spend</t>
    </r>
  </si>
  <si>
    <r>
      <t xml:space="preserve">Revenue per Store
</t>
    </r>
    <r>
      <rPr>
        <sz val="11"/>
        <color theme="1"/>
        <rFont val="Calibri"/>
        <family val="2"/>
        <scheme val="minor"/>
      </rPr>
      <t>Measures store productivity in terms of total revenue generated</t>
    </r>
  </si>
  <si>
    <r>
      <t xml:space="preserve">Revenue per Unit
</t>
    </r>
    <r>
      <rPr>
        <sz val="11"/>
        <color theme="1"/>
        <rFont val="Calibri"/>
        <family val="2"/>
        <scheme val="minor"/>
      </rPr>
      <t>Measures average revenue per unit sold</t>
    </r>
  </si>
  <si>
    <t>Net Sales Revenue ÷ Units Sold</t>
  </si>
  <si>
    <t>(Logistics Cost this period – Logistics Cost last period) ÷ Logistics Cost last period × 100</t>
  </si>
  <si>
    <t>(Staff Cost this period – Staff Cost last period) ÷ Staff Cost last period × 100</t>
  </si>
  <si>
    <t>(COS this period – COS last period) ÷ COS last period × 100</t>
  </si>
  <si>
    <t>Operating Profit ÷ Net Sales Revenue × 100</t>
  </si>
  <si>
    <t>(Net Sales Revenue – Cost of Sales) ÷ Net Sales Revenue × 100</t>
  </si>
  <si>
    <t>Total discount ÷ Total sales before discount × 100</t>
  </si>
  <si>
    <t>(Total Units sold this period – Tota Units sold last period) ÷ Total Units sold last period × 100</t>
  </si>
  <si>
    <t>Total Revenue ÷Total Number of Stores</t>
  </si>
  <si>
    <t>A. KPI Categories</t>
  </si>
  <si>
    <t>Financial KPIs</t>
  </si>
  <si>
    <t>Operational KPIs</t>
  </si>
  <si>
    <t>Sales Generated ÷ Marketing Spend</t>
  </si>
  <si>
    <t>Total OPEX</t>
  </si>
  <si>
    <t>Storelocation</t>
  </si>
  <si>
    <t>RO1</t>
  </si>
  <si>
    <t>Month
(Date)</t>
  </si>
  <si>
    <t>Revenue Growth % (MoM)</t>
  </si>
  <si>
    <t>Revenue Growth % (YoY)</t>
  </si>
  <si>
    <t>3-Month Rolling Avg Revenue</t>
  </si>
  <si>
    <t>Row Labels</t>
  </si>
  <si>
    <t>Grand Total</t>
  </si>
  <si>
    <t>Calendar (Month Bridge Table)</t>
  </si>
  <si>
    <t>Month Key</t>
  </si>
  <si>
    <t>Month Start</t>
  </si>
  <si>
    <t>Year</t>
  </si>
  <si>
    <t>Month Name</t>
  </si>
  <si>
    <t>Month No.</t>
  </si>
  <si>
    <t>Revenue Trend Report</t>
  </si>
  <si>
    <t>Units Growth % (MoM)</t>
  </si>
  <si>
    <t>Avg Selling Price (Net, realised)</t>
  </si>
  <si>
    <t>ASP Growth % (MoM)</t>
  </si>
  <si>
    <t>Gross Revenue (pre-discount)</t>
  </si>
  <si>
    <t>Discount % Point Change (MoM)</t>
  </si>
  <si>
    <t>Revenue Growth Driver Diagnostic</t>
  </si>
  <si>
    <t>month Key</t>
  </si>
  <si>
    <t>Discount Amount</t>
  </si>
  <si>
    <t>N/A</t>
  </si>
  <si>
    <t>Revemue per unit</t>
  </si>
  <si>
    <t>standard product cost per unit</t>
  </si>
  <si>
    <t>N/A baseline month</t>
  </si>
  <si>
    <t>Standard cost</t>
  </si>
  <si>
    <t>Variance
Actual-Std COS</t>
  </si>
  <si>
    <t>GrossProfit</t>
  </si>
  <si>
    <t>GP Margin</t>
  </si>
  <si>
    <t>Product Mix Analysis</t>
  </si>
  <si>
    <t>Sum of Units Sold</t>
  </si>
  <si>
    <t>Sum of GrossProfit</t>
  </si>
  <si>
    <t>Average of GP Margin</t>
  </si>
  <si>
    <t>Operating
Cost</t>
  </si>
  <si>
    <t>Sum of Net Sales Revenue</t>
  </si>
  <si>
    <t>Sum of Total OPEX</t>
  </si>
  <si>
    <t>Gross Profit</t>
  </si>
  <si>
    <t>sum of Net of sales</t>
  </si>
  <si>
    <t>operating profit</t>
  </si>
  <si>
    <t>Sum of Gross Profit</t>
  </si>
  <si>
    <t>operating margin</t>
  </si>
  <si>
    <t>OP margin change</t>
  </si>
  <si>
    <t>Total Net Revenue</t>
  </si>
  <si>
    <t>Total Gross Revenue (pre-discount)</t>
  </si>
  <si>
    <t>Total Units Sold</t>
  </si>
  <si>
    <t>Total Cost of Sales</t>
  </si>
  <si>
    <t>Revenue Share %</t>
  </si>
  <si>
    <t>Total Operating Expense</t>
  </si>
  <si>
    <t>Operating Profit</t>
  </si>
  <si>
    <t>TOTAL / COMPANY</t>
  </si>
  <si>
    <t>Total Cost Growth % (MoM)</t>
  </si>
  <si>
    <t>Growth Gap (Rev - Cost), pts</t>
  </si>
  <si>
    <t>Staff Cost Growth % (MoM)</t>
  </si>
  <si>
    <t>Logistics Cost Growth % (MoM)</t>
  </si>
  <si>
    <t>Gross Margin % Point Change (MoM)</t>
  </si>
  <si>
    <t>Operating Margin % Point Change (MoM)</t>
  </si>
  <si>
    <t>n/a</t>
  </si>
  <si>
    <t xml:space="preserve"> </t>
  </si>
  <si>
    <t>% of Sales</t>
  </si>
  <si>
    <t>Variance Report — Months where key metrics moved further from their 2-year average than usual</t>
  </si>
  <si>
    <t>Each of the 8 rate-of-change metrics below (columns B:I) is flagged when it sits more than 1.5 standard deviations away from that metric's own 23-month average (the first month has no prior period, so it is excluded from every growth calculation and from the average/stdev). A month is 'High Variance' overall when 3 or more of its 8 metrics are flagged at once — i.e. several things moved unusually far, together, in that month.</t>
  </si>
  <si>
    <t>Growth Gap, pts</t>
  </si>
  <si>
    <t>Gross Margin % Pt Chg (MoM)</t>
  </si>
  <si>
    <t>Operating Margin % Pt Chg (MoM)</t>
  </si>
  <si>
    <t># Metrics Flagged</t>
  </si>
  <si>
    <t>Overall Flag</t>
  </si>
  <si>
    <t>Gross Margin % (level, for reference)</t>
  </si>
  <si>
    <t>Operating Margin % (level, for reference)</t>
  </si>
  <si>
    <t>Baseline month</t>
  </si>
  <si>
    <t>Statistical thresholds (computed live from columns B:I above, row 2 excluded)</t>
  </si>
  <si>
    <t>Metric</t>
  </si>
  <si>
    <t>Average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</si>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</sst>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.00"/>
    <numFmt numFmtId="165" formatCode="&quot;£&quot;#,##0"/>
    <numFmt numFmtId="166" formatCode="mmm\-yyyy"/>
    <numFmt numFmtId="167" formatCode="0.0%"/>
    <numFmt numFmtId="168" formatCode="\£#,##0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  <font>
      <b/>
      <sz val="16"/>
      <color rgb="FF1F4E79"/>
      <name val="Cambria"/>
      <charset val="1"/>
    </font>
    <font>
      <b/>
      <sz val="11"/>
      <color rgb="FFFFFFFF"/>
      <name val="Cambria"/>
      <charset val="1"/>
    </font>
    <font>
      <sz val="8"/>
      <name val="Calibri"/>
      <scheme val="minor"/>
    </font>
    <font>
      <sz val="11"/>
      <color rgb="FF0000FF"/>
      <name val="Calibri"/>
      <charset val="1"/>
    </font>
    <font>
      <sz val="11"/>
      <color rgb="FF008000"/>
      <name val="Calibri"/>
      <charset val="1"/>
    </font>
    <font>
      <sz val="11"/>
      <color rgb="FF000000"/>
      <name val="Calibri"/>
      <charset val="1"/>
    </font>
    <font>
      <b/>
      <sz val="11"/>
      <name val="Calibri"/>
      <charset val="1"/>
    </font>
    <font>
      <i/>
      <sz val="9"/>
      <color rgb="FF808080"/>
      <name val="Calibri"/>
      <charset val="1"/>
    </font>
    <font>
      <b/>
      <sz val="14"/>
      <color rgb="FFFFFFFF"/>
      <name val="Calibri"/>
      <charset val="1"/>
    </font>
    <font>
      <b/>
      <sz val="12"/>
      <color rgb="FF1F4E78"/>
      <name val="Calibri"/>
      <charset val="1"/>
    </font>
    <font>
      <b/>
      <sz val="9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E2EFDA"/>
      </patternFill>
    </fill>
    <fill>
      <patternFill patternType="solid">
        <fgColor rgb="FF808080"/>
        <bgColor rgb="FF8B8B8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9" fillId="0" borderId="0"/>
  </cellStyleXfs>
  <cellXfs count="59">
    <xf numFmtId="0" fontId="0" fillId="0" borderId="0" xfId="0"/>
    <xf numFmtId="0" fontId="4" fillId="0" borderId="0" xfId="0" applyFont="1"/>
    <xf numFmtId="2" fontId="4" fillId="0" borderId="0" xfId="0" applyNumberFormat="1" applyFont="1"/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/>
    <xf numFmtId="164" fontId="4" fillId="0" borderId="0" xfId="0" applyNumberFormat="1" applyFon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4" fontId="0" fillId="0" borderId="0" xfId="0" applyNumberFormat="1"/>
    <xf numFmtId="14" fontId="0" fillId="0" borderId="0" xfId="0" applyNumberForma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2" applyFont="1"/>
    <xf numFmtId="0" fontId="11" fillId="3" borderId="1" xfId="2" applyFont="1" applyFill="1" applyBorder="1" applyAlignment="1">
      <alignment horizontal="center" vertical="center" wrapText="1"/>
    </xf>
    <xf numFmtId="14" fontId="0" fillId="4" borderId="0" xfId="0" applyNumberFormat="1" applyFill="1"/>
    <xf numFmtId="0" fontId="10" fillId="0" borderId="0" xfId="0" applyFont="1"/>
    <xf numFmtId="164" fontId="8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9" fontId="8" fillId="2" borderId="1" xfId="1" applyFont="1" applyFill="1" applyBorder="1" applyAlignment="1">
      <alignment horizontal="center" vertical="center" wrapText="1"/>
    </xf>
    <xf numFmtId="167" fontId="0" fillId="0" borderId="0" xfId="1" applyNumberFormat="1" applyFont="1"/>
    <xf numFmtId="167" fontId="8" fillId="2" borderId="1" xfId="1" applyNumberFormat="1" applyFont="1" applyFill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7" fontId="0" fillId="4" borderId="0" xfId="1" applyNumberFormat="1" applyFont="1" applyFill="1"/>
    <xf numFmtId="9" fontId="0" fillId="0" borderId="0" xfId="0" applyNumberFormat="1"/>
    <xf numFmtId="0" fontId="13" fillId="0" borderId="1" xfId="0" applyFont="1" applyBorder="1"/>
    <xf numFmtId="0" fontId="14" fillId="0" borderId="1" xfId="0" applyFont="1" applyBorder="1"/>
    <xf numFmtId="168" fontId="14" fillId="0" borderId="1" xfId="0" applyNumberFormat="1" applyFont="1" applyBorder="1"/>
    <xf numFmtId="168" fontId="15" fillId="0" borderId="1" xfId="0" applyNumberFormat="1" applyFont="1" applyBorder="1"/>
    <xf numFmtId="167" fontId="15" fillId="0" borderId="1" xfId="0" applyNumberFormat="1" applyFont="1" applyBorder="1"/>
    <xf numFmtId="0" fontId="16" fillId="5" borderId="1" xfId="0" applyFont="1" applyFill="1" applyBorder="1"/>
    <xf numFmtId="0" fontId="0" fillId="5" borderId="1" xfId="0" applyFill="1" applyBorder="1"/>
    <xf numFmtId="168" fontId="16" fillId="5" borderId="1" xfId="0" applyNumberFormat="1" applyFont="1" applyFill="1" applyBorder="1"/>
    <xf numFmtId="167" fontId="16" fillId="5" borderId="1" xfId="0" applyNumberFormat="1" applyFont="1" applyFill="1" applyBorder="1"/>
    <xf numFmtId="166" fontId="13" fillId="0" borderId="1" xfId="0" applyNumberFormat="1" applyFont="1" applyBorder="1"/>
    <xf numFmtId="167" fontId="17" fillId="0" borderId="1" xfId="0" applyNumberFormat="1" applyFont="1" applyBorder="1"/>
    <xf numFmtId="0" fontId="18" fillId="2" borderId="0" xfId="0" applyFont="1" applyFill="1" applyAlignment="1">
      <alignment vertical="center" indent="1"/>
    </xf>
    <xf numFmtId="0" fontId="17" fillId="0" borderId="0" xfId="0" applyFont="1" applyAlignment="1">
      <alignment vertical="top" wrapText="1"/>
    </xf>
    <xf numFmtId="0" fontId="8" fillId="6" borderId="1" xfId="0" applyFont="1" applyFill="1" applyBorder="1" applyAlignment="1">
      <alignment horizontal="center" vertical="center" wrapText="1"/>
    </xf>
    <xf numFmtId="167" fontId="14" fillId="0" borderId="1" xfId="0" applyNumberFormat="1" applyFont="1" applyBorder="1"/>
    <xf numFmtId="1" fontId="17" fillId="0" borderId="0" xfId="0" applyNumberFormat="1" applyFont="1"/>
    <xf numFmtId="0" fontId="17" fillId="0" borderId="0" xfId="0" applyFont="1"/>
    <xf numFmtId="1" fontId="15" fillId="0" borderId="0" xfId="0" applyNumberFormat="1" applyFont="1"/>
    <xf numFmtId="0" fontId="15" fillId="0" borderId="0" xfId="0" applyFont="1"/>
    <xf numFmtId="0" fontId="19" fillId="0" borderId="0" xfId="0" applyFont="1"/>
    <xf numFmtId="0" fontId="16" fillId="0" borderId="0" xfId="0" applyFont="1"/>
    <xf numFmtId="0" fontId="20" fillId="0" borderId="0" xfId="0" applyFont="1" applyAlignment="1">
      <alignment vertical="top" wrapText="1"/>
    </xf>
    <xf numFmtId="167" fontId="15" fillId="0" borderId="0" xfId="0" applyNumberFormat="1" applyFont="1"/>
  </cellXfs>
  <cellStyles count="3">
    <cellStyle name="Normal" xfId="0" builtinId="0"/>
    <cellStyle name="Normal 2" xfId="2" xr:uid="{2896948A-5973-4923-95D2-9AE782F5AA8F}"/>
    <cellStyle name="Per cent" xfId="1" builtinId="5"/>
  </cellStyles>
  <dxfs count="52"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Net Revenue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'[1]Store Summary'!$D$1</c:f>
              <c:strCache>
                <c:ptCount val="1"/>
                <c:pt idx="0">
                  <c:v>Total Net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'[1]Store Summary'!$B$2:$B$6</c:f>
              <c:strCache>
                <c:ptCount val="5"/>
                <c:pt idx="0">
                  <c:v>Manchester</c:v>
                </c:pt>
                <c:pt idx="1">
                  <c:v>Birmingham</c:v>
                </c:pt>
                <c:pt idx="2">
                  <c:v>London Stratford</c:v>
                </c:pt>
                <c:pt idx="3">
                  <c:v>Glasgow</c:v>
                </c:pt>
                <c:pt idx="4">
                  <c:v>Leeds</c:v>
                </c:pt>
              </c:strCache>
            </c:strRef>
          </c:cat>
          <c:val>
            <c:numRef>
              <c:f>'[1]Store Summary'!$D$2:$D$6</c:f>
              <c:numCache>
                <c:formatCode>\£#,##0</c:formatCode>
                <c:ptCount val="5"/>
                <c:pt idx="0">
                  <c:v>11765610.340000002</c:v>
                </c:pt>
                <c:pt idx="1">
                  <c:v>11294839.100000003</c:v>
                </c:pt>
                <c:pt idx="2">
                  <c:v>11556377.500000009</c:v>
                </c:pt>
                <c:pt idx="3">
                  <c:v>11541196.750000004</c:v>
                </c:pt>
                <c:pt idx="4">
                  <c:v>11374008.770000003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6-46C6-83BA-525A974E5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118636"/>
        <c:axId val="91054178"/>
      </c:barChart>
      <c:catAx>
        <c:axId val="351186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1054178"/>
        <c:crosses val="autoZero"/>
        <c:auto val="1"/>
        <c:lblAlgn val="ctr"/>
        <c:lblOffset val="100"/>
        <c:noMultiLvlLbl val="0"/>
      </c:catAx>
      <c:valAx>
        <c:axId val="9105417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Net 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5118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Trend Report'!$A$5:$A$28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'Revenue Trend Report'!$B$5:$B$28</c:f>
              <c:numCache>
                <c:formatCode>"£"#,##0.00</c:formatCode>
                <c:ptCount val="24"/>
                <c:pt idx="0">
                  <c:v>2329918.2399999998</c:v>
                </c:pt>
                <c:pt idx="1">
                  <c:v>2487689.44</c:v>
                </c:pt>
                <c:pt idx="2">
                  <c:v>2444790.6</c:v>
                </c:pt>
                <c:pt idx="3">
                  <c:v>2436376.56</c:v>
                </c:pt>
                <c:pt idx="4">
                  <c:v>2336372.2800000007</c:v>
                </c:pt>
                <c:pt idx="5">
                  <c:v>2423490.7999999998</c:v>
                </c:pt>
                <c:pt idx="6">
                  <c:v>2219220.1599999997</c:v>
                </c:pt>
                <c:pt idx="7">
                  <c:v>2450806.48</c:v>
                </c:pt>
                <c:pt idx="8">
                  <c:v>2400931.36</c:v>
                </c:pt>
                <c:pt idx="9">
                  <c:v>2284842.04</c:v>
                </c:pt>
                <c:pt idx="10">
                  <c:v>2279626.16</c:v>
                </c:pt>
                <c:pt idx="11">
                  <c:v>2491954.3599999994</c:v>
                </c:pt>
                <c:pt idx="12">
                  <c:v>2423695.8599999994</c:v>
                </c:pt>
                <c:pt idx="13">
                  <c:v>2357448.6500000004</c:v>
                </c:pt>
                <c:pt idx="14">
                  <c:v>2338098.14</c:v>
                </c:pt>
                <c:pt idx="15">
                  <c:v>2357454.1</c:v>
                </c:pt>
                <c:pt idx="16">
                  <c:v>2542740.06</c:v>
                </c:pt>
                <c:pt idx="17">
                  <c:v>2447755.63</c:v>
                </c:pt>
                <c:pt idx="18">
                  <c:v>2297132.6600000011</c:v>
                </c:pt>
                <c:pt idx="19">
                  <c:v>2377319.5699999998</c:v>
                </c:pt>
                <c:pt idx="20">
                  <c:v>2373028.5599999991</c:v>
                </c:pt>
                <c:pt idx="21">
                  <c:v>2437406.1600000006</c:v>
                </c:pt>
                <c:pt idx="22">
                  <c:v>2538509.6299999994</c:v>
                </c:pt>
                <c:pt idx="23">
                  <c:v>2455424.96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3-4438-BE40-FA5B42744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6565263"/>
        <c:axId val="1424563599"/>
      </c:lineChart>
      <c:catAx>
        <c:axId val="140656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63599"/>
        <c:crosses val="autoZero"/>
        <c:auto val="1"/>
        <c:lblAlgn val="ctr"/>
        <c:lblOffset val="100"/>
        <c:noMultiLvlLbl val="0"/>
      </c:catAx>
      <c:valAx>
        <c:axId val="14245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6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Gross Margin % vs Operating Margin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'[1]Margin Compression Analysis'!$E$1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'[1]Margin Compression Analysis'!$A$2:$A$25</c:f>
              <c:numCache>
                <c:formatCode>mmm\-yyyy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'[1]Margin Compression Analysis'!$E$2:$E$25</c:f>
              <c:numCache>
                <c:formatCode>0.0%</c:formatCode>
                <c:ptCount val="24"/>
                <c:pt idx="0">
                  <c:v>0.45399457450489761</c:v>
                </c:pt>
                <c:pt idx="1">
                  <c:v>0.45220011063760435</c:v>
                </c:pt>
                <c:pt idx="2">
                  <c:v>0.45461995804466854</c:v>
                </c:pt>
                <c:pt idx="3">
                  <c:v>0.45241305391642744</c:v>
                </c:pt>
                <c:pt idx="4">
                  <c:v>0.45317105029169424</c:v>
                </c:pt>
                <c:pt idx="5">
                  <c:v>0.45064862635335767</c:v>
                </c:pt>
                <c:pt idx="6">
                  <c:v>0.45369818558245245</c:v>
                </c:pt>
                <c:pt idx="7">
                  <c:v>0.45234190828481896</c:v>
                </c:pt>
                <c:pt idx="8">
                  <c:v>0.45483156169862343</c:v>
                </c:pt>
                <c:pt idx="9">
                  <c:v>0.45592387647069027</c:v>
                </c:pt>
                <c:pt idx="10">
                  <c:v>0.4582480137883661</c:v>
                </c:pt>
                <c:pt idx="11">
                  <c:v>0.44958863532316046</c:v>
                </c:pt>
                <c:pt idx="12">
                  <c:v>0.35717498811917736</c:v>
                </c:pt>
                <c:pt idx="13">
                  <c:v>0.36346322538138848</c:v>
                </c:pt>
                <c:pt idx="14">
                  <c:v>0.36171399546128558</c:v>
                </c:pt>
                <c:pt idx="15">
                  <c:v>0.35762502438541638</c:v>
                </c:pt>
                <c:pt idx="16">
                  <c:v>0.36293958415867339</c:v>
                </c:pt>
                <c:pt idx="17">
                  <c:v>0.36655117815008365</c:v>
                </c:pt>
                <c:pt idx="18">
                  <c:v>0.36100649929377637</c:v>
                </c:pt>
                <c:pt idx="19">
                  <c:v>0.36185849847692136</c:v>
                </c:pt>
                <c:pt idx="20">
                  <c:v>0.36323820729742895</c:v>
                </c:pt>
                <c:pt idx="21">
                  <c:v>0.36465152775358545</c:v>
                </c:pt>
                <c:pt idx="22">
                  <c:v>0.35572596586919381</c:v>
                </c:pt>
                <c:pt idx="23">
                  <c:v>0.35862797452380712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75-4BCD-BB0D-2D9D1B486AF5}"/>
            </c:ext>
          </c:extLst>
        </c:ser>
        <c:ser>
          <c:idx val="1"/>
          <c:order val="1"/>
          <c:tx>
            <c:strRef>
              <c:f>'[1]Margin Compression Analysis'!$M$1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'[1]Margin Compression Analysis'!$A$2:$A$25</c:f>
              <c:numCache>
                <c:formatCode>mmm\-yyyy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'[1]Margin Compression Analysis'!$M$2:$M$25</c:f>
              <c:numCache>
                <c:formatCode>0.0%</c:formatCode>
                <c:ptCount val="24"/>
                <c:pt idx="0">
                  <c:v>0.23617534321719366</c:v>
                </c:pt>
                <c:pt idx="1">
                  <c:v>0.24838528076076891</c:v>
                </c:pt>
                <c:pt idx="2">
                  <c:v>0.24909683471459684</c:v>
                </c:pt>
                <c:pt idx="3">
                  <c:v>0.23925019209674223</c:v>
                </c:pt>
                <c:pt idx="4">
                  <c:v>0.23678259014440992</c:v>
                </c:pt>
                <c:pt idx="5">
                  <c:v>0.23633545462602948</c:v>
                </c:pt>
                <c:pt idx="6">
                  <c:v>0.22301580028905277</c:v>
                </c:pt>
                <c:pt idx="7">
                  <c:v>0.24216129867585465</c:v>
                </c:pt>
                <c:pt idx="8">
                  <c:v>0.24251728712477641</c:v>
                </c:pt>
                <c:pt idx="9">
                  <c:v>0.22542566662507665</c:v>
                </c:pt>
                <c:pt idx="10">
                  <c:v>0.23761315320227774</c:v>
                </c:pt>
                <c:pt idx="11">
                  <c:v>0.24746133793557903</c:v>
                </c:pt>
                <c:pt idx="12">
                  <c:v>0.11554896165891011</c:v>
                </c:pt>
                <c:pt idx="13">
                  <c:v>0.11178011873132426</c:v>
                </c:pt>
                <c:pt idx="14">
                  <c:v>0.11979172952936881</c:v>
                </c:pt>
                <c:pt idx="15">
                  <c:v>0.1105797054542864</c:v>
                </c:pt>
                <c:pt idx="16">
                  <c:v>0.14009258185832815</c:v>
                </c:pt>
                <c:pt idx="17">
                  <c:v>0.13115635648645213</c:v>
                </c:pt>
                <c:pt idx="18">
                  <c:v>0.10496860899622613</c:v>
                </c:pt>
                <c:pt idx="19">
                  <c:v>0.12057036572495816</c:v>
                </c:pt>
                <c:pt idx="20">
                  <c:v>0.1221066804185446</c:v>
                </c:pt>
                <c:pt idx="21">
                  <c:v>0.12358501629453512</c:v>
                </c:pt>
                <c:pt idx="22">
                  <c:v>0.13967754378776953</c:v>
                </c:pt>
                <c:pt idx="23">
                  <c:v>0.12815463112340444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75-4BCD-BB0D-2D9D1B486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877673"/>
        <c:axId val="62765494"/>
      </c:lineChart>
      <c:dateAx>
        <c:axId val="74877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2765494"/>
        <c:crosses val="autoZero"/>
        <c:auto val="1"/>
        <c:lblOffset val="100"/>
        <c:baseTimeUnit val="months"/>
      </c:dateAx>
      <c:valAx>
        <c:axId val="6276549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% of Net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48776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Growth % vs Total Cost Growth % (MoM)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'[1]Margin Compression Analysis'!$N$1</c:f>
              <c:strCache>
                <c:ptCount val="1"/>
                <c:pt idx="0">
                  <c:v>Revenue Growth % (MoM)</c:v>
                </c:pt>
              </c:strCache>
            </c:strRef>
          </c:tx>
          <c:spPr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'[1]Margin Compression Analysis'!$A$2:$A$25</c:f>
              <c:numCache>
                <c:formatCode>mmm\-yyyy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'[1]Margin Compression Analysis'!$N$2:$N$25</c:f>
              <c:numCache>
                <c:formatCode>0.0%</c:formatCode>
                <c:ptCount val="24"/>
                <c:pt idx="0">
                  <c:v>0</c:v>
                </c:pt>
                <c:pt idx="1">
                  <c:v>6.7715337513302706E-2</c:v>
                </c:pt>
                <c:pt idx="2">
                  <c:v>-1.7244451542150634E-2</c:v>
                </c:pt>
                <c:pt idx="3">
                  <c:v>-3.4416199080608526E-3</c:v>
                </c:pt>
                <c:pt idx="4">
                  <c:v>-4.1046315106561086E-2</c:v>
                </c:pt>
                <c:pt idx="5">
                  <c:v>3.7287944539386102E-2</c:v>
                </c:pt>
                <c:pt idx="6">
                  <c:v>-8.42877720022705E-2</c:v>
                </c:pt>
                <c:pt idx="7">
                  <c:v>0.10435481984806785</c:v>
                </c:pt>
                <c:pt idx="8">
                  <c:v>-2.0350492952834087E-2</c:v>
                </c:pt>
                <c:pt idx="9">
                  <c:v>-4.8351786283469526E-2</c:v>
                </c:pt>
                <c:pt idx="10">
                  <c:v>-2.2828186407143876E-3</c:v>
                </c:pt>
                <c:pt idx="11">
                  <c:v>9.3141675475420599E-2</c:v>
                </c:pt>
                <c:pt idx="12">
                  <c:v>-2.7391553029887761E-2</c:v>
                </c:pt>
                <c:pt idx="13">
                  <c:v>-2.7333136592476191E-2</c:v>
                </c:pt>
                <c:pt idx="14">
                  <c:v>-8.2082424149515359E-3</c:v>
                </c:pt>
                <c:pt idx="15">
                  <c:v>8.278506222155398E-3</c:v>
                </c:pt>
                <c:pt idx="16">
                  <c:v>7.8595786870251247E-2</c:v>
                </c:pt>
                <c:pt idx="17">
                  <c:v>-3.7355147501785993E-2</c:v>
                </c:pt>
                <c:pt idx="18">
                  <c:v>-6.1535133717575727E-2</c:v>
                </c:pt>
                <c:pt idx="19">
                  <c:v>3.490739189612093E-2</c:v>
                </c:pt>
                <c:pt idx="20">
                  <c:v>-1.8049782007223826E-3</c:v>
                </c:pt>
                <c:pt idx="21">
                  <c:v>2.712887703298502E-2</c:v>
                </c:pt>
                <c:pt idx="22">
                  <c:v>4.1479943580678726E-2</c:v>
                </c:pt>
                <c:pt idx="23">
                  <c:v>-3.2729704476243994E-2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97-4C16-AC41-370283C38A89}"/>
            </c:ext>
          </c:extLst>
        </c:ser>
        <c:ser>
          <c:idx val="1"/>
          <c:order val="1"/>
          <c:tx>
            <c:strRef>
              <c:f>'[1]Margin Compression Analysis'!$O$1</c:f>
              <c:strCache>
                <c:ptCount val="1"/>
                <c:pt idx="0">
                  <c:v>Total Cost Growth % (MoM)</c:v>
                </c:pt>
              </c:strCache>
            </c:strRef>
          </c:tx>
          <c:spPr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'[1]Margin Compression Analysis'!$A$2:$A$25</c:f>
              <c:numCache>
                <c:formatCode>mmm\-yyyy</c:formatCode>
                <c:ptCount val="2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</c:numCache>
            </c:numRef>
          </c:cat>
          <c:val>
            <c:numRef>
              <c:f>'[1]Margin Compression Analysis'!$O$2:$O$25</c:f>
              <c:numCache>
                <c:formatCode>0.0%</c:formatCode>
                <c:ptCount val="24"/>
                <c:pt idx="0">
                  <c:v>0</c:v>
                </c:pt>
                <c:pt idx="1">
                  <c:v>5.0647627706362323E-2</c:v>
                </c:pt>
                <c:pt idx="2">
                  <c:v>-1.817482661098822E-2</c:v>
                </c:pt>
                <c:pt idx="3">
                  <c:v>9.6263157063320049E-3</c:v>
                </c:pt>
                <c:pt idx="4">
                  <c:v>-3.7935810233005823E-2</c:v>
                </c:pt>
                <c:pt idx="5">
                  <c:v>3.7895645931941051E-2</c:v>
                </c:pt>
                <c:pt idx="6">
                  <c:v>-6.8316138353755856E-2</c:v>
                </c:pt>
                <c:pt idx="7">
                  <c:v>7.7142653333325595E-2</c:v>
                </c:pt>
                <c:pt idx="8">
                  <c:v>-2.0810675189359269E-2</c:v>
                </c:pt>
                <c:pt idx="9">
                  <c:v>-2.6879071670193065E-2</c:v>
                </c:pt>
                <c:pt idx="10">
                  <c:v>-1.7981331012894258E-2</c:v>
                </c:pt>
                <c:pt idx="11">
                  <c:v>7.9020942405364461E-2</c:v>
                </c:pt>
                <c:pt idx="12">
                  <c:v>0.14309681905537927</c:v>
                </c:pt>
                <c:pt idx="13">
                  <c:v>-2.3188386380043481E-2</c:v>
                </c:pt>
                <c:pt idx="14">
                  <c:v>-1.7154056083443867E-2</c:v>
                </c:pt>
                <c:pt idx="15">
                  <c:v>1.8830879092658362E-2</c:v>
                </c:pt>
                <c:pt idx="16">
                  <c:v>4.2805661163618072E-2</c:v>
                </c:pt>
                <c:pt idx="17">
                  <c:v>-2.7351266649599727E-2</c:v>
                </c:pt>
                <c:pt idx="18">
                  <c:v>-3.3248938462388238E-2</c:v>
                </c:pt>
                <c:pt idx="19">
                  <c:v>1.6867383995368163E-2</c:v>
                </c:pt>
                <c:pt idx="20">
                  <c:v>-3.5487694254964122E-3</c:v>
                </c:pt>
                <c:pt idx="21">
                  <c:v>2.5399234678595471E-2</c:v>
                </c:pt>
                <c:pt idx="22">
                  <c:v>2.2356531798211048E-2</c:v>
                </c:pt>
                <c:pt idx="23">
                  <c:v>-1.9774363071781858E-2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97-4C16-AC41-370283C38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991019"/>
        <c:axId val="55702550"/>
      </c:lineChart>
      <c:dateAx>
        <c:axId val="129910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5702550"/>
        <c:crosses val="autoZero"/>
        <c:auto val="1"/>
        <c:lblOffset val="100"/>
        <c:baseTimeUnit val="months"/>
      </c:dateAx>
      <c:valAx>
        <c:axId val="5570255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MoM 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29910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896040</xdr:colOff>
      <xdr:row>26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B810A-57E5-47B7-A08B-63989503E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</xdr:row>
      <xdr:rowOff>14287</xdr:rowOff>
    </xdr:from>
    <xdr:to>
      <xdr:col>16</xdr:col>
      <xdr:colOff>171450</xdr:colOff>
      <xdr:row>13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46388-66BA-C969-BF5F-2A24634FD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33</xdr:col>
      <xdr:colOff>238860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6DB82-89E6-42B3-89BB-24380A18B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21</xdr:row>
      <xdr:rowOff>0</xdr:rowOff>
    </xdr:from>
    <xdr:to>
      <xdr:col>33</xdr:col>
      <xdr:colOff>238860</xdr:colOff>
      <xdr:row>39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3A6A77-EAAD-4D60-9722-CB4C31D47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ham\Downloads\TrendMart_Retail_Analysis_Project2.xlsx" TargetMode="External"/><Relationship Id="rId1" Type="http://schemas.openxmlformats.org/officeDocument/2006/relationships/externalLinkPath" Target="TrendMart_Retail_Analysis_Projec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Data Map"/>
      <sheetName val="Model Blueprint"/>
      <sheetName val="Product Master"/>
      <sheetName val="Store Information"/>
      <sheetName val="Sales Transactions"/>
      <sheetName val="Operating Expenses"/>
      <sheetName val="Marketing Campaign_Data"/>
      <sheetName val="KPI Directory"/>
      <sheetName val="Sales Transactions (Clean)"/>
      <sheetName val="Operating Expenses (Clean)"/>
      <sheetName val="Store Summary"/>
      <sheetName val="Revenue Trend Report"/>
      <sheetName val="Volume vs Price Diagnostic"/>
      <sheetName val="Margin Compression Analysis"/>
      <sheetName val="Variance Report"/>
    </sheetNames>
    <sheetDataSet>
      <sheetData sheetId="0"/>
      <sheetData sheetId="1"/>
      <sheetData sheetId="2"/>
      <sheetData sheetId="3"/>
      <sheetData sheetId="4">
        <row r="1">
          <cell r="A1" t="str">
            <v>Store ID</v>
          </cell>
          <cell r="B1" t="str">
            <v>Store Location</v>
          </cell>
          <cell r="C1" t="str">
            <v>Region</v>
          </cell>
        </row>
        <row r="2">
          <cell r="A2" t="str">
            <v>S01</v>
          </cell>
          <cell r="B2" t="str">
            <v>Manchester</v>
          </cell>
          <cell r="C2" t="str">
            <v>North</v>
          </cell>
        </row>
        <row r="3">
          <cell r="A3" t="str">
            <v>S02</v>
          </cell>
          <cell r="B3" t="str">
            <v>Birmingham</v>
          </cell>
          <cell r="C3" t="str">
            <v>Midlands</v>
          </cell>
        </row>
        <row r="4">
          <cell r="A4" t="str">
            <v>S03</v>
          </cell>
          <cell r="B4" t="str">
            <v>London Stratford</v>
          </cell>
          <cell r="C4" t="str">
            <v>South</v>
          </cell>
        </row>
        <row r="5">
          <cell r="A5" t="str">
            <v>S04</v>
          </cell>
          <cell r="B5" t="str">
            <v>Glasgow</v>
          </cell>
          <cell r="C5" t="str">
            <v>Scotland</v>
          </cell>
        </row>
        <row r="6">
          <cell r="A6" t="str">
            <v>S05</v>
          </cell>
          <cell r="B6" t="str">
            <v>Leeds</v>
          </cell>
          <cell r="C6" t="str">
            <v>North</v>
          </cell>
        </row>
      </sheetData>
      <sheetData sheetId="5"/>
      <sheetData sheetId="6"/>
      <sheetData sheetId="7"/>
      <sheetData sheetId="8"/>
      <sheetData sheetId="9">
        <row r="2">
          <cell r="C2" t="str">
            <v>S01</v>
          </cell>
          <cell r="F2">
            <v>2680</v>
          </cell>
          <cell r="I2">
            <v>57888</v>
          </cell>
          <cell r="J2">
            <v>32160</v>
          </cell>
          <cell r="K2">
            <v>64320</v>
          </cell>
          <cell r="L2">
            <v>44927</v>
          </cell>
        </row>
        <row r="3">
          <cell r="C3" t="str">
            <v>S01</v>
          </cell>
          <cell r="F3">
            <v>2556</v>
          </cell>
          <cell r="I3">
            <v>117576</v>
          </cell>
          <cell r="J3">
            <v>71568</v>
          </cell>
          <cell r="K3">
            <v>127800</v>
          </cell>
          <cell r="L3">
            <v>44927</v>
          </cell>
        </row>
        <row r="4">
          <cell r="C4" t="str">
            <v>S01</v>
          </cell>
          <cell r="F4">
            <v>1448</v>
          </cell>
          <cell r="I4">
            <v>36895.040000000001</v>
          </cell>
          <cell r="J4">
            <v>21720</v>
          </cell>
          <cell r="K4">
            <v>40544</v>
          </cell>
          <cell r="L4">
            <v>44927</v>
          </cell>
        </row>
        <row r="5">
          <cell r="C5" t="str">
            <v>S01</v>
          </cell>
          <cell r="F5">
            <v>2328</v>
          </cell>
          <cell r="I5">
            <v>75776.399999999994</v>
          </cell>
          <cell r="J5">
            <v>41904</v>
          </cell>
          <cell r="K5">
            <v>81480</v>
          </cell>
          <cell r="L5">
            <v>44927</v>
          </cell>
        </row>
        <row r="6">
          <cell r="C6" t="str">
            <v>S01</v>
          </cell>
          <cell r="F6">
            <v>1784</v>
          </cell>
          <cell r="I6">
            <v>29221.919999999998</v>
          </cell>
          <cell r="J6">
            <v>16056</v>
          </cell>
          <cell r="K6">
            <v>32112</v>
          </cell>
          <cell r="L6">
            <v>44927</v>
          </cell>
        </row>
        <row r="7">
          <cell r="C7" t="str">
            <v>S01</v>
          </cell>
          <cell r="F7">
            <v>2352</v>
          </cell>
          <cell r="I7">
            <v>66326.399999999994</v>
          </cell>
          <cell r="J7">
            <v>32928</v>
          </cell>
          <cell r="K7">
            <v>70560</v>
          </cell>
          <cell r="L7">
            <v>44927</v>
          </cell>
        </row>
        <row r="8">
          <cell r="C8" t="str">
            <v>S01</v>
          </cell>
          <cell r="F8">
            <v>1900</v>
          </cell>
          <cell r="I8">
            <v>70680</v>
          </cell>
          <cell r="J8">
            <v>38000</v>
          </cell>
          <cell r="K8">
            <v>76000</v>
          </cell>
          <cell r="L8">
            <v>44927</v>
          </cell>
        </row>
        <row r="9">
          <cell r="C9" t="str">
            <v>S01</v>
          </cell>
          <cell r="F9">
            <v>1888</v>
          </cell>
          <cell r="I9">
            <v>17558.400000000001</v>
          </cell>
          <cell r="J9">
            <v>7552</v>
          </cell>
          <cell r="K9">
            <v>18880</v>
          </cell>
          <cell r="L9">
            <v>44927</v>
          </cell>
        </row>
        <row r="10">
          <cell r="C10" t="str">
            <v>S01</v>
          </cell>
          <cell r="F10">
            <v>1264</v>
          </cell>
          <cell r="I10">
            <v>25305.279999999999</v>
          </cell>
          <cell r="J10">
            <v>12640</v>
          </cell>
          <cell r="K10">
            <v>27808</v>
          </cell>
          <cell r="L10">
            <v>44927</v>
          </cell>
        </row>
        <row r="11">
          <cell r="C11" t="str">
            <v>S02</v>
          </cell>
          <cell r="F11">
            <v>1984</v>
          </cell>
          <cell r="I11">
            <v>43330.559999999998</v>
          </cell>
          <cell r="J11">
            <v>23808</v>
          </cell>
          <cell r="K11">
            <v>47616</v>
          </cell>
          <cell r="L11">
            <v>44927</v>
          </cell>
        </row>
        <row r="12">
          <cell r="C12" t="str">
            <v>S02</v>
          </cell>
          <cell r="F12">
            <v>1692</v>
          </cell>
          <cell r="I12">
            <v>78678</v>
          </cell>
          <cell r="J12">
            <v>47376</v>
          </cell>
          <cell r="K12">
            <v>84600</v>
          </cell>
          <cell r="L12">
            <v>44927</v>
          </cell>
        </row>
        <row r="13">
          <cell r="C13" t="str">
            <v>S02</v>
          </cell>
          <cell r="F13">
            <v>2096</v>
          </cell>
          <cell r="I13">
            <v>53992.959999999999</v>
          </cell>
          <cell r="J13">
            <v>31440</v>
          </cell>
          <cell r="K13">
            <v>58688</v>
          </cell>
          <cell r="L13">
            <v>44927</v>
          </cell>
        </row>
        <row r="14">
          <cell r="C14" t="str">
            <v>S02</v>
          </cell>
          <cell r="F14">
            <v>2600</v>
          </cell>
          <cell r="I14">
            <v>84630</v>
          </cell>
          <cell r="J14">
            <v>46800</v>
          </cell>
          <cell r="K14">
            <v>91000</v>
          </cell>
          <cell r="L14">
            <v>44927</v>
          </cell>
        </row>
        <row r="15">
          <cell r="C15" t="str">
            <v>S02</v>
          </cell>
          <cell r="F15">
            <v>1220</v>
          </cell>
          <cell r="I15">
            <v>20642.400000000001</v>
          </cell>
          <cell r="J15">
            <v>10980</v>
          </cell>
          <cell r="K15">
            <v>21960</v>
          </cell>
          <cell r="L15">
            <v>44927</v>
          </cell>
        </row>
        <row r="16">
          <cell r="C16" t="str">
            <v>S02</v>
          </cell>
          <cell r="F16">
            <v>1724</v>
          </cell>
          <cell r="I16">
            <v>47065.2</v>
          </cell>
          <cell r="J16">
            <v>24136</v>
          </cell>
          <cell r="K16">
            <v>51720</v>
          </cell>
          <cell r="L16">
            <v>44927</v>
          </cell>
        </row>
        <row r="17">
          <cell r="C17" t="str">
            <v>S02</v>
          </cell>
          <cell r="F17">
            <v>1684</v>
          </cell>
          <cell r="I17">
            <v>63992</v>
          </cell>
          <cell r="J17">
            <v>33680</v>
          </cell>
          <cell r="K17">
            <v>67360</v>
          </cell>
          <cell r="L17">
            <v>44927</v>
          </cell>
        </row>
        <row r="18">
          <cell r="C18" t="str">
            <v>S02</v>
          </cell>
          <cell r="F18">
            <v>2168</v>
          </cell>
          <cell r="I18">
            <v>19728.8</v>
          </cell>
          <cell r="J18">
            <v>8672</v>
          </cell>
          <cell r="K18">
            <v>21680</v>
          </cell>
          <cell r="L18">
            <v>44927</v>
          </cell>
        </row>
        <row r="19">
          <cell r="C19" t="str">
            <v>S02</v>
          </cell>
          <cell r="F19">
            <v>1380</v>
          </cell>
          <cell r="I19">
            <v>28538.400000000001</v>
          </cell>
          <cell r="J19">
            <v>13800</v>
          </cell>
          <cell r="K19">
            <v>30360</v>
          </cell>
          <cell r="L19">
            <v>44927</v>
          </cell>
        </row>
        <row r="20">
          <cell r="C20" t="str">
            <v>S03</v>
          </cell>
          <cell r="F20">
            <v>1956</v>
          </cell>
          <cell r="I20">
            <v>44127.360000000001</v>
          </cell>
          <cell r="J20">
            <v>23472</v>
          </cell>
          <cell r="K20">
            <v>46944</v>
          </cell>
          <cell r="L20">
            <v>44927</v>
          </cell>
        </row>
        <row r="21">
          <cell r="C21" t="str">
            <v>S03</v>
          </cell>
          <cell r="F21">
            <v>1904</v>
          </cell>
          <cell r="I21">
            <v>89488</v>
          </cell>
          <cell r="J21">
            <v>53312</v>
          </cell>
          <cell r="K21">
            <v>95200</v>
          </cell>
          <cell r="L21">
            <v>44927</v>
          </cell>
        </row>
        <row r="22">
          <cell r="C22" t="str">
            <v>S03</v>
          </cell>
          <cell r="F22">
            <v>2728</v>
          </cell>
          <cell r="I22">
            <v>68745.600000000006</v>
          </cell>
          <cell r="J22">
            <v>40920</v>
          </cell>
          <cell r="K22">
            <v>76384</v>
          </cell>
          <cell r="L22">
            <v>44927</v>
          </cell>
        </row>
        <row r="23">
          <cell r="C23" t="str">
            <v>S03</v>
          </cell>
          <cell r="F23">
            <v>1732</v>
          </cell>
          <cell r="I23">
            <v>56982.8</v>
          </cell>
          <cell r="J23">
            <v>31176</v>
          </cell>
          <cell r="K23">
            <v>60620</v>
          </cell>
          <cell r="L23">
            <v>44927</v>
          </cell>
        </row>
        <row r="24">
          <cell r="C24" t="str">
            <v>S03</v>
          </cell>
          <cell r="F24">
            <v>1328</v>
          </cell>
          <cell r="I24">
            <v>21991.68</v>
          </cell>
          <cell r="J24">
            <v>11952</v>
          </cell>
          <cell r="K24">
            <v>23904</v>
          </cell>
          <cell r="L24">
            <v>44927</v>
          </cell>
        </row>
        <row r="25">
          <cell r="C25" t="str">
            <v>S03</v>
          </cell>
          <cell r="F25">
            <v>1544</v>
          </cell>
          <cell r="I25">
            <v>42614.400000000001</v>
          </cell>
          <cell r="J25">
            <v>21616</v>
          </cell>
          <cell r="K25">
            <v>46320</v>
          </cell>
          <cell r="L25">
            <v>44927</v>
          </cell>
        </row>
        <row r="26">
          <cell r="C26" t="str">
            <v>S03</v>
          </cell>
          <cell r="F26">
            <v>1600</v>
          </cell>
          <cell r="I26">
            <v>58240</v>
          </cell>
          <cell r="J26">
            <v>32000</v>
          </cell>
          <cell r="K26">
            <v>64000</v>
          </cell>
          <cell r="L26">
            <v>44927</v>
          </cell>
        </row>
        <row r="27">
          <cell r="C27" t="str">
            <v>S03</v>
          </cell>
          <cell r="F27">
            <v>2268</v>
          </cell>
          <cell r="I27">
            <v>21092.400000000001</v>
          </cell>
          <cell r="J27">
            <v>9072</v>
          </cell>
          <cell r="K27">
            <v>22680</v>
          </cell>
          <cell r="L27">
            <v>44927</v>
          </cell>
        </row>
        <row r="28">
          <cell r="C28" t="str">
            <v>S03</v>
          </cell>
          <cell r="F28">
            <v>2668</v>
          </cell>
          <cell r="I28">
            <v>54000.32</v>
          </cell>
          <cell r="J28">
            <v>26680</v>
          </cell>
          <cell r="K28">
            <v>58696</v>
          </cell>
          <cell r="L28">
            <v>44927</v>
          </cell>
        </row>
        <row r="29">
          <cell r="C29" t="str">
            <v>S04</v>
          </cell>
          <cell r="F29">
            <v>2076</v>
          </cell>
          <cell r="I29">
            <v>46834.559999999998</v>
          </cell>
          <cell r="J29">
            <v>24912</v>
          </cell>
          <cell r="K29">
            <v>49824</v>
          </cell>
          <cell r="L29">
            <v>44927</v>
          </cell>
        </row>
        <row r="30">
          <cell r="C30" t="str">
            <v>S04</v>
          </cell>
          <cell r="F30">
            <v>1912</v>
          </cell>
          <cell r="I30">
            <v>88908</v>
          </cell>
          <cell r="J30">
            <v>53536</v>
          </cell>
          <cell r="K30">
            <v>95600</v>
          </cell>
          <cell r="L30">
            <v>44927</v>
          </cell>
        </row>
        <row r="31">
          <cell r="C31" t="str">
            <v>S04</v>
          </cell>
          <cell r="F31">
            <v>1828</v>
          </cell>
          <cell r="I31">
            <v>46065.599999999999</v>
          </cell>
          <cell r="J31">
            <v>27420</v>
          </cell>
          <cell r="K31">
            <v>51184</v>
          </cell>
          <cell r="L31">
            <v>44927</v>
          </cell>
        </row>
        <row r="32">
          <cell r="C32" t="str">
            <v>S04</v>
          </cell>
          <cell r="F32">
            <v>2220</v>
          </cell>
          <cell r="I32">
            <v>73815</v>
          </cell>
          <cell r="J32">
            <v>39960</v>
          </cell>
          <cell r="K32">
            <v>77700</v>
          </cell>
          <cell r="L32">
            <v>44927</v>
          </cell>
        </row>
        <row r="33">
          <cell r="C33" t="str">
            <v>S04</v>
          </cell>
          <cell r="F33">
            <v>2192</v>
          </cell>
          <cell r="I33">
            <v>36299.519999999997</v>
          </cell>
          <cell r="J33">
            <v>19728</v>
          </cell>
          <cell r="K33">
            <v>39456</v>
          </cell>
          <cell r="L33">
            <v>44927</v>
          </cell>
        </row>
        <row r="34">
          <cell r="C34" t="str">
            <v>S04</v>
          </cell>
          <cell r="F34">
            <v>1204</v>
          </cell>
          <cell r="I34">
            <v>32869.199999999997</v>
          </cell>
          <cell r="J34">
            <v>16856</v>
          </cell>
          <cell r="K34">
            <v>36120</v>
          </cell>
          <cell r="L34">
            <v>44927</v>
          </cell>
        </row>
        <row r="35">
          <cell r="C35" t="str">
            <v>S04</v>
          </cell>
          <cell r="F35">
            <v>1732</v>
          </cell>
          <cell r="I35">
            <v>64430.400000000001</v>
          </cell>
          <cell r="J35">
            <v>34640</v>
          </cell>
          <cell r="K35">
            <v>69280</v>
          </cell>
          <cell r="L35">
            <v>44927</v>
          </cell>
        </row>
        <row r="36">
          <cell r="C36" t="str">
            <v>S04</v>
          </cell>
          <cell r="F36">
            <v>2436</v>
          </cell>
          <cell r="I36">
            <v>21924</v>
          </cell>
          <cell r="J36">
            <v>9744</v>
          </cell>
          <cell r="K36">
            <v>24360</v>
          </cell>
          <cell r="L36">
            <v>44927</v>
          </cell>
        </row>
        <row r="37">
          <cell r="C37" t="str">
            <v>S04</v>
          </cell>
          <cell r="F37">
            <v>2108</v>
          </cell>
          <cell r="I37">
            <v>43593.440000000002</v>
          </cell>
          <cell r="J37">
            <v>21080</v>
          </cell>
          <cell r="K37">
            <v>46376</v>
          </cell>
          <cell r="L37">
            <v>44927</v>
          </cell>
        </row>
        <row r="38">
          <cell r="C38" t="str">
            <v>S05</v>
          </cell>
          <cell r="F38">
            <v>2112</v>
          </cell>
          <cell r="I38">
            <v>46632.959999999999</v>
          </cell>
          <cell r="J38">
            <v>25344</v>
          </cell>
          <cell r="K38">
            <v>50688</v>
          </cell>
          <cell r="L38">
            <v>44927</v>
          </cell>
        </row>
        <row r="39">
          <cell r="C39" t="str">
            <v>S05</v>
          </cell>
          <cell r="F39">
            <v>1648</v>
          </cell>
          <cell r="I39">
            <v>75808</v>
          </cell>
          <cell r="J39">
            <v>46144</v>
          </cell>
          <cell r="K39">
            <v>82400</v>
          </cell>
          <cell r="L39">
            <v>44927</v>
          </cell>
        </row>
        <row r="40">
          <cell r="C40" t="str">
            <v>S05</v>
          </cell>
          <cell r="F40">
            <v>1268</v>
          </cell>
          <cell r="I40">
            <v>32308.639999999999</v>
          </cell>
          <cell r="J40">
            <v>19020</v>
          </cell>
          <cell r="K40">
            <v>35504</v>
          </cell>
          <cell r="L40">
            <v>44927</v>
          </cell>
        </row>
        <row r="41">
          <cell r="C41" t="str">
            <v>S05</v>
          </cell>
          <cell r="F41">
            <v>1812</v>
          </cell>
          <cell r="I41">
            <v>57712.2</v>
          </cell>
          <cell r="J41">
            <v>32616</v>
          </cell>
          <cell r="K41">
            <v>63420</v>
          </cell>
          <cell r="L41">
            <v>44927</v>
          </cell>
        </row>
        <row r="42">
          <cell r="C42" t="str">
            <v>S05</v>
          </cell>
          <cell r="F42">
            <v>2200</v>
          </cell>
          <cell r="I42">
            <v>37620</v>
          </cell>
          <cell r="J42">
            <v>19800</v>
          </cell>
          <cell r="K42">
            <v>39600</v>
          </cell>
          <cell r="L42">
            <v>44927</v>
          </cell>
        </row>
        <row r="43">
          <cell r="C43" t="str">
            <v>S05</v>
          </cell>
          <cell r="F43">
            <v>1620</v>
          </cell>
          <cell r="I43">
            <v>44226</v>
          </cell>
          <cell r="J43">
            <v>22680</v>
          </cell>
          <cell r="K43">
            <v>48600</v>
          </cell>
          <cell r="L43">
            <v>44927</v>
          </cell>
        </row>
        <row r="44">
          <cell r="C44" t="str">
            <v>S05</v>
          </cell>
          <cell r="F44">
            <v>2772</v>
          </cell>
          <cell r="I44">
            <v>105336</v>
          </cell>
          <cell r="J44">
            <v>55440</v>
          </cell>
          <cell r="K44">
            <v>110880</v>
          </cell>
          <cell r="L44">
            <v>44927</v>
          </cell>
        </row>
        <row r="45">
          <cell r="C45" t="str">
            <v>S05</v>
          </cell>
          <cell r="F45">
            <v>2752</v>
          </cell>
          <cell r="I45">
            <v>25593.599999999999</v>
          </cell>
          <cell r="J45">
            <v>11008</v>
          </cell>
          <cell r="K45">
            <v>27520</v>
          </cell>
          <cell r="L45">
            <v>44927</v>
          </cell>
        </row>
        <row r="46">
          <cell r="C46" t="str">
            <v>S05</v>
          </cell>
          <cell r="F46">
            <v>2680</v>
          </cell>
          <cell r="I46">
            <v>54832.800000000003</v>
          </cell>
          <cell r="J46">
            <v>26800</v>
          </cell>
          <cell r="K46">
            <v>58960</v>
          </cell>
          <cell r="L46">
            <v>44927</v>
          </cell>
        </row>
        <row r="47">
          <cell r="C47" t="str">
            <v>S01</v>
          </cell>
          <cell r="F47">
            <v>2324</v>
          </cell>
          <cell r="I47">
            <v>51871.68</v>
          </cell>
          <cell r="J47">
            <v>27888</v>
          </cell>
          <cell r="K47">
            <v>55776</v>
          </cell>
          <cell r="L47">
            <v>44958</v>
          </cell>
        </row>
        <row r="48">
          <cell r="C48" t="str">
            <v>S01</v>
          </cell>
          <cell r="F48">
            <v>2548</v>
          </cell>
          <cell r="I48">
            <v>118482</v>
          </cell>
          <cell r="J48">
            <v>71344</v>
          </cell>
          <cell r="K48">
            <v>127400</v>
          </cell>
          <cell r="L48">
            <v>44958</v>
          </cell>
        </row>
        <row r="49">
          <cell r="C49" t="str">
            <v>S01</v>
          </cell>
          <cell r="F49">
            <v>2492</v>
          </cell>
          <cell r="I49">
            <v>64891.68</v>
          </cell>
          <cell r="J49">
            <v>37380</v>
          </cell>
          <cell r="K49">
            <v>69776</v>
          </cell>
          <cell r="L49">
            <v>44958</v>
          </cell>
        </row>
        <row r="50">
          <cell r="C50" t="str">
            <v>S01</v>
          </cell>
          <cell r="F50">
            <v>1692</v>
          </cell>
          <cell r="I50">
            <v>53890.2</v>
          </cell>
          <cell r="J50">
            <v>30456</v>
          </cell>
          <cell r="K50">
            <v>59220</v>
          </cell>
          <cell r="L50">
            <v>44958</v>
          </cell>
        </row>
        <row r="51">
          <cell r="C51" t="str">
            <v>S01</v>
          </cell>
          <cell r="F51">
            <v>2436</v>
          </cell>
          <cell r="I51">
            <v>41217.120000000003</v>
          </cell>
          <cell r="J51">
            <v>21924</v>
          </cell>
          <cell r="K51">
            <v>43848</v>
          </cell>
          <cell r="L51">
            <v>44958</v>
          </cell>
        </row>
        <row r="52">
          <cell r="C52" t="str">
            <v>S01</v>
          </cell>
          <cell r="F52">
            <v>2512</v>
          </cell>
          <cell r="I52">
            <v>67824</v>
          </cell>
          <cell r="J52">
            <v>35168</v>
          </cell>
          <cell r="K52">
            <v>75360</v>
          </cell>
          <cell r="L52">
            <v>44958</v>
          </cell>
        </row>
        <row r="53">
          <cell r="C53" t="str">
            <v>S01</v>
          </cell>
          <cell r="F53">
            <v>2532</v>
          </cell>
          <cell r="I53">
            <v>91152</v>
          </cell>
          <cell r="J53">
            <v>50640</v>
          </cell>
          <cell r="K53">
            <v>101280</v>
          </cell>
          <cell r="L53">
            <v>44958</v>
          </cell>
        </row>
        <row r="54">
          <cell r="C54" t="str">
            <v>S01</v>
          </cell>
          <cell r="F54">
            <v>1616</v>
          </cell>
          <cell r="I54">
            <v>15190.4</v>
          </cell>
          <cell r="J54">
            <v>6464</v>
          </cell>
          <cell r="K54">
            <v>16160</v>
          </cell>
          <cell r="L54">
            <v>44958</v>
          </cell>
        </row>
        <row r="55">
          <cell r="C55" t="str">
            <v>S01</v>
          </cell>
          <cell r="F55">
            <v>2616</v>
          </cell>
          <cell r="I55">
            <v>51796.800000000003</v>
          </cell>
          <cell r="J55">
            <v>26160</v>
          </cell>
          <cell r="K55">
            <v>57552</v>
          </cell>
          <cell r="L55">
            <v>44958</v>
          </cell>
        </row>
        <row r="56">
          <cell r="C56" t="str">
            <v>S02</v>
          </cell>
          <cell r="F56">
            <v>1256</v>
          </cell>
          <cell r="I56">
            <v>28335.360000000001</v>
          </cell>
          <cell r="J56">
            <v>15072</v>
          </cell>
          <cell r="K56">
            <v>30144</v>
          </cell>
          <cell r="L56">
            <v>44958</v>
          </cell>
        </row>
        <row r="57">
          <cell r="C57" t="str">
            <v>S02</v>
          </cell>
          <cell r="F57">
            <v>1296</v>
          </cell>
          <cell r="I57">
            <v>60264</v>
          </cell>
          <cell r="J57">
            <v>36288</v>
          </cell>
          <cell r="K57">
            <v>64800</v>
          </cell>
          <cell r="L57">
            <v>44958</v>
          </cell>
        </row>
        <row r="58">
          <cell r="C58" t="str">
            <v>S02</v>
          </cell>
          <cell r="F58">
            <v>1536</v>
          </cell>
          <cell r="I58">
            <v>39997.440000000002</v>
          </cell>
          <cell r="J58">
            <v>23040</v>
          </cell>
          <cell r="K58">
            <v>43008</v>
          </cell>
          <cell r="L58">
            <v>44958</v>
          </cell>
        </row>
        <row r="59">
          <cell r="C59" t="str">
            <v>S02</v>
          </cell>
          <cell r="F59">
            <v>2592</v>
          </cell>
          <cell r="I59">
            <v>85276.800000000003</v>
          </cell>
          <cell r="J59">
            <v>46656</v>
          </cell>
          <cell r="K59">
            <v>90720</v>
          </cell>
          <cell r="L59">
            <v>44958</v>
          </cell>
        </row>
        <row r="60">
          <cell r="C60" t="str">
            <v>S02</v>
          </cell>
          <cell r="F60">
            <v>1896</v>
          </cell>
          <cell r="I60">
            <v>31056.48</v>
          </cell>
          <cell r="J60">
            <v>17064</v>
          </cell>
          <cell r="K60">
            <v>34128</v>
          </cell>
          <cell r="L60">
            <v>44958</v>
          </cell>
        </row>
        <row r="61">
          <cell r="C61" t="str">
            <v>S02</v>
          </cell>
          <cell r="F61">
            <v>2516</v>
          </cell>
          <cell r="I61">
            <v>69441.600000000006</v>
          </cell>
          <cell r="J61">
            <v>35224</v>
          </cell>
          <cell r="K61">
            <v>75480</v>
          </cell>
          <cell r="L61">
            <v>44958</v>
          </cell>
        </row>
        <row r="62">
          <cell r="C62" t="str">
            <v>S02</v>
          </cell>
          <cell r="F62">
            <v>2612</v>
          </cell>
          <cell r="I62">
            <v>96121.600000000006</v>
          </cell>
          <cell r="J62">
            <v>52240</v>
          </cell>
          <cell r="K62">
            <v>104480</v>
          </cell>
          <cell r="L62">
            <v>44958</v>
          </cell>
        </row>
        <row r="63">
          <cell r="C63" t="str">
            <v>S02</v>
          </cell>
          <cell r="F63">
            <v>2540</v>
          </cell>
          <cell r="I63">
            <v>23622</v>
          </cell>
          <cell r="J63">
            <v>10160</v>
          </cell>
          <cell r="K63">
            <v>25400</v>
          </cell>
          <cell r="L63">
            <v>44958</v>
          </cell>
        </row>
        <row r="64">
          <cell r="C64" t="str">
            <v>S02</v>
          </cell>
          <cell r="F64">
            <v>2128</v>
          </cell>
          <cell r="I64">
            <v>42134.400000000001</v>
          </cell>
          <cell r="J64">
            <v>21280</v>
          </cell>
          <cell r="K64">
            <v>46816</v>
          </cell>
          <cell r="L64">
            <v>44958</v>
          </cell>
        </row>
        <row r="65">
          <cell r="C65" t="str">
            <v>S03</v>
          </cell>
          <cell r="F65">
            <v>1924</v>
          </cell>
          <cell r="I65">
            <v>42943.68</v>
          </cell>
          <cell r="J65">
            <v>23088</v>
          </cell>
          <cell r="K65">
            <v>46176</v>
          </cell>
          <cell r="L65">
            <v>44958</v>
          </cell>
        </row>
        <row r="66">
          <cell r="C66" t="str">
            <v>S03</v>
          </cell>
          <cell r="F66">
            <v>2060</v>
          </cell>
          <cell r="I66">
            <v>96820</v>
          </cell>
          <cell r="J66">
            <v>57680</v>
          </cell>
          <cell r="K66">
            <v>103000</v>
          </cell>
          <cell r="L66">
            <v>44958</v>
          </cell>
        </row>
        <row r="67">
          <cell r="C67" t="str">
            <v>S03</v>
          </cell>
          <cell r="F67">
            <v>1608</v>
          </cell>
          <cell r="I67">
            <v>40971.839999999997</v>
          </cell>
          <cell r="J67">
            <v>24120</v>
          </cell>
          <cell r="K67">
            <v>45024</v>
          </cell>
          <cell r="L67">
            <v>44958</v>
          </cell>
        </row>
        <row r="68">
          <cell r="C68" t="str">
            <v>S03</v>
          </cell>
          <cell r="F68">
            <v>1756</v>
          </cell>
          <cell r="I68">
            <v>55314</v>
          </cell>
          <cell r="J68">
            <v>31608</v>
          </cell>
          <cell r="K68">
            <v>61460</v>
          </cell>
          <cell r="L68">
            <v>44958</v>
          </cell>
        </row>
        <row r="69">
          <cell r="C69" t="str">
            <v>S03</v>
          </cell>
          <cell r="F69">
            <v>1520</v>
          </cell>
          <cell r="I69">
            <v>24897.599999999999</v>
          </cell>
          <cell r="J69">
            <v>13680</v>
          </cell>
          <cell r="K69">
            <v>27360</v>
          </cell>
          <cell r="L69">
            <v>44958</v>
          </cell>
        </row>
        <row r="70">
          <cell r="C70" t="str">
            <v>S03</v>
          </cell>
          <cell r="F70">
            <v>2344</v>
          </cell>
          <cell r="I70">
            <v>63991.199999999997</v>
          </cell>
          <cell r="J70">
            <v>32816</v>
          </cell>
          <cell r="K70">
            <v>70320</v>
          </cell>
          <cell r="L70">
            <v>44958</v>
          </cell>
        </row>
        <row r="71">
          <cell r="C71" t="str">
            <v>S03</v>
          </cell>
          <cell r="F71">
            <v>2588</v>
          </cell>
          <cell r="I71">
            <v>95238.399999999994</v>
          </cell>
          <cell r="J71">
            <v>51760</v>
          </cell>
          <cell r="K71">
            <v>103520</v>
          </cell>
          <cell r="L71">
            <v>44958</v>
          </cell>
        </row>
        <row r="72">
          <cell r="C72" t="str">
            <v>S03</v>
          </cell>
          <cell r="F72">
            <v>2448</v>
          </cell>
          <cell r="I72">
            <v>23256</v>
          </cell>
          <cell r="J72">
            <v>9792</v>
          </cell>
          <cell r="K72">
            <v>24480</v>
          </cell>
          <cell r="L72">
            <v>44958</v>
          </cell>
        </row>
        <row r="73">
          <cell r="C73" t="str">
            <v>S03</v>
          </cell>
          <cell r="F73">
            <v>1376</v>
          </cell>
          <cell r="I73">
            <v>27850.240000000002</v>
          </cell>
          <cell r="J73">
            <v>13760</v>
          </cell>
          <cell r="K73">
            <v>30272</v>
          </cell>
          <cell r="L73">
            <v>44958</v>
          </cell>
        </row>
        <row r="74">
          <cell r="C74" t="str">
            <v>S04</v>
          </cell>
          <cell r="F74">
            <v>2104</v>
          </cell>
          <cell r="I74">
            <v>45446.400000000001</v>
          </cell>
          <cell r="J74">
            <v>25248</v>
          </cell>
          <cell r="K74">
            <v>50496</v>
          </cell>
          <cell r="L74">
            <v>44958</v>
          </cell>
        </row>
        <row r="75">
          <cell r="C75" t="str">
            <v>S04</v>
          </cell>
          <cell r="F75">
            <v>1848</v>
          </cell>
          <cell r="I75">
            <v>87780</v>
          </cell>
          <cell r="J75">
            <v>51744</v>
          </cell>
          <cell r="K75">
            <v>92400</v>
          </cell>
          <cell r="L75">
            <v>44958</v>
          </cell>
        </row>
        <row r="76">
          <cell r="C76" t="str">
            <v>S04</v>
          </cell>
          <cell r="F76">
            <v>1320</v>
          </cell>
          <cell r="I76">
            <v>33633.599999999999</v>
          </cell>
          <cell r="J76">
            <v>19800</v>
          </cell>
          <cell r="K76">
            <v>36960</v>
          </cell>
          <cell r="L76">
            <v>44958</v>
          </cell>
        </row>
        <row r="77">
          <cell r="C77" t="str">
            <v>S04</v>
          </cell>
          <cell r="F77">
            <v>2204</v>
          </cell>
          <cell r="I77">
            <v>70197.399999999994</v>
          </cell>
          <cell r="J77">
            <v>39672</v>
          </cell>
          <cell r="K77">
            <v>77140</v>
          </cell>
          <cell r="L77">
            <v>44958</v>
          </cell>
        </row>
        <row r="78">
          <cell r="C78" t="str">
            <v>S04</v>
          </cell>
          <cell r="F78">
            <v>2076</v>
          </cell>
          <cell r="I78">
            <v>35125.919999999998</v>
          </cell>
          <cell r="J78">
            <v>18684</v>
          </cell>
          <cell r="K78">
            <v>37368</v>
          </cell>
          <cell r="L78">
            <v>44958</v>
          </cell>
        </row>
        <row r="79">
          <cell r="C79" t="str">
            <v>S04</v>
          </cell>
          <cell r="F79">
            <v>2188</v>
          </cell>
          <cell r="I79">
            <v>61045.2</v>
          </cell>
          <cell r="J79">
            <v>30632</v>
          </cell>
          <cell r="K79">
            <v>65640</v>
          </cell>
          <cell r="L79">
            <v>44958</v>
          </cell>
        </row>
        <row r="80">
          <cell r="C80" t="str">
            <v>S04</v>
          </cell>
          <cell r="F80">
            <v>2216</v>
          </cell>
          <cell r="I80">
            <v>83321.600000000006</v>
          </cell>
          <cell r="J80">
            <v>44320</v>
          </cell>
          <cell r="K80">
            <v>88640</v>
          </cell>
          <cell r="L80">
            <v>44958</v>
          </cell>
        </row>
        <row r="81">
          <cell r="C81" t="str">
            <v>S04</v>
          </cell>
          <cell r="F81">
            <v>1252</v>
          </cell>
          <cell r="I81">
            <v>11643.6</v>
          </cell>
          <cell r="J81">
            <v>5008</v>
          </cell>
          <cell r="K81">
            <v>12520</v>
          </cell>
          <cell r="L81">
            <v>44958</v>
          </cell>
        </row>
        <row r="82">
          <cell r="C82" t="str">
            <v>S04</v>
          </cell>
          <cell r="F82">
            <v>1348</v>
          </cell>
          <cell r="I82">
            <v>26690.400000000001</v>
          </cell>
          <cell r="J82">
            <v>13480</v>
          </cell>
          <cell r="K82">
            <v>29656</v>
          </cell>
          <cell r="L82">
            <v>44958</v>
          </cell>
        </row>
        <row r="83">
          <cell r="C83" t="str">
            <v>S05</v>
          </cell>
          <cell r="F83">
            <v>1828</v>
          </cell>
          <cell r="I83">
            <v>40800.959999999999</v>
          </cell>
          <cell r="J83">
            <v>21936</v>
          </cell>
          <cell r="K83">
            <v>43872</v>
          </cell>
          <cell r="L83">
            <v>44958</v>
          </cell>
        </row>
        <row r="84">
          <cell r="C84" t="str">
            <v>S05</v>
          </cell>
          <cell r="F84">
            <v>2488</v>
          </cell>
          <cell r="I84">
            <v>113204</v>
          </cell>
          <cell r="J84">
            <v>69664</v>
          </cell>
          <cell r="K84">
            <v>124400</v>
          </cell>
          <cell r="L84">
            <v>44958</v>
          </cell>
        </row>
        <row r="85">
          <cell r="C85" t="str">
            <v>S05</v>
          </cell>
          <cell r="F85">
            <v>2324</v>
          </cell>
          <cell r="I85">
            <v>59866.239999999998</v>
          </cell>
          <cell r="J85">
            <v>34860</v>
          </cell>
          <cell r="K85">
            <v>65072</v>
          </cell>
          <cell r="L85">
            <v>44958</v>
          </cell>
        </row>
        <row r="86">
          <cell r="C86" t="str">
            <v>S05</v>
          </cell>
          <cell r="F86">
            <v>2680</v>
          </cell>
          <cell r="I86">
            <v>86296</v>
          </cell>
          <cell r="J86">
            <v>48240</v>
          </cell>
          <cell r="K86">
            <v>93800</v>
          </cell>
          <cell r="L86">
            <v>44958</v>
          </cell>
        </row>
        <row r="87">
          <cell r="C87" t="str">
            <v>S05</v>
          </cell>
          <cell r="F87">
            <v>1476</v>
          </cell>
          <cell r="I87">
            <v>25239.599999999999</v>
          </cell>
          <cell r="J87">
            <v>13284</v>
          </cell>
          <cell r="K87">
            <v>26568</v>
          </cell>
          <cell r="L87">
            <v>44958</v>
          </cell>
        </row>
        <row r="88">
          <cell r="C88" t="str">
            <v>S05</v>
          </cell>
          <cell r="F88">
            <v>2704</v>
          </cell>
          <cell r="I88">
            <v>73008</v>
          </cell>
          <cell r="J88">
            <v>37856</v>
          </cell>
          <cell r="K88">
            <v>81120</v>
          </cell>
          <cell r="L88">
            <v>44958</v>
          </cell>
        </row>
        <row r="89">
          <cell r="C89" t="str">
            <v>S05</v>
          </cell>
          <cell r="F89">
            <v>1680</v>
          </cell>
          <cell r="I89">
            <v>63168</v>
          </cell>
          <cell r="J89">
            <v>33600</v>
          </cell>
          <cell r="K89">
            <v>67200</v>
          </cell>
          <cell r="L89">
            <v>44958</v>
          </cell>
        </row>
        <row r="90">
          <cell r="C90" t="str">
            <v>S05</v>
          </cell>
          <cell r="F90">
            <v>2644</v>
          </cell>
          <cell r="I90">
            <v>24060.400000000001</v>
          </cell>
          <cell r="J90">
            <v>10576</v>
          </cell>
          <cell r="K90">
            <v>26440</v>
          </cell>
          <cell r="L90">
            <v>44958</v>
          </cell>
        </row>
        <row r="91">
          <cell r="C91" t="str">
            <v>S05</v>
          </cell>
          <cell r="F91">
            <v>2140</v>
          </cell>
          <cell r="I91">
            <v>43313.599999999999</v>
          </cell>
          <cell r="J91">
            <v>21400</v>
          </cell>
          <cell r="K91">
            <v>47080</v>
          </cell>
          <cell r="L91">
            <v>44958</v>
          </cell>
        </row>
        <row r="92">
          <cell r="C92" t="str">
            <v>S01</v>
          </cell>
          <cell r="F92">
            <v>1440</v>
          </cell>
          <cell r="I92">
            <v>31104</v>
          </cell>
          <cell r="J92">
            <v>17280</v>
          </cell>
          <cell r="K92">
            <v>34560</v>
          </cell>
          <cell r="L92">
            <v>44986</v>
          </cell>
        </row>
        <row r="93">
          <cell r="C93" t="str">
            <v>S01</v>
          </cell>
          <cell r="F93">
            <v>2284</v>
          </cell>
          <cell r="I93">
            <v>105064</v>
          </cell>
          <cell r="J93">
            <v>63952</v>
          </cell>
          <cell r="K93">
            <v>114200</v>
          </cell>
          <cell r="L93">
            <v>44986</v>
          </cell>
        </row>
        <row r="94">
          <cell r="C94" t="str">
            <v>S01</v>
          </cell>
          <cell r="F94">
            <v>1604</v>
          </cell>
          <cell r="I94">
            <v>41319.040000000001</v>
          </cell>
          <cell r="J94">
            <v>24060</v>
          </cell>
          <cell r="K94">
            <v>44912</v>
          </cell>
          <cell r="L94">
            <v>44986</v>
          </cell>
        </row>
        <row r="95">
          <cell r="C95" t="str">
            <v>S01</v>
          </cell>
          <cell r="F95">
            <v>1508</v>
          </cell>
          <cell r="I95">
            <v>49085.4</v>
          </cell>
          <cell r="J95">
            <v>27144</v>
          </cell>
          <cell r="K95">
            <v>52780</v>
          </cell>
          <cell r="L95">
            <v>44986</v>
          </cell>
        </row>
        <row r="96">
          <cell r="C96" t="str">
            <v>S01</v>
          </cell>
          <cell r="F96">
            <v>2640</v>
          </cell>
          <cell r="I96">
            <v>43718.400000000001</v>
          </cell>
          <cell r="J96">
            <v>23760</v>
          </cell>
          <cell r="K96">
            <v>47520</v>
          </cell>
          <cell r="L96">
            <v>44986</v>
          </cell>
        </row>
        <row r="97">
          <cell r="C97" t="str">
            <v>S01</v>
          </cell>
          <cell r="F97">
            <v>2116</v>
          </cell>
          <cell r="I97">
            <v>57766.8</v>
          </cell>
          <cell r="J97">
            <v>29624</v>
          </cell>
          <cell r="K97">
            <v>63480</v>
          </cell>
          <cell r="L97">
            <v>44986</v>
          </cell>
        </row>
        <row r="98">
          <cell r="C98" t="str">
            <v>S01</v>
          </cell>
          <cell r="F98">
            <v>2716</v>
          </cell>
          <cell r="I98">
            <v>99948.800000000003</v>
          </cell>
          <cell r="J98">
            <v>54320</v>
          </cell>
          <cell r="K98">
            <v>108640</v>
          </cell>
          <cell r="L98">
            <v>44986</v>
          </cell>
        </row>
        <row r="99">
          <cell r="C99" t="str">
            <v>S01</v>
          </cell>
          <cell r="F99">
            <v>2220</v>
          </cell>
          <cell r="I99">
            <v>20202</v>
          </cell>
          <cell r="J99">
            <v>8880</v>
          </cell>
          <cell r="K99">
            <v>22200</v>
          </cell>
          <cell r="L99">
            <v>44986</v>
          </cell>
        </row>
        <row r="100">
          <cell r="C100" t="str">
            <v>S01</v>
          </cell>
          <cell r="F100">
            <v>2800</v>
          </cell>
          <cell r="I100">
            <v>56672</v>
          </cell>
          <cell r="J100">
            <v>28000</v>
          </cell>
          <cell r="K100">
            <v>61600</v>
          </cell>
          <cell r="L100">
            <v>44986</v>
          </cell>
        </row>
        <row r="101">
          <cell r="C101" t="str">
            <v>S02</v>
          </cell>
          <cell r="F101">
            <v>1864</v>
          </cell>
          <cell r="I101">
            <v>40709.760000000002</v>
          </cell>
          <cell r="J101">
            <v>22368</v>
          </cell>
          <cell r="K101">
            <v>44736</v>
          </cell>
          <cell r="L101">
            <v>44986</v>
          </cell>
        </row>
        <row r="102">
          <cell r="C102" t="str">
            <v>S02</v>
          </cell>
          <cell r="F102">
            <v>1900</v>
          </cell>
          <cell r="I102">
            <v>86450</v>
          </cell>
          <cell r="J102">
            <v>53200</v>
          </cell>
          <cell r="K102">
            <v>95000</v>
          </cell>
          <cell r="L102">
            <v>44986</v>
          </cell>
        </row>
        <row r="103">
          <cell r="C103" t="str">
            <v>S02</v>
          </cell>
          <cell r="F103">
            <v>2272</v>
          </cell>
          <cell r="I103">
            <v>59162.879999999997</v>
          </cell>
          <cell r="J103">
            <v>34080</v>
          </cell>
          <cell r="K103">
            <v>63616</v>
          </cell>
          <cell r="L103">
            <v>44986</v>
          </cell>
        </row>
        <row r="104">
          <cell r="C104" t="str">
            <v>S02</v>
          </cell>
          <cell r="F104">
            <v>1984</v>
          </cell>
          <cell r="I104">
            <v>65968</v>
          </cell>
          <cell r="J104">
            <v>35712</v>
          </cell>
          <cell r="K104">
            <v>69440</v>
          </cell>
          <cell r="L104">
            <v>44986</v>
          </cell>
        </row>
        <row r="105">
          <cell r="C105" t="str">
            <v>S02</v>
          </cell>
          <cell r="F105">
            <v>2100</v>
          </cell>
          <cell r="I105">
            <v>34776</v>
          </cell>
          <cell r="J105">
            <v>18900</v>
          </cell>
          <cell r="K105">
            <v>37800</v>
          </cell>
          <cell r="L105">
            <v>44986</v>
          </cell>
        </row>
        <row r="106">
          <cell r="C106" t="str">
            <v>S02</v>
          </cell>
          <cell r="F106">
            <v>1904</v>
          </cell>
          <cell r="I106">
            <v>52550.400000000001</v>
          </cell>
          <cell r="J106">
            <v>26656</v>
          </cell>
          <cell r="K106">
            <v>57120</v>
          </cell>
          <cell r="L106">
            <v>44986</v>
          </cell>
        </row>
        <row r="107">
          <cell r="C107" t="str">
            <v>S02</v>
          </cell>
          <cell r="F107">
            <v>1260</v>
          </cell>
          <cell r="I107">
            <v>47376</v>
          </cell>
          <cell r="J107">
            <v>25200</v>
          </cell>
          <cell r="K107">
            <v>50400</v>
          </cell>
          <cell r="L107">
            <v>44986</v>
          </cell>
        </row>
        <row r="108">
          <cell r="C108" t="str">
            <v>S02</v>
          </cell>
          <cell r="F108">
            <v>1448</v>
          </cell>
          <cell r="I108">
            <v>13176.8</v>
          </cell>
          <cell r="J108">
            <v>5792</v>
          </cell>
          <cell r="K108">
            <v>14480</v>
          </cell>
          <cell r="L108">
            <v>44986</v>
          </cell>
        </row>
        <row r="109">
          <cell r="C109" t="str">
            <v>S02</v>
          </cell>
          <cell r="F109">
            <v>1956</v>
          </cell>
          <cell r="I109">
            <v>40450.080000000002</v>
          </cell>
          <cell r="J109">
            <v>19560</v>
          </cell>
          <cell r="K109">
            <v>43032</v>
          </cell>
          <cell r="L109">
            <v>44986</v>
          </cell>
        </row>
        <row r="110">
          <cell r="C110" t="str">
            <v>S03</v>
          </cell>
          <cell r="F110">
            <v>2596</v>
          </cell>
          <cell r="I110">
            <v>59188.800000000003</v>
          </cell>
          <cell r="J110">
            <v>31152</v>
          </cell>
          <cell r="K110">
            <v>62304</v>
          </cell>
          <cell r="L110">
            <v>44986</v>
          </cell>
        </row>
        <row r="111">
          <cell r="C111" t="str">
            <v>S03</v>
          </cell>
          <cell r="F111">
            <v>2392</v>
          </cell>
          <cell r="I111">
            <v>108836</v>
          </cell>
          <cell r="J111">
            <v>66976</v>
          </cell>
          <cell r="K111">
            <v>119600</v>
          </cell>
          <cell r="L111">
            <v>44986</v>
          </cell>
        </row>
        <row r="112">
          <cell r="C112" t="str">
            <v>S03</v>
          </cell>
          <cell r="F112">
            <v>2204</v>
          </cell>
          <cell r="I112">
            <v>56157.919999999998</v>
          </cell>
          <cell r="J112">
            <v>33060</v>
          </cell>
          <cell r="K112">
            <v>61712</v>
          </cell>
          <cell r="L112">
            <v>44986</v>
          </cell>
        </row>
        <row r="113">
          <cell r="C113" t="str">
            <v>S03</v>
          </cell>
          <cell r="F113">
            <v>2788</v>
          </cell>
          <cell r="I113">
            <v>91725.2</v>
          </cell>
          <cell r="J113">
            <v>50184</v>
          </cell>
          <cell r="K113">
            <v>97580</v>
          </cell>
          <cell r="L113">
            <v>44986</v>
          </cell>
        </row>
        <row r="114">
          <cell r="C114" t="str">
            <v>S03</v>
          </cell>
          <cell r="F114">
            <v>2552</v>
          </cell>
          <cell r="I114">
            <v>42261.120000000003</v>
          </cell>
          <cell r="J114">
            <v>22968</v>
          </cell>
          <cell r="K114">
            <v>45936</v>
          </cell>
          <cell r="L114">
            <v>44986</v>
          </cell>
        </row>
        <row r="115">
          <cell r="C115" t="str">
            <v>S03</v>
          </cell>
          <cell r="F115">
            <v>2020</v>
          </cell>
          <cell r="I115">
            <v>56964</v>
          </cell>
          <cell r="J115">
            <v>28280</v>
          </cell>
          <cell r="K115">
            <v>60600</v>
          </cell>
          <cell r="L115">
            <v>44986</v>
          </cell>
        </row>
        <row r="116">
          <cell r="C116" t="str">
            <v>S03</v>
          </cell>
          <cell r="F116">
            <v>1508</v>
          </cell>
          <cell r="I116">
            <v>56700.800000000003</v>
          </cell>
          <cell r="J116">
            <v>30160</v>
          </cell>
          <cell r="K116">
            <v>60320</v>
          </cell>
          <cell r="L116">
            <v>44986</v>
          </cell>
        </row>
        <row r="117">
          <cell r="C117" t="str">
            <v>S03</v>
          </cell>
          <cell r="F117">
            <v>2592</v>
          </cell>
          <cell r="I117">
            <v>24624</v>
          </cell>
          <cell r="J117">
            <v>10368</v>
          </cell>
          <cell r="K117">
            <v>25920</v>
          </cell>
          <cell r="L117">
            <v>44986</v>
          </cell>
        </row>
        <row r="118">
          <cell r="C118" t="str">
            <v>S03</v>
          </cell>
          <cell r="F118">
            <v>1524</v>
          </cell>
          <cell r="I118">
            <v>31181.040000000001</v>
          </cell>
          <cell r="J118">
            <v>15240</v>
          </cell>
          <cell r="K118">
            <v>33528</v>
          </cell>
          <cell r="L118">
            <v>44986</v>
          </cell>
        </row>
        <row r="119">
          <cell r="C119" t="str">
            <v>S04</v>
          </cell>
          <cell r="F119">
            <v>1992</v>
          </cell>
          <cell r="I119">
            <v>45417.599999999999</v>
          </cell>
          <cell r="J119">
            <v>23904</v>
          </cell>
          <cell r="K119">
            <v>47808</v>
          </cell>
          <cell r="L119">
            <v>44986</v>
          </cell>
        </row>
        <row r="120">
          <cell r="C120" t="str">
            <v>S04</v>
          </cell>
          <cell r="F120">
            <v>2120</v>
          </cell>
          <cell r="I120">
            <v>96460</v>
          </cell>
          <cell r="J120">
            <v>59360</v>
          </cell>
          <cell r="K120">
            <v>106000</v>
          </cell>
          <cell r="L120">
            <v>44986</v>
          </cell>
        </row>
        <row r="121">
          <cell r="C121" t="str">
            <v>S04</v>
          </cell>
          <cell r="F121">
            <v>1316</v>
          </cell>
          <cell r="I121">
            <v>33900.160000000003</v>
          </cell>
          <cell r="J121">
            <v>19740</v>
          </cell>
          <cell r="K121">
            <v>36848</v>
          </cell>
          <cell r="L121">
            <v>44986</v>
          </cell>
        </row>
        <row r="122">
          <cell r="C122" t="str">
            <v>S04</v>
          </cell>
          <cell r="F122">
            <v>2696</v>
          </cell>
          <cell r="I122">
            <v>89642</v>
          </cell>
          <cell r="J122">
            <v>48528</v>
          </cell>
          <cell r="K122">
            <v>94360</v>
          </cell>
          <cell r="L122">
            <v>44986</v>
          </cell>
        </row>
        <row r="123">
          <cell r="C123" t="str">
            <v>S04</v>
          </cell>
          <cell r="F123">
            <v>2532</v>
          </cell>
          <cell r="I123">
            <v>41929.919999999998</v>
          </cell>
          <cell r="J123">
            <v>22788</v>
          </cell>
          <cell r="K123">
            <v>45576</v>
          </cell>
          <cell r="L123">
            <v>44986</v>
          </cell>
        </row>
        <row r="124">
          <cell r="C124" t="str">
            <v>S04</v>
          </cell>
          <cell r="F124">
            <v>2008</v>
          </cell>
          <cell r="I124">
            <v>56625.599999999999</v>
          </cell>
          <cell r="J124">
            <v>28112</v>
          </cell>
          <cell r="K124">
            <v>60240</v>
          </cell>
          <cell r="L124">
            <v>44986</v>
          </cell>
        </row>
        <row r="125">
          <cell r="C125" t="str">
            <v>S04</v>
          </cell>
          <cell r="F125">
            <v>1304</v>
          </cell>
          <cell r="I125">
            <v>46944</v>
          </cell>
          <cell r="J125">
            <v>26080</v>
          </cell>
          <cell r="K125">
            <v>52160</v>
          </cell>
          <cell r="L125">
            <v>44986</v>
          </cell>
        </row>
        <row r="126">
          <cell r="C126" t="str">
            <v>S04</v>
          </cell>
          <cell r="F126">
            <v>1608</v>
          </cell>
          <cell r="I126">
            <v>14472</v>
          </cell>
          <cell r="J126">
            <v>6432</v>
          </cell>
          <cell r="K126">
            <v>16080</v>
          </cell>
          <cell r="L126">
            <v>44986</v>
          </cell>
        </row>
        <row r="127">
          <cell r="C127" t="str">
            <v>S04</v>
          </cell>
          <cell r="F127">
            <v>2104</v>
          </cell>
          <cell r="I127">
            <v>42584.959999999999</v>
          </cell>
          <cell r="J127">
            <v>21040</v>
          </cell>
          <cell r="K127">
            <v>46288</v>
          </cell>
          <cell r="L127">
            <v>44986</v>
          </cell>
        </row>
        <row r="128">
          <cell r="C128" t="str">
            <v>S05</v>
          </cell>
          <cell r="F128">
            <v>2400</v>
          </cell>
          <cell r="I128">
            <v>52416</v>
          </cell>
          <cell r="J128">
            <v>28800</v>
          </cell>
          <cell r="K128">
            <v>57600</v>
          </cell>
          <cell r="L128">
            <v>44986</v>
          </cell>
        </row>
        <row r="129">
          <cell r="C129" t="str">
            <v>S05</v>
          </cell>
          <cell r="F129">
            <v>1280</v>
          </cell>
          <cell r="I129">
            <v>58880</v>
          </cell>
          <cell r="J129">
            <v>35840</v>
          </cell>
          <cell r="K129">
            <v>64000</v>
          </cell>
          <cell r="L129">
            <v>44986</v>
          </cell>
        </row>
        <row r="130">
          <cell r="C130" t="str">
            <v>S05</v>
          </cell>
          <cell r="F130">
            <v>2524</v>
          </cell>
          <cell r="I130">
            <v>65018.239999999998</v>
          </cell>
          <cell r="J130">
            <v>37860</v>
          </cell>
          <cell r="K130">
            <v>70672</v>
          </cell>
          <cell r="L130">
            <v>44986</v>
          </cell>
        </row>
        <row r="131">
          <cell r="C131" t="str">
            <v>S05</v>
          </cell>
          <cell r="F131">
            <v>2176</v>
          </cell>
          <cell r="I131">
            <v>72352</v>
          </cell>
          <cell r="J131">
            <v>39168</v>
          </cell>
          <cell r="K131">
            <v>76160</v>
          </cell>
          <cell r="L131">
            <v>44986</v>
          </cell>
        </row>
        <row r="132">
          <cell r="C132" t="str">
            <v>S05</v>
          </cell>
          <cell r="F132">
            <v>2268</v>
          </cell>
          <cell r="I132">
            <v>37966.32</v>
          </cell>
          <cell r="J132">
            <v>20412</v>
          </cell>
          <cell r="K132">
            <v>40824</v>
          </cell>
          <cell r="L132">
            <v>44986</v>
          </cell>
        </row>
        <row r="133">
          <cell r="C133" t="str">
            <v>S05</v>
          </cell>
          <cell r="F133">
            <v>2336</v>
          </cell>
          <cell r="I133">
            <v>66576</v>
          </cell>
          <cell r="J133">
            <v>32704</v>
          </cell>
          <cell r="K133">
            <v>70080</v>
          </cell>
          <cell r="L133">
            <v>44986</v>
          </cell>
        </row>
        <row r="134">
          <cell r="C134" t="str">
            <v>S05</v>
          </cell>
          <cell r="F134">
            <v>2564</v>
          </cell>
          <cell r="I134">
            <v>97432</v>
          </cell>
          <cell r="J134">
            <v>51280</v>
          </cell>
          <cell r="K134">
            <v>102560</v>
          </cell>
          <cell r="L134">
            <v>44986</v>
          </cell>
        </row>
        <row r="135">
          <cell r="C135" t="str">
            <v>S05</v>
          </cell>
          <cell r="F135">
            <v>2784</v>
          </cell>
          <cell r="I135">
            <v>26448</v>
          </cell>
          <cell r="J135">
            <v>11136</v>
          </cell>
          <cell r="K135">
            <v>27840</v>
          </cell>
          <cell r="L135">
            <v>44986</v>
          </cell>
        </row>
        <row r="136">
          <cell r="C136" t="str">
            <v>S05</v>
          </cell>
          <cell r="F136">
            <v>1328</v>
          </cell>
          <cell r="I136">
            <v>26586.560000000001</v>
          </cell>
          <cell r="J136">
            <v>13280</v>
          </cell>
          <cell r="K136">
            <v>29216</v>
          </cell>
          <cell r="L136">
            <v>44986</v>
          </cell>
        </row>
        <row r="137">
          <cell r="C137" t="str">
            <v>S01</v>
          </cell>
          <cell r="F137">
            <v>2608</v>
          </cell>
          <cell r="I137">
            <v>58836.480000000003</v>
          </cell>
          <cell r="J137">
            <v>31296</v>
          </cell>
          <cell r="K137">
            <v>62592</v>
          </cell>
          <cell r="L137">
            <v>45017</v>
          </cell>
        </row>
        <row r="138">
          <cell r="C138" t="str">
            <v>S01</v>
          </cell>
          <cell r="F138">
            <v>1868</v>
          </cell>
          <cell r="I138">
            <v>84994</v>
          </cell>
          <cell r="J138">
            <v>52304</v>
          </cell>
          <cell r="K138">
            <v>93400</v>
          </cell>
          <cell r="L138">
            <v>45017</v>
          </cell>
        </row>
        <row r="139">
          <cell r="C139" t="str">
            <v>S01</v>
          </cell>
          <cell r="F139">
            <v>1484</v>
          </cell>
          <cell r="I139">
            <v>37812.32</v>
          </cell>
          <cell r="J139">
            <v>22260</v>
          </cell>
          <cell r="K139">
            <v>41552</v>
          </cell>
          <cell r="L139">
            <v>45017</v>
          </cell>
        </row>
        <row r="140">
          <cell r="C140" t="str">
            <v>S01</v>
          </cell>
          <cell r="F140">
            <v>1992</v>
          </cell>
          <cell r="I140">
            <v>66234</v>
          </cell>
          <cell r="J140">
            <v>35856</v>
          </cell>
          <cell r="K140">
            <v>69720</v>
          </cell>
          <cell r="L140">
            <v>45017</v>
          </cell>
        </row>
        <row r="141">
          <cell r="C141" t="str">
            <v>S01</v>
          </cell>
          <cell r="F141">
            <v>1896</v>
          </cell>
          <cell r="I141">
            <v>31397.759999999998</v>
          </cell>
          <cell r="J141">
            <v>17064</v>
          </cell>
          <cell r="K141">
            <v>34128</v>
          </cell>
          <cell r="L141">
            <v>45017</v>
          </cell>
        </row>
        <row r="142">
          <cell r="C142" t="str">
            <v>S01</v>
          </cell>
          <cell r="F142">
            <v>1492</v>
          </cell>
          <cell r="I142">
            <v>42074.400000000001</v>
          </cell>
          <cell r="J142">
            <v>20888</v>
          </cell>
          <cell r="K142">
            <v>44760</v>
          </cell>
          <cell r="L142">
            <v>45017</v>
          </cell>
        </row>
        <row r="143">
          <cell r="C143" t="str">
            <v>S01</v>
          </cell>
          <cell r="F143">
            <v>1284</v>
          </cell>
          <cell r="I143">
            <v>47251.199999999997</v>
          </cell>
          <cell r="J143">
            <v>25680</v>
          </cell>
          <cell r="K143">
            <v>51360</v>
          </cell>
          <cell r="L143">
            <v>45017</v>
          </cell>
        </row>
        <row r="144">
          <cell r="C144" t="str">
            <v>S01</v>
          </cell>
          <cell r="F144">
            <v>2392</v>
          </cell>
          <cell r="I144">
            <v>22245.599999999999</v>
          </cell>
          <cell r="J144">
            <v>9568</v>
          </cell>
          <cell r="K144">
            <v>23920</v>
          </cell>
          <cell r="L144">
            <v>45017</v>
          </cell>
        </row>
        <row r="145">
          <cell r="C145" t="str">
            <v>S01</v>
          </cell>
          <cell r="F145">
            <v>1736</v>
          </cell>
          <cell r="I145">
            <v>35518.559999999998</v>
          </cell>
          <cell r="J145">
            <v>17360</v>
          </cell>
          <cell r="K145">
            <v>38192</v>
          </cell>
          <cell r="L145">
            <v>45017</v>
          </cell>
        </row>
        <row r="146">
          <cell r="C146" t="str">
            <v>S02</v>
          </cell>
          <cell r="F146">
            <v>1888</v>
          </cell>
          <cell r="I146">
            <v>41233.919999999998</v>
          </cell>
          <cell r="J146">
            <v>22656</v>
          </cell>
          <cell r="K146">
            <v>45312</v>
          </cell>
          <cell r="L146">
            <v>45017</v>
          </cell>
        </row>
        <row r="147">
          <cell r="C147" t="str">
            <v>S02</v>
          </cell>
          <cell r="F147">
            <v>2452</v>
          </cell>
          <cell r="I147">
            <v>111566</v>
          </cell>
          <cell r="J147">
            <v>68656</v>
          </cell>
          <cell r="K147">
            <v>122600</v>
          </cell>
          <cell r="L147">
            <v>45017</v>
          </cell>
        </row>
        <row r="148">
          <cell r="C148" t="str">
            <v>S02</v>
          </cell>
          <cell r="F148">
            <v>1996</v>
          </cell>
          <cell r="I148">
            <v>51416.959999999999</v>
          </cell>
          <cell r="J148">
            <v>29940</v>
          </cell>
          <cell r="K148">
            <v>55888</v>
          </cell>
          <cell r="L148">
            <v>45017</v>
          </cell>
        </row>
        <row r="149">
          <cell r="C149" t="str">
            <v>S02</v>
          </cell>
          <cell r="F149">
            <v>1316</v>
          </cell>
          <cell r="I149">
            <v>42835.8</v>
          </cell>
          <cell r="J149">
            <v>23688</v>
          </cell>
          <cell r="K149">
            <v>46060</v>
          </cell>
          <cell r="L149">
            <v>45017</v>
          </cell>
        </row>
        <row r="150">
          <cell r="C150" t="str">
            <v>S02</v>
          </cell>
          <cell r="F150">
            <v>2688</v>
          </cell>
          <cell r="I150">
            <v>43545.599999999999</v>
          </cell>
          <cell r="J150">
            <v>24192</v>
          </cell>
          <cell r="K150">
            <v>48384</v>
          </cell>
          <cell r="L150">
            <v>45017</v>
          </cell>
        </row>
        <row r="151">
          <cell r="C151" t="str">
            <v>S02</v>
          </cell>
          <cell r="F151">
            <v>1332</v>
          </cell>
          <cell r="I151">
            <v>37562.400000000001</v>
          </cell>
          <cell r="J151">
            <v>18648</v>
          </cell>
          <cell r="K151">
            <v>39960</v>
          </cell>
          <cell r="L151">
            <v>45017</v>
          </cell>
        </row>
        <row r="152">
          <cell r="C152" t="str">
            <v>S02</v>
          </cell>
          <cell r="F152">
            <v>2680</v>
          </cell>
          <cell r="I152">
            <v>100768</v>
          </cell>
          <cell r="J152">
            <v>53600</v>
          </cell>
          <cell r="K152">
            <v>107200</v>
          </cell>
          <cell r="L152">
            <v>45017</v>
          </cell>
        </row>
        <row r="153">
          <cell r="C153" t="str">
            <v>S02</v>
          </cell>
          <cell r="F153">
            <v>1628</v>
          </cell>
          <cell r="I153">
            <v>15303.2</v>
          </cell>
          <cell r="J153">
            <v>6512</v>
          </cell>
          <cell r="K153">
            <v>16280</v>
          </cell>
          <cell r="L153">
            <v>45017</v>
          </cell>
        </row>
        <row r="154">
          <cell r="C154" t="str">
            <v>S02</v>
          </cell>
          <cell r="F154">
            <v>2672</v>
          </cell>
          <cell r="I154">
            <v>55256.959999999999</v>
          </cell>
          <cell r="J154">
            <v>26720</v>
          </cell>
          <cell r="K154">
            <v>58784</v>
          </cell>
          <cell r="L154">
            <v>45017</v>
          </cell>
        </row>
        <row r="155">
          <cell r="C155" t="str">
            <v>S03</v>
          </cell>
          <cell r="F155">
            <v>2492</v>
          </cell>
          <cell r="I155">
            <v>55023.360000000001</v>
          </cell>
          <cell r="J155">
            <v>29904</v>
          </cell>
          <cell r="K155">
            <v>59808</v>
          </cell>
          <cell r="L155">
            <v>45017</v>
          </cell>
        </row>
        <row r="156">
          <cell r="C156" t="str">
            <v>S03</v>
          </cell>
          <cell r="F156">
            <v>2048</v>
          </cell>
          <cell r="I156">
            <v>93184</v>
          </cell>
          <cell r="J156">
            <v>57344</v>
          </cell>
          <cell r="K156">
            <v>102400</v>
          </cell>
          <cell r="L156">
            <v>45017</v>
          </cell>
        </row>
        <row r="157">
          <cell r="C157" t="str">
            <v>S03</v>
          </cell>
          <cell r="F157">
            <v>1272</v>
          </cell>
          <cell r="I157">
            <v>32766.720000000001</v>
          </cell>
          <cell r="J157">
            <v>19080</v>
          </cell>
          <cell r="K157">
            <v>35616</v>
          </cell>
          <cell r="L157">
            <v>45017</v>
          </cell>
        </row>
        <row r="158">
          <cell r="C158" t="str">
            <v>S03</v>
          </cell>
          <cell r="F158">
            <v>2116</v>
          </cell>
          <cell r="I158">
            <v>68135.199999999997</v>
          </cell>
          <cell r="J158">
            <v>38088</v>
          </cell>
          <cell r="K158">
            <v>74060</v>
          </cell>
          <cell r="L158">
            <v>45017</v>
          </cell>
        </row>
        <row r="159">
          <cell r="C159" t="str">
            <v>S03</v>
          </cell>
          <cell r="F159">
            <v>1892</v>
          </cell>
          <cell r="I159">
            <v>32012.639999999999</v>
          </cell>
          <cell r="J159">
            <v>17028</v>
          </cell>
          <cell r="K159">
            <v>34056</v>
          </cell>
          <cell r="L159">
            <v>45017</v>
          </cell>
        </row>
        <row r="160">
          <cell r="C160" t="str">
            <v>S03</v>
          </cell>
          <cell r="F160">
            <v>2248</v>
          </cell>
          <cell r="I160">
            <v>61370.400000000001</v>
          </cell>
          <cell r="J160">
            <v>31472</v>
          </cell>
          <cell r="K160">
            <v>67440</v>
          </cell>
          <cell r="L160">
            <v>45017</v>
          </cell>
        </row>
        <row r="161">
          <cell r="C161" t="str">
            <v>S03</v>
          </cell>
          <cell r="F161">
            <v>2500</v>
          </cell>
          <cell r="I161">
            <v>93000</v>
          </cell>
          <cell r="J161">
            <v>50000</v>
          </cell>
          <cell r="K161">
            <v>100000</v>
          </cell>
          <cell r="L161">
            <v>45017</v>
          </cell>
        </row>
        <row r="162">
          <cell r="C162" t="str">
            <v>S03</v>
          </cell>
          <cell r="F162">
            <v>1836</v>
          </cell>
          <cell r="I162">
            <v>16891.2</v>
          </cell>
          <cell r="J162">
            <v>7344</v>
          </cell>
          <cell r="K162">
            <v>18360</v>
          </cell>
          <cell r="L162">
            <v>45017</v>
          </cell>
        </row>
        <row r="163">
          <cell r="C163" t="str">
            <v>S03</v>
          </cell>
          <cell r="F163">
            <v>2436</v>
          </cell>
          <cell r="I163">
            <v>49304.639999999999</v>
          </cell>
          <cell r="J163">
            <v>24360</v>
          </cell>
          <cell r="K163">
            <v>53592</v>
          </cell>
          <cell r="L163">
            <v>45017</v>
          </cell>
        </row>
        <row r="164">
          <cell r="C164" t="str">
            <v>S04</v>
          </cell>
          <cell r="F164">
            <v>1936</v>
          </cell>
          <cell r="I164">
            <v>42746.879999999997</v>
          </cell>
          <cell r="J164">
            <v>23232</v>
          </cell>
          <cell r="K164">
            <v>46464</v>
          </cell>
          <cell r="L164">
            <v>45017</v>
          </cell>
        </row>
        <row r="165">
          <cell r="C165" t="str">
            <v>S04</v>
          </cell>
          <cell r="F165">
            <v>1372</v>
          </cell>
          <cell r="I165">
            <v>63112</v>
          </cell>
          <cell r="J165">
            <v>38416</v>
          </cell>
          <cell r="K165">
            <v>68600</v>
          </cell>
          <cell r="L165">
            <v>45017</v>
          </cell>
        </row>
        <row r="166">
          <cell r="C166" t="str">
            <v>S04</v>
          </cell>
          <cell r="F166">
            <v>2052</v>
          </cell>
          <cell r="I166">
            <v>54008.639999999999</v>
          </cell>
          <cell r="J166">
            <v>30780</v>
          </cell>
          <cell r="K166">
            <v>57456</v>
          </cell>
          <cell r="L166">
            <v>45017</v>
          </cell>
        </row>
        <row r="167">
          <cell r="C167" t="str">
            <v>S04</v>
          </cell>
          <cell r="F167">
            <v>2220</v>
          </cell>
          <cell r="I167">
            <v>72261</v>
          </cell>
          <cell r="J167">
            <v>39960</v>
          </cell>
          <cell r="K167">
            <v>77700</v>
          </cell>
          <cell r="L167">
            <v>45017</v>
          </cell>
        </row>
        <row r="168">
          <cell r="C168" t="str">
            <v>S04</v>
          </cell>
          <cell r="F168">
            <v>1776</v>
          </cell>
          <cell r="I168">
            <v>30369.599999999999</v>
          </cell>
          <cell r="J168">
            <v>15984</v>
          </cell>
          <cell r="K168">
            <v>31968</v>
          </cell>
          <cell r="L168">
            <v>45017</v>
          </cell>
        </row>
        <row r="169">
          <cell r="C169" t="str">
            <v>S04</v>
          </cell>
          <cell r="F169">
            <v>2368</v>
          </cell>
          <cell r="I169">
            <v>66777.600000000006</v>
          </cell>
          <cell r="J169">
            <v>33152</v>
          </cell>
          <cell r="K169">
            <v>71040</v>
          </cell>
          <cell r="L169">
            <v>45017</v>
          </cell>
        </row>
        <row r="170">
          <cell r="C170" t="str">
            <v>S04</v>
          </cell>
          <cell r="F170">
            <v>2160</v>
          </cell>
          <cell r="I170">
            <v>78624</v>
          </cell>
          <cell r="J170">
            <v>43200</v>
          </cell>
          <cell r="K170">
            <v>86400</v>
          </cell>
          <cell r="L170">
            <v>45017</v>
          </cell>
        </row>
        <row r="171">
          <cell r="C171" t="str">
            <v>S04</v>
          </cell>
          <cell r="F171">
            <v>1900</v>
          </cell>
          <cell r="I171">
            <v>17100</v>
          </cell>
          <cell r="J171">
            <v>7600</v>
          </cell>
          <cell r="K171">
            <v>19000</v>
          </cell>
          <cell r="L171">
            <v>45017</v>
          </cell>
        </row>
        <row r="172">
          <cell r="C172" t="str">
            <v>S04</v>
          </cell>
          <cell r="F172">
            <v>1880</v>
          </cell>
          <cell r="I172">
            <v>38878.400000000001</v>
          </cell>
          <cell r="J172">
            <v>18800</v>
          </cell>
          <cell r="K172">
            <v>41360</v>
          </cell>
          <cell r="L172">
            <v>45017</v>
          </cell>
        </row>
        <row r="173">
          <cell r="C173" t="str">
            <v>S05</v>
          </cell>
          <cell r="F173">
            <v>1792</v>
          </cell>
          <cell r="I173">
            <v>39567.360000000001</v>
          </cell>
          <cell r="J173">
            <v>21504</v>
          </cell>
          <cell r="K173">
            <v>43008</v>
          </cell>
          <cell r="L173">
            <v>45017</v>
          </cell>
        </row>
        <row r="174">
          <cell r="C174" t="str">
            <v>S05</v>
          </cell>
          <cell r="F174">
            <v>2700</v>
          </cell>
          <cell r="I174">
            <v>126900</v>
          </cell>
          <cell r="J174">
            <v>75600</v>
          </cell>
          <cell r="K174">
            <v>135000</v>
          </cell>
          <cell r="L174">
            <v>45017</v>
          </cell>
        </row>
        <row r="175">
          <cell r="C175" t="str">
            <v>S05</v>
          </cell>
          <cell r="F175">
            <v>2320</v>
          </cell>
          <cell r="I175">
            <v>58464</v>
          </cell>
          <cell r="J175">
            <v>34800</v>
          </cell>
          <cell r="K175">
            <v>64960</v>
          </cell>
          <cell r="L175">
            <v>45017</v>
          </cell>
        </row>
        <row r="176">
          <cell r="C176" t="str">
            <v>S05</v>
          </cell>
          <cell r="F176">
            <v>2688</v>
          </cell>
          <cell r="I176">
            <v>85612.800000000003</v>
          </cell>
          <cell r="J176">
            <v>48384</v>
          </cell>
          <cell r="K176">
            <v>94080</v>
          </cell>
          <cell r="L176">
            <v>45017</v>
          </cell>
        </row>
        <row r="177">
          <cell r="C177" t="str">
            <v>S05</v>
          </cell>
          <cell r="F177">
            <v>2648</v>
          </cell>
          <cell r="I177">
            <v>43850.879999999997</v>
          </cell>
          <cell r="J177">
            <v>23832</v>
          </cell>
          <cell r="K177">
            <v>47664</v>
          </cell>
          <cell r="L177">
            <v>45017</v>
          </cell>
        </row>
        <row r="178">
          <cell r="C178" t="str">
            <v>S05</v>
          </cell>
          <cell r="F178">
            <v>2176</v>
          </cell>
          <cell r="I178">
            <v>61363.199999999997</v>
          </cell>
          <cell r="J178">
            <v>30464</v>
          </cell>
          <cell r="K178">
            <v>65280</v>
          </cell>
          <cell r="L178">
            <v>45017</v>
          </cell>
        </row>
        <row r="179">
          <cell r="C179" t="str">
            <v>S05</v>
          </cell>
          <cell r="F179">
            <v>2060</v>
          </cell>
          <cell r="I179">
            <v>74984</v>
          </cell>
          <cell r="J179">
            <v>41200</v>
          </cell>
          <cell r="K179">
            <v>82400</v>
          </cell>
          <cell r="L179">
            <v>45017</v>
          </cell>
        </row>
        <row r="180">
          <cell r="C180" t="str">
            <v>S05</v>
          </cell>
          <cell r="F180">
            <v>1968</v>
          </cell>
          <cell r="I180">
            <v>18499.2</v>
          </cell>
          <cell r="J180">
            <v>7872</v>
          </cell>
          <cell r="K180">
            <v>19680</v>
          </cell>
          <cell r="L180">
            <v>45017</v>
          </cell>
        </row>
        <row r="181">
          <cell r="C181" t="str">
            <v>S05</v>
          </cell>
          <cell r="F181">
            <v>1784</v>
          </cell>
          <cell r="I181">
            <v>35715.68</v>
          </cell>
          <cell r="J181">
            <v>17840</v>
          </cell>
          <cell r="K181">
            <v>39248</v>
          </cell>
          <cell r="L181">
            <v>45017</v>
          </cell>
        </row>
        <row r="182">
          <cell r="C182" t="str">
            <v>S01</v>
          </cell>
          <cell r="F182">
            <v>2700</v>
          </cell>
          <cell r="I182">
            <v>60264</v>
          </cell>
          <cell r="J182">
            <v>32400</v>
          </cell>
          <cell r="K182">
            <v>64800</v>
          </cell>
          <cell r="L182">
            <v>45047</v>
          </cell>
        </row>
        <row r="183">
          <cell r="C183" t="str">
            <v>S01</v>
          </cell>
          <cell r="F183">
            <v>2312</v>
          </cell>
          <cell r="I183">
            <v>105196</v>
          </cell>
          <cell r="J183">
            <v>64736</v>
          </cell>
          <cell r="K183">
            <v>115600</v>
          </cell>
          <cell r="L183">
            <v>45047</v>
          </cell>
        </row>
        <row r="184">
          <cell r="C184" t="str">
            <v>S01</v>
          </cell>
          <cell r="F184">
            <v>1440</v>
          </cell>
          <cell r="I184">
            <v>36288</v>
          </cell>
          <cell r="J184">
            <v>21600</v>
          </cell>
          <cell r="K184">
            <v>40320</v>
          </cell>
          <cell r="L184">
            <v>45047</v>
          </cell>
        </row>
        <row r="185">
          <cell r="C185" t="str">
            <v>S01</v>
          </cell>
          <cell r="F185">
            <v>1920</v>
          </cell>
          <cell r="I185">
            <v>61152</v>
          </cell>
          <cell r="J185">
            <v>34560</v>
          </cell>
          <cell r="K185">
            <v>67200</v>
          </cell>
          <cell r="L185">
            <v>45047</v>
          </cell>
        </row>
        <row r="186">
          <cell r="C186" t="str">
            <v>S01</v>
          </cell>
          <cell r="F186">
            <v>2008</v>
          </cell>
          <cell r="I186">
            <v>33252.480000000003</v>
          </cell>
          <cell r="J186">
            <v>18072</v>
          </cell>
          <cell r="K186">
            <v>36144</v>
          </cell>
          <cell r="L186">
            <v>45047</v>
          </cell>
        </row>
        <row r="187">
          <cell r="C187" t="str">
            <v>S01</v>
          </cell>
          <cell r="F187">
            <v>1380</v>
          </cell>
          <cell r="I187">
            <v>38088</v>
          </cell>
          <cell r="J187">
            <v>19320</v>
          </cell>
          <cell r="K187">
            <v>41400</v>
          </cell>
          <cell r="L187">
            <v>45047</v>
          </cell>
        </row>
        <row r="188">
          <cell r="C188" t="str">
            <v>S01</v>
          </cell>
          <cell r="F188">
            <v>2616</v>
          </cell>
          <cell r="I188">
            <v>98361.600000000006</v>
          </cell>
          <cell r="J188">
            <v>52320</v>
          </cell>
          <cell r="K188">
            <v>104640</v>
          </cell>
          <cell r="L188">
            <v>45047</v>
          </cell>
        </row>
        <row r="189">
          <cell r="C189" t="str">
            <v>S01</v>
          </cell>
          <cell r="F189">
            <v>2224</v>
          </cell>
          <cell r="I189">
            <v>20683.2</v>
          </cell>
          <cell r="J189">
            <v>8896</v>
          </cell>
          <cell r="K189">
            <v>22240</v>
          </cell>
          <cell r="L189">
            <v>45047</v>
          </cell>
        </row>
        <row r="190">
          <cell r="C190" t="str">
            <v>S01</v>
          </cell>
          <cell r="F190">
            <v>1532</v>
          </cell>
          <cell r="I190">
            <v>31681.759999999998</v>
          </cell>
          <cell r="J190">
            <v>15320</v>
          </cell>
          <cell r="K190">
            <v>33704</v>
          </cell>
          <cell r="L190">
            <v>45047</v>
          </cell>
        </row>
        <row r="191">
          <cell r="C191" t="str">
            <v>S02</v>
          </cell>
          <cell r="F191">
            <v>1432</v>
          </cell>
          <cell r="I191">
            <v>31618.560000000001</v>
          </cell>
          <cell r="J191">
            <v>17184</v>
          </cell>
          <cell r="K191">
            <v>34368</v>
          </cell>
          <cell r="L191">
            <v>45047</v>
          </cell>
        </row>
        <row r="192">
          <cell r="C192" t="str">
            <v>S02</v>
          </cell>
          <cell r="F192">
            <v>1468</v>
          </cell>
          <cell r="I192">
            <v>68262</v>
          </cell>
          <cell r="J192">
            <v>41104</v>
          </cell>
          <cell r="K192">
            <v>73400</v>
          </cell>
          <cell r="L192">
            <v>45047</v>
          </cell>
        </row>
        <row r="193">
          <cell r="C193" t="str">
            <v>S02</v>
          </cell>
          <cell r="F193">
            <v>2344</v>
          </cell>
          <cell r="I193">
            <v>61694.080000000002</v>
          </cell>
          <cell r="J193">
            <v>35160</v>
          </cell>
          <cell r="K193">
            <v>65632</v>
          </cell>
          <cell r="L193">
            <v>45047</v>
          </cell>
        </row>
        <row r="194">
          <cell r="C194" t="str">
            <v>S02</v>
          </cell>
          <cell r="F194">
            <v>2600</v>
          </cell>
          <cell r="I194">
            <v>85540</v>
          </cell>
          <cell r="J194">
            <v>46800</v>
          </cell>
          <cell r="K194">
            <v>91000</v>
          </cell>
          <cell r="L194">
            <v>45047</v>
          </cell>
        </row>
        <row r="195">
          <cell r="C195" t="str">
            <v>S02</v>
          </cell>
          <cell r="F195">
            <v>1972</v>
          </cell>
          <cell r="I195">
            <v>33011.279999999999</v>
          </cell>
          <cell r="J195">
            <v>17748</v>
          </cell>
          <cell r="K195">
            <v>35496</v>
          </cell>
          <cell r="L195">
            <v>45047</v>
          </cell>
        </row>
        <row r="196">
          <cell r="C196" t="str">
            <v>S02</v>
          </cell>
          <cell r="F196">
            <v>1952</v>
          </cell>
          <cell r="I196">
            <v>52704</v>
          </cell>
          <cell r="J196">
            <v>27328</v>
          </cell>
          <cell r="K196">
            <v>58560</v>
          </cell>
          <cell r="L196">
            <v>45047</v>
          </cell>
        </row>
        <row r="197">
          <cell r="C197" t="str">
            <v>S02</v>
          </cell>
          <cell r="F197">
            <v>1220</v>
          </cell>
          <cell r="I197">
            <v>45872</v>
          </cell>
          <cell r="J197">
            <v>24400</v>
          </cell>
          <cell r="K197">
            <v>48800</v>
          </cell>
          <cell r="L197">
            <v>45047</v>
          </cell>
        </row>
        <row r="198">
          <cell r="C198" t="str">
            <v>S02</v>
          </cell>
          <cell r="F198">
            <v>2464</v>
          </cell>
          <cell r="I198">
            <v>22176</v>
          </cell>
          <cell r="J198">
            <v>9856</v>
          </cell>
          <cell r="K198">
            <v>24640</v>
          </cell>
          <cell r="L198">
            <v>45047</v>
          </cell>
        </row>
        <row r="199">
          <cell r="C199" t="str">
            <v>S02</v>
          </cell>
          <cell r="F199">
            <v>2628</v>
          </cell>
          <cell r="I199">
            <v>54925.2</v>
          </cell>
          <cell r="J199">
            <v>26280</v>
          </cell>
          <cell r="K199">
            <v>57816</v>
          </cell>
          <cell r="L199">
            <v>45047</v>
          </cell>
        </row>
        <row r="200">
          <cell r="C200" t="str">
            <v>S03</v>
          </cell>
          <cell r="F200">
            <v>2276</v>
          </cell>
          <cell r="I200">
            <v>50800.32</v>
          </cell>
          <cell r="J200">
            <v>27312</v>
          </cell>
          <cell r="K200">
            <v>54624</v>
          </cell>
          <cell r="L200">
            <v>45047</v>
          </cell>
        </row>
        <row r="201">
          <cell r="C201" t="str">
            <v>S03</v>
          </cell>
          <cell r="F201">
            <v>1480</v>
          </cell>
          <cell r="I201">
            <v>68820</v>
          </cell>
          <cell r="J201">
            <v>41440</v>
          </cell>
          <cell r="K201">
            <v>74000</v>
          </cell>
          <cell r="L201">
            <v>45047</v>
          </cell>
        </row>
        <row r="202">
          <cell r="C202" t="str">
            <v>S03</v>
          </cell>
          <cell r="F202">
            <v>1892</v>
          </cell>
          <cell r="I202">
            <v>49267.68</v>
          </cell>
          <cell r="J202">
            <v>28380</v>
          </cell>
          <cell r="K202">
            <v>52976</v>
          </cell>
          <cell r="L202">
            <v>45047</v>
          </cell>
        </row>
        <row r="203">
          <cell r="C203" t="str">
            <v>S03</v>
          </cell>
          <cell r="F203">
            <v>1252</v>
          </cell>
          <cell r="I203">
            <v>41190.800000000003</v>
          </cell>
          <cell r="J203">
            <v>22536</v>
          </cell>
          <cell r="K203">
            <v>43820</v>
          </cell>
          <cell r="L203">
            <v>45047</v>
          </cell>
        </row>
        <row r="204">
          <cell r="C204" t="str">
            <v>S03</v>
          </cell>
          <cell r="F204">
            <v>1536</v>
          </cell>
          <cell r="I204">
            <v>25989.119999999999</v>
          </cell>
          <cell r="J204">
            <v>13824</v>
          </cell>
          <cell r="K204">
            <v>27648</v>
          </cell>
          <cell r="L204">
            <v>45047</v>
          </cell>
        </row>
        <row r="205">
          <cell r="C205" t="str">
            <v>S03</v>
          </cell>
          <cell r="F205">
            <v>1440</v>
          </cell>
          <cell r="I205">
            <v>39744</v>
          </cell>
          <cell r="J205">
            <v>20160</v>
          </cell>
          <cell r="K205">
            <v>43200</v>
          </cell>
          <cell r="L205">
            <v>45047</v>
          </cell>
        </row>
        <row r="206">
          <cell r="C206" t="str">
            <v>S03</v>
          </cell>
          <cell r="F206">
            <v>2580</v>
          </cell>
          <cell r="I206">
            <v>94944</v>
          </cell>
          <cell r="J206">
            <v>51600</v>
          </cell>
          <cell r="K206">
            <v>103200</v>
          </cell>
          <cell r="L206">
            <v>45047</v>
          </cell>
        </row>
        <row r="207">
          <cell r="C207" t="str">
            <v>S03</v>
          </cell>
          <cell r="F207">
            <v>1208</v>
          </cell>
          <cell r="I207">
            <v>11113.6</v>
          </cell>
          <cell r="J207">
            <v>4832</v>
          </cell>
          <cell r="K207">
            <v>12080</v>
          </cell>
          <cell r="L207">
            <v>45047</v>
          </cell>
        </row>
        <row r="208">
          <cell r="C208" t="str">
            <v>S03</v>
          </cell>
          <cell r="F208">
            <v>2572</v>
          </cell>
          <cell r="I208">
            <v>51491.44</v>
          </cell>
          <cell r="J208">
            <v>25720</v>
          </cell>
          <cell r="K208">
            <v>56584</v>
          </cell>
          <cell r="L208">
            <v>45047</v>
          </cell>
        </row>
        <row r="209">
          <cell r="C209" t="str">
            <v>S04</v>
          </cell>
          <cell r="F209">
            <v>2252</v>
          </cell>
          <cell r="I209">
            <v>50805.120000000003</v>
          </cell>
          <cell r="J209">
            <v>27024</v>
          </cell>
          <cell r="K209">
            <v>54048</v>
          </cell>
          <cell r="L209">
            <v>45047</v>
          </cell>
        </row>
        <row r="210">
          <cell r="C210" t="str">
            <v>S04</v>
          </cell>
          <cell r="F210">
            <v>1432</v>
          </cell>
          <cell r="I210">
            <v>65872</v>
          </cell>
          <cell r="J210">
            <v>40096</v>
          </cell>
          <cell r="K210">
            <v>71600</v>
          </cell>
          <cell r="L210">
            <v>45047</v>
          </cell>
        </row>
        <row r="211">
          <cell r="C211" t="str">
            <v>S04</v>
          </cell>
          <cell r="F211">
            <v>1652</v>
          </cell>
          <cell r="I211">
            <v>42555.519999999997</v>
          </cell>
          <cell r="J211">
            <v>24780</v>
          </cell>
          <cell r="K211">
            <v>46256</v>
          </cell>
          <cell r="L211">
            <v>45047</v>
          </cell>
        </row>
        <row r="212">
          <cell r="C212" t="str">
            <v>S04</v>
          </cell>
          <cell r="F212">
            <v>1784</v>
          </cell>
          <cell r="I212">
            <v>57444.800000000003</v>
          </cell>
          <cell r="J212">
            <v>32112</v>
          </cell>
          <cell r="K212">
            <v>62440</v>
          </cell>
          <cell r="L212">
            <v>45047</v>
          </cell>
        </row>
        <row r="213">
          <cell r="C213" t="str">
            <v>S04</v>
          </cell>
          <cell r="F213">
            <v>2780</v>
          </cell>
          <cell r="I213">
            <v>47037.599999999999</v>
          </cell>
          <cell r="J213">
            <v>25020</v>
          </cell>
          <cell r="K213">
            <v>50040</v>
          </cell>
          <cell r="L213">
            <v>45047</v>
          </cell>
        </row>
        <row r="214">
          <cell r="C214" t="str">
            <v>S04</v>
          </cell>
          <cell r="F214">
            <v>1924</v>
          </cell>
          <cell r="I214">
            <v>54256.800000000003</v>
          </cell>
          <cell r="J214">
            <v>26936</v>
          </cell>
          <cell r="K214">
            <v>57720</v>
          </cell>
          <cell r="L214">
            <v>45047</v>
          </cell>
        </row>
        <row r="215">
          <cell r="C215" t="str">
            <v>S04</v>
          </cell>
          <cell r="F215">
            <v>2664</v>
          </cell>
          <cell r="I215">
            <v>95904</v>
          </cell>
          <cell r="J215">
            <v>53280</v>
          </cell>
          <cell r="K215">
            <v>106560</v>
          </cell>
          <cell r="L215">
            <v>45047</v>
          </cell>
        </row>
        <row r="216">
          <cell r="C216" t="str">
            <v>S04</v>
          </cell>
          <cell r="F216">
            <v>1972</v>
          </cell>
          <cell r="I216">
            <v>18142.400000000001</v>
          </cell>
          <cell r="J216">
            <v>7888</v>
          </cell>
          <cell r="K216">
            <v>19720</v>
          </cell>
          <cell r="L216">
            <v>45047</v>
          </cell>
        </row>
        <row r="217">
          <cell r="C217" t="str">
            <v>S04</v>
          </cell>
          <cell r="F217">
            <v>1268</v>
          </cell>
          <cell r="I217">
            <v>25385.360000000001</v>
          </cell>
          <cell r="J217">
            <v>12680</v>
          </cell>
          <cell r="K217">
            <v>27896</v>
          </cell>
          <cell r="L217">
            <v>45047</v>
          </cell>
        </row>
        <row r="218">
          <cell r="C218" t="str">
            <v>S05</v>
          </cell>
          <cell r="F218">
            <v>2700</v>
          </cell>
          <cell r="I218">
            <v>60264</v>
          </cell>
          <cell r="J218">
            <v>32400</v>
          </cell>
          <cell r="K218">
            <v>64800</v>
          </cell>
          <cell r="L218">
            <v>45047</v>
          </cell>
        </row>
        <row r="219">
          <cell r="C219" t="str">
            <v>S05</v>
          </cell>
          <cell r="F219">
            <v>2040</v>
          </cell>
          <cell r="I219">
            <v>93840</v>
          </cell>
          <cell r="J219">
            <v>57120</v>
          </cell>
          <cell r="K219">
            <v>102000</v>
          </cell>
          <cell r="L219">
            <v>45047</v>
          </cell>
        </row>
        <row r="220">
          <cell r="C220" t="str">
            <v>S05</v>
          </cell>
          <cell r="F220">
            <v>2440</v>
          </cell>
          <cell r="I220">
            <v>62171.199999999997</v>
          </cell>
          <cell r="J220">
            <v>36600</v>
          </cell>
          <cell r="K220">
            <v>68320</v>
          </cell>
          <cell r="L220">
            <v>45047</v>
          </cell>
        </row>
        <row r="221">
          <cell r="C221" t="str">
            <v>S05</v>
          </cell>
          <cell r="F221">
            <v>2468</v>
          </cell>
          <cell r="I221">
            <v>78605.8</v>
          </cell>
          <cell r="J221">
            <v>44424</v>
          </cell>
          <cell r="K221">
            <v>86380</v>
          </cell>
          <cell r="L221">
            <v>45047</v>
          </cell>
        </row>
        <row r="222">
          <cell r="C222" t="str">
            <v>S05</v>
          </cell>
          <cell r="F222">
            <v>2348</v>
          </cell>
          <cell r="I222">
            <v>39728.160000000003</v>
          </cell>
          <cell r="J222">
            <v>21132</v>
          </cell>
          <cell r="K222">
            <v>42264</v>
          </cell>
          <cell r="L222">
            <v>45047</v>
          </cell>
        </row>
        <row r="223">
          <cell r="C223" t="str">
            <v>S05</v>
          </cell>
          <cell r="F223">
            <v>1476</v>
          </cell>
          <cell r="I223">
            <v>40737.599999999999</v>
          </cell>
          <cell r="J223">
            <v>20664</v>
          </cell>
          <cell r="K223">
            <v>44280</v>
          </cell>
          <cell r="L223">
            <v>45047</v>
          </cell>
        </row>
        <row r="224">
          <cell r="C224" t="str">
            <v>S05</v>
          </cell>
          <cell r="F224">
            <v>2360</v>
          </cell>
          <cell r="I224">
            <v>88736</v>
          </cell>
          <cell r="J224">
            <v>47200</v>
          </cell>
          <cell r="K224">
            <v>94400</v>
          </cell>
          <cell r="L224">
            <v>45047</v>
          </cell>
        </row>
        <row r="225">
          <cell r="C225" t="str">
            <v>S05</v>
          </cell>
          <cell r="F225">
            <v>1688</v>
          </cell>
          <cell r="I225">
            <v>15529.6</v>
          </cell>
          <cell r="J225">
            <v>6752</v>
          </cell>
          <cell r="K225">
            <v>16880</v>
          </cell>
          <cell r="L225">
            <v>45047</v>
          </cell>
        </row>
        <row r="226">
          <cell r="C226" t="str">
            <v>S05</v>
          </cell>
          <cell r="F226">
            <v>1260</v>
          </cell>
          <cell r="I226">
            <v>25225.200000000001</v>
          </cell>
          <cell r="J226">
            <v>12600</v>
          </cell>
          <cell r="K226">
            <v>27720</v>
          </cell>
          <cell r="L226">
            <v>45047</v>
          </cell>
        </row>
        <row r="227">
          <cell r="C227" t="str">
            <v>S01</v>
          </cell>
          <cell r="F227">
            <v>1368</v>
          </cell>
          <cell r="I227">
            <v>30533.759999999998</v>
          </cell>
          <cell r="J227">
            <v>16416</v>
          </cell>
          <cell r="K227">
            <v>32832</v>
          </cell>
          <cell r="L227">
            <v>45078</v>
          </cell>
        </row>
        <row r="228">
          <cell r="C228" t="str">
            <v>S01</v>
          </cell>
          <cell r="F228">
            <v>2596</v>
          </cell>
          <cell r="I228">
            <v>118118</v>
          </cell>
          <cell r="J228">
            <v>72688</v>
          </cell>
          <cell r="K228">
            <v>129800</v>
          </cell>
          <cell r="L228">
            <v>45078</v>
          </cell>
        </row>
        <row r="229">
          <cell r="C229" t="str">
            <v>S01</v>
          </cell>
          <cell r="F229">
            <v>2732</v>
          </cell>
          <cell r="I229">
            <v>70376.320000000007</v>
          </cell>
          <cell r="J229">
            <v>40980</v>
          </cell>
          <cell r="K229">
            <v>76496</v>
          </cell>
          <cell r="L229">
            <v>45078</v>
          </cell>
        </row>
        <row r="230">
          <cell r="C230" t="str">
            <v>S01</v>
          </cell>
          <cell r="F230">
            <v>2568</v>
          </cell>
          <cell r="I230">
            <v>83588.399999999994</v>
          </cell>
          <cell r="J230">
            <v>46224</v>
          </cell>
          <cell r="K230">
            <v>89880</v>
          </cell>
          <cell r="L230">
            <v>45078</v>
          </cell>
        </row>
        <row r="231">
          <cell r="C231" t="str">
            <v>S01</v>
          </cell>
          <cell r="F231">
            <v>1908</v>
          </cell>
          <cell r="I231">
            <v>32626.799999999999</v>
          </cell>
          <cell r="J231">
            <v>17172</v>
          </cell>
          <cell r="K231">
            <v>34344</v>
          </cell>
          <cell r="L231">
            <v>45078</v>
          </cell>
        </row>
        <row r="232">
          <cell r="C232" t="str">
            <v>S01</v>
          </cell>
          <cell r="F232">
            <v>1328</v>
          </cell>
          <cell r="I232">
            <v>36652.800000000003</v>
          </cell>
          <cell r="J232">
            <v>18592</v>
          </cell>
          <cell r="K232">
            <v>39840</v>
          </cell>
          <cell r="L232">
            <v>45078</v>
          </cell>
        </row>
        <row r="233">
          <cell r="C233" t="str">
            <v>S01</v>
          </cell>
          <cell r="F233">
            <v>2056</v>
          </cell>
          <cell r="I233">
            <v>77305.600000000006</v>
          </cell>
          <cell r="J233">
            <v>41120</v>
          </cell>
          <cell r="K233">
            <v>82240</v>
          </cell>
          <cell r="L233">
            <v>45078</v>
          </cell>
        </row>
        <row r="234">
          <cell r="C234" t="str">
            <v>S01</v>
          </cell>
          <cell r="F234">
            <v>1632</v>
          </cell>
          <cell r="I234">
            <v>15014.4</v>
          </cell>
          <cell r="J234">
            <v>6528</v>
          </cell>
          <cell r="K234">
            <v>16320</v>
          </cell>
          <cell r="L234">
            <v>45078</v>
          </cell>
        </row>
        <row r="235">
          <cell r="C235" t="str">
            <v>S01</v>
          </cell>
          <cell r="F235">
            <v>2640</v>
          </cell>
          <cell r="I235">
            <v>52272</v>
          </cell>
          <cell r="J235">
            <v>26400</v>
          </cell>
          <cell r="K235">
            <v>58080</v>
          </cell>
          <cell r="L235">
            <v>45078</v>
          </cell>
        </row>
        <row r="236">
          <cell r="C236" t="str">
            <v>S02</v>
          </cell>
          <cell r="F236">
            <v>1636</v>
          </cell>
          <cell r="I236">
            <v>36122.879999999997</v>
          </cell>
          <cell r="J236">
            <v>19632</v>
          </cell>
          <cell r="K236">
            <v>39264</v>
          </cell>
          <cell r="L236">
            <v>45078</v>
          </cell>
        </row>
        <row r="237">
          <cell r="C237" t="str">
            <v>S02</v>
          </cell>
          <cell r="F237">
            <v>2100</v>
          </cell>
          <cell r="I237">
            <v>97650</v>
          </cell>
          <cell r="J237">
            <v>58800</v>
          </cell>
          <cell r="K237">
            <v>105000</v>
          </cell>
          <cell r="L237">
            <v>45078</v>
          </cell>
        </row>
        <row r="238">
          <cell r="C238" t="str">
            <v>S02</v>
          </cell>
          <cell r="F238">
            <v>1780</v>
          </cell>
          <cell r="I238">
            <v>46351.199999999997</v>
          </cell>
          <cell r="J238">
            <v>26700</v>
          </cell>
          <cell r="K238">
            <v>49840</v>
          </cell>
          <cell r="L238">
            <v>45078</v>
          </cell>
        </row>
        <row r="239">
          <cell r="C239" t="str">
            <v>S02</v>
          </cell>
          <cell r="F239">
            <v>2124</v>
          </cell>
          <cell r="I239">
            <v>68392.800000000003</v>
          </cell>
          <cell r="J239">
            <v>38232</v>
          </cell>
          <cell r="K239">
            <v>74340</v>
          </cell>
          <cell r="L239">
            <v>45078</v>
          </cell>
        </row>
        <row r="240">
          <cell r="C240" t="str">
            <v>S02</v>
          </cell>
          <cell r="F240">
            <v>2752</v>
          </cell>
          <cell r="I240">
            <v>45573.120000000003</v>
          </cell>
          <cell r="J240">
            <v>24768</v>
          </cell>
          <cell r="K240">
            <v>49536</v>
          </cell>
          <cell r="L240">
            <v>45078</v>
          </cell>
        </row>
        <row r="241">
          <cell r="C241" t="str">
            <v>S02</v>
          </cell>
          <cell r="F241">
            <v>1640</v>
          </cell>
          <cell r="I241">
            <v>45756</v>
          </cell>
          <cell r="J241">
            <v>22960</v>
          </cell>
          <cell r="K241">
            <v>49200</v>
          </cell>
          <cell r="L241">
            <v>45078</v>
          </cell>
        </row>
        <row r="242">
          <cell r="C242" t="str">
            <v>S02</v>
          </cell>
          <cell r="F242">
            <v>2112</v>
          </cell>
          <cell r="I242">
            <v>76032</v>
          </cell>
          <cell r="J242">
            <v>42240</v>
          </cell>
          <cell r="K242">
            <v>84480</v>
          </cell>
          <cell r="L242">
            <v>45078</v>
          </cell>
        </row>
        <row r="243">
          <cell r="C243" t="str">
            <v>S02</v>
          </cell>
          <cell r="F243">
            <v>2440</v>
          </cell>
          <cell r="I243">
            <v>22204</v>
          </cell>
          <cell r="J243">
            <v>9760</v>
          </cell>
          <cell r="K243">
            <v>24400</v>
          </cell>
          <cell r="L243">
            <v>45078</v>
          </cell>
        </row>
        <row r="244">
          <cell r="C244" t="str">
            <v>S02</v>
          </cell>
          <cell r="F244">
            <v>2568</v>
          </cell>
          <cell r="I244">
            <v>52541.279999999999</v>
          </cell>
          <cell r="J244">
            <v>25680</v>
          </cell>
          <cell r="K244">
            <v>56496</v>
          </cell>
          <cell r="L244">
            <v>45078</v>
          </cell>
        </row>
        <row r="245">
          <cell r="C245" t="str">
            <v>S03</v>
          </cell>
          <cell r="F245">
            <v>2188</v>
          </cell>
          <cell r="I245">
            <v>47260.800000000003</v>
          </cell>
          <cell r="J245">
            <v>26256</v>
          </cell>
          <cell r="K245">
            <v>52512</v>
          </cell>
          <cell r="L245">
            <v>45078</v>
          </cell>
        </row>
        <row r="246">
          <cell r="C246" t="str">
            <v>S03</v>
          </cell>
          <cell r="F246">
            <v>2304</v>
          </cell>
          <cell r="I246">
            <v>108288</v>
          </cell>
          <cell r="J246">
            <v>64512</v>
          </cell>
          <cell r="K246">
            <v>115200</v>
          </cell>
          <cell r="L246">
            <v>45078</v>
          </cell>
        </row>
        <row r="247">
          <cell r="C247" t="str">
            <v>S03</v>
          </cell>
          <cell r="F247">
            <v>1244</v>
          </cell>
          <cell r="I247">
            <v>32393.759999999998</v>
          </cell>
          <cell r="J247">
            <v>18660</v>
          </cell>
          <cell r="K247">
            <v>34832</v>
          </cell>
          <cell r="L247">
            <v>45078</v>
          </cell>
        </row>
        <row r="248">
          <cell r="C248" t="str">
            <v>S03</v>
          </cell>
          <cell r="F248">
            <v>2088</v>
          </cell>
          <cell r="I248">
            <v>67964.399999999994</v>
          </cell>
          <cell r="J248">
            <v>37584</v>
          </cell>
          <cell r="K248">
            <v>73080</v>
          </cell>
          <cell r="L248">
            <v>45078</v>
          </cell>
        </row>
        <row r="249">
          <cell r="C249" t="str">
            <v>S03</v>
          </cell>
          <cell r="F249">
            <v>2184</v>
          </cell>
          <cell r="I249">
            <v>35380.800000000003</v>
          </cell>
          <cell r="J249">
            <v>19656</v>
          </cell>
          <cell r="K249">
            <v>39312</v>
          </cell>
          <cell r="L249">
            <v>45078</v>
          </cell>
        </row>
        <row r="250">
          <cell r="C250" t="str">
            <v>S03</v>
          </cell>
          <cell r="F250">
            <v>2184</v>
          </cell>
          <cell r="I250">
            <v>60278.400000000001</v>
          </cell>
          <cell r="J250">
            <v>30576</v>
          </cell>
          <cell r="K250">
            <v>65520</v>
          </cell>
          <cell r="L250">
            <v>45078</v>
          </cell>
        </row>
        <row r="251">
          <cell r="C251" t="str">
            <v>S03</v>
          </cell>
          <cell r="F251">
            <v>1884</v>
          </cell>
          <cell r="I251">
            <v>69331.199999999997</v>
          </cell>
          <cell r="J251">
            <v>37680</v>
          </cell>
          <cell r="K251">
            <v>75360</v>
          </cell>
          <cell r="L251">
            <v>45078</v>
          </cell>
        </row>
        <row r="252">
          <cell r="C252" t="str">
            <v>S03</v>
          </cell>
          <cell r="F252">
            <v>2168</v>
          </cell>
          <cell r="I252">
            <v>20379.2</v>
          </cell>
          <cell r="J252">
            <v>8672</v>
          </cell>
          <cell r="K252">
            <v>21680</v>
          </cell>
          <cell r="L252">
            <v>45078</v>
          </cell>
        </row>
        <row r="253">
          <cell r="C253" t="str">
            <v>S03</v>
          </cell>
          <cell r="F253">
            <v>2584</v>
          </cell>
          <cell r="I253">
            <v>51731.68</v>
          </cell>
          <cell r="J253">
            <v>25840</v>
          </cell>
          <cell r="K253">
            <v>56848</v>
          </cell>
          <cell r="L253">
            <v>45078</v>
          </cell>
        </row>
        <row r="254">
          <cell r="C254" t="str">
            <v>S04</v>
          </cell>
          <cell r="F254">
            <v>1868</v>
          </cell>
          <cell r="I254">
            <v>40797.120000000003</v>
          </cell>
          <cell r="J254">
            <v>22416</v>
          </cell>
          <cell r="K254">
            <v>44832</v>
          </cell>
          <cell r="L254">
            <v>45078</v>
          </cell>
        </row>
        <row r="255">
          <cell r="C255" t="str">
            <v>S04</v>
          </cell>
          <cell r="F255">
            <v>1896</v>
          </cell>
          <cell r="I255">
            <v>88164</v>
          </cell>
          <cell r="J255">
            <v>53088</v>
          </cell>
          <cell r="K255">
            <v>94800</v>
          </cell>
          <cell r="L255">
            <v>45078</v>
          </cell>
        </row>
        <row r="256">
          <cell r="C256" t="str">
            <v>S04</v>
          </cell>
          <cell r="F256">
            <v>2120</v>
          </cell>
          <cell r="I256">
            <v>56392</v>
          </cell>
          <cell r="J256">
            <v>31800</v>
          </cell>
          <cell r="K256">
            <v>59360</v>
          </cell>
          <cell r="L256">
            <v>45078</v>
          </cell>
        </row>
        <row r="257">
          <cell r="C257" t="str">
            <v>S04</v>
          </cell>
          <cell r="F257">
            <v>1288</v>
          </cell>
          <cell r="I257">
            <v>41473.599999999999</v>
          </cell>
          <cell r="J257">
            <v>23184</v>
          </cell>
          <cell r="K257">
            <v>45080</v>
          </cell>
          <cell r="L257">
            <v>45078</v>
          </cell>
        </row>
        <row r="258">
          <cell r="C258" t="str">
            <v>S04</v>
          </cell>
          <cell r="F258">
            <v>2624</v>
          </cell>
          <cell r="I258">
            <v>43925.760000000002</v>
          </cell>
          <cell r="J258">
            <v>23616</v>
          </cell>
          <cell r="K258">
            <v>47232</v>
          </cell>
          <cell r="L258">
            <v>45078</v>
          </cell>
        </row>
        <row r="259">
          <cell r="C259" t="str">
            <v>S04</v>
          </cell>
          <cell r="F259">
            <v>2232</v>
          </cell>
          <cell r="I259">
            <v>60264</v>
          </cell>
          <cell r="J259">
            <v>31248</v>
          </cell>
          <cell r="K259">
            <v>66960</v>
          </cell>
          <cell r="L259">
            <v>45078</v>
          </cell>
        </row>
        <row r="260">
          <cell r="C260" t="str">
            <v>S04</v>
          </cell>
          <cell r="F260">
            <v>2216</v>
          </cell>
          <cell r="I260">
            <v>81548.800000000003</v>
          </cell>
          <cell r="J260">
            <v>44320</v>
          </cell>
          <cell r="K260">
            <v>88640</v>
          </cell>
          <cell r="L260">
            <v>45078</v>
          </cell>
        </row>
        <row r="261">
          <cell r="C261" t="str">
            <v>S04</v>
          </cell>
          <cell r="F261">
            <v>1440</v>
          </cell>
          <cell r="I261">
            <v>13248</v>
          </cell>
          <cell r="J261">
            <v>5760</v>
          </cell>
          <cell r="K261">
            <v>14400</v>
          </cell>
          <cell r="L261">
            <v>45078</v>
          </cell>
        </row>
        <row r="262">
          <cell r="C262" t="str">
            <v>S04</v>
          </cell>
          <cell r="F262">
            <v>2020</v>
          </cell>
          <cell r="I262">
            <v>40440.400000000001</v>
          </cell>
          <cell r="J262">
            <v>20200</v>
          </cell>
          <cell r="K262">
            <v>44440</v>
          </cell>
          <cell r="L262">
            <v>45078</v>
          </cell>
        </row>
        <row r="263">
          <cell r="C263" t="str">
            <v>S05</v>
          </cell>
          <cell r="F263">
            <v>1592</v>
          </cell>
          <cell r="I263">
            <v>35915.519999999997</v>
          </cell>
          <cell r="J263">
            <v>19104</v>
          </cell>
          <cell r="K263">
            <v>38208</v>
          </cell>
          <cell r="L263">
            <v>45078</v>
          </cell>
        </row>
        <row r="264">
          <cell r="C264" t="str">
            <v>S05</v>
          </cell>
          <cell r="F264">
            <v>2660</v>
          </cell>
          <cell r="I264">
            <v>122360</v>
          </cell>
          <cell r="J264">
            <v>74480</v>
          </cell>
          <cell r="K264">
            <v>133000</v>
          </cell>
          <cell r="L264">
            <v>45078</v>
          </cell>
        </row>
        <row r="265">
          <cell r="C265" t="str">
            <v>S05</v>
          </cell>
          <cell r="F265">
            <v>2000</v>
          </cell>
          <cell r="I265">
            <v>52080</v>
          </cell>
          <cell r="J265">
            <v>30000</v>
          </cell>
          <cell r="K265">
            <v>56000</v>
          </cell>
          <cell r="L265">
            <v>45078</v>
          </cell>
        </row>
        <row r="266">
          <cell r="C266" t="str">
            <v>S05</v>
          </cell>
          <cell r="F266">
            <v>2192</v>
          </cell>
          <cell r="I266">
            <v>72884</v>
          </cell>
          <cell r="J266">
            <v>39456</v>
          </cell>
          <cell r="K266">
            <v>76720</v>
          </cell>
          <cell r="L266">
            <v>45078</v>
          </cell>
        </row>
        <row r="267">
          <cell r="C267" t="str">
            <v>S05</v>
          </cell>
          <cell r="F267">
            <v>1404</v>
          </cell>
          <cell r="I267">
            <v>24008.400000000001</v>
          </cell>
          <cell r="J267">
            <v>12636</v>
          </cell>
          <cell r="K267">
            <v>25272</v>
          </cell>
          <cell r="L267">
            <v>45078</v>
          </cell>
        </row>
        <row r="268">
          <cell r="C268" t="str">
            <v>S05</v>
          </cell>
          <cell r="F268">
            <v>1608</v>
          </cell>
          <cell r="I268">
            <v>45828</v>
          </cell>
          <cell r="J268">
            <v>22512</v>
          </cell>
          <cell r="K268">
            <v>48240</v>
          </cell>
          <cell r="L268">
            <v>45078</v>
          </cell>
        </row>
        <row r="269">
          <cell r="C269" t="str">
            <v>S05</v>
          </cell>
          <cell r="F269">
            <v>1628</v>
          </cell>
          <cell r="I269">
            <v>59910.400000000001</v>
          </cell>
          <cell r="J269">
            <v>32560</v>
          </cell>
          <cell r="K269">
            <v>65120</v>
          </cell>
          <cell r="L269">
            <v>45078</v>
          </cell>
        </row>
        <row r="270">
          <cell r="C270" t="str">
            <v>S05</v>
          </cell>
          <cell r="F270">
            <v>1560</v>
          </cell>
          <cell r="I270">
            <v>14352</v>
          </cell>
          <cell r="J270">
            <v>6240</v>
          </cell>
          <cell r="K270">
            <v>15600</v>
          </cell>
          <cell r="L270">
            <v>45078</v>
          </cell>
        </row>
        <row r="271">
          <cell r="C271" t="str">
            <v>S05</v>
          </cell>
          <cell r="F271">
            <v>1440</v>
          </cell>
          <cell r="I271">
            <v>29779.200000000001</v>
          </cell>
          <cell r="J271">
            <v>14400</v>
          </cell>
          <cell r="K271">
            <v>31680</v>
          </cell>
          <cell r="L271">
            <v>45078</v>
          </cell>
        </row>
        <row r="272">
          <cell r="C272" t="str">
            <v>S01</v>
          </cell>
          <cell r="F272">
            <v>1716</v>
          </cell>
          <cell r="I272">
            <v>37477.440000000002</v>
          </cell>
          <cell r="J272">
            <v>20592</v>
          </cell>
          <cell r="K272">
            <v>41184</v>
          </cell>
          <cell r="L272">
            <v>45108</v>
          </cell>
        </row>
        <row r="273">
          <cell r="C273" t="str">
            <v>S01</v>
          </cell>
          <cell r="F273">
            <v>2472</v>
          </cell>
          <cell r="I273">
            <v>116184</v>
          </cell>
          <cell r="J273">
            <v>69216</v>
          </cell>
          <cell r="K273">
            <v>123600</v>
          </cell>
          <cell r="L273">
            <v>45108</v>
          </cell>
        </row>
        <row r="274">
          <cell r="C274" t="str">
            <v>S01</v>
          </cell>
          <cell r="F274">
            <v>1264</v>
          </cell>
          <cell r="I274">
            <v>33622.400000000001</v>
          </cell>
          <cell r="J274">
            <v>18960</v>
          </cell>
          <cell r="K274">
            <v>35392</v>
          </cell>
          <cell r="L274">
            <v>45108</v>
          </cell>
        </row>
        <row r="275">
          <cell r="C275" t="str">
            <v>S01</v>
          </cell>
          <cell r="F275">
            <v>2616</v>
          </cell>
          <cell r="I275">
            <v>84235.199999999997</v>
          </cell>
          <cell r="J275">
            <v>47088</v>
          </cell>
          <cell r="K275">
            <v>91560</v>
          </cell>
          <cell r="L275">
            <v>45108</v>
          </cell>
        </row>
        <row r="276">
          <cell r="C276" t="str">
            <v>S01</v>
          </cell>
          <cell r="F276">
            <v>1952</v>
          </cell>
          <cell r="I276">
            <v>32325.119999999999</v>
          </cell>
          <cell r="J276">
            <v>17568</v>
          </cell>
          <cell r="K276">
            <v>35136</v>
          </cell>
          <cell r="L276">
            <v>45108</v>
          </cell>
        </row>
        <row r="277">
          <cell r="C277" t="str">
            <v>S01</v>
          </cell>
          <cell r="F277">
            <v>2436</v>
          </cell>
          <cell r="I277">
            <v>68695.199999999997</v>
          </cell>
          <cell r="J277">
            <v>34104</v>
          </cell>
          <cell r="K277">
            <v>73080</v>
          </cell>
          <cell r="L277">
            <v>45108</v>
          </cell>
        </row>
        <row r="278">
          <cell r="C278" t="str">
            <v>S01</v>
          </cell>
          <cell r="F278">
            <v>2596</v>
          </cell>
          <cell r="I278">
            <v>96571.199999999997</v>
          </cell>
          <cell r="J278">
            <v>51920</v>
          </cell>
          <cell r="K278">
            <v>103840</v>
          </cell>
          <cell r="L278">
            <v>45108</v>
          </cell>
        </row>
        <row r="279">
          <cell r="C279" t="str">
            <v>S01</v>
          </cell>
          <cell r="F279">
            <v>2756</v>
          </cell>
          <cell r="I279">
            <v>24804</v>
          </cell>
          <cell r="J279">
            <v>11024</v>
          </cell>
          <cell r="K279">
            <v>27560</v>
          </cell>
          <cell r="L279">
            <v>45108</v>
          </cell>
        </row>
        <row r="280">
          <cell r="C280" t="str">
            <v>S01</v>
          </cell>
          <cell r="F280">
            <v>1708</v>
          </cell>
          <cell r="I280">
            <v>34194.160000000003</v>
          </cell>
          <cell r="J280">
            <v>17080</v>
          </cell>
          <cell r="K280">
            <v>37576</v>
          </cell>
          <cell r="L280">
            <v>45108</v>
          </cell>
        </row>
        <row r="281">
          <cell r="C281" t="str">
            <v>S02</v>
          </cell>
          <cell r="F281">
            <v>1672</v>
          </cell>
          <cell r="I281">
            <v>36115.199999999997</v>
          </cell>
          <cell r="J281">
            <v>20064</v>
          </cell>
          <cell r="K281">
            <v>40128</v>
          </cell>
          <cell r="L281">
            <v>45108</v>
          </cell>
        </row>
        <row r="282">
          <cell r="C282" t="str">
            <v>S02</v>
          </cell>
          <cell r="F282">
            <v>2652</v>
          </cell>
          <cell r="I282">
            <v>125970</v>
          </cell>
          <cell r="J282">
            <v>74256</v>
          </cell>
          <cell r="K282">
            <v>132600</v>
          </cell>
          <cell r="L282">
            <v>45108</v>
          </cell>
        </row>
        <row r="283">
          <cell r="C283" t="str">
            <v>S02</v>
          </cell>
          <cell r="F283">
            <v>1572</v>
          </cell>
          <cell r="I283">
            <v>40494.720000000001</v>
          </cell>
          <cell r="J283">
            <v>23580</v>
          </cell>
          <cell r="K283">
            <v>44016</v>
          </cell>
          <cell r="L283">
            <v>45108</v>
          </cell>
        </row>
        <row r="284">
          <cell r="C284" t="str">
            <v>S02</v>
          </cell>
          <cell r="F284">
            <v>2036</v>
          </cell>
          <cell r="I284">
            <v>64846.6</v>
          </cell>
          <cell r="J284">
            <v>36648</v>
          </cell>
          <cell r="K284">
            <v>71260</v>
          </cell>
          <cell r="L284">
            <v>45108</v>
          </cell>
        </row>
        <row r="285">
          <cell r="C285" t="str">
            <v>S02</v>
          </cell>
          <cell r="F285">
            <v>1356</v>
          </cell>
          <cell r="I285">
            <v>22943.52</v>
          </cell>
          <cell r="J285">
            <v>12204</v>
          </cell>
          <cell r="K285">
            <v>24408</v>
          </cell>
          <cell r="L285">
            <v>45108</v>
          </cell>
        </row>
        <row r="286">
          <cell r="C286" t="str">
            <v>S02</v>
          </cell>
          <cell r="F286">
            <v>1276</v>
          </cell>
          <cell r="I286">
            <v>36366</v>
          </cell>
          <cell r="J286">
            <v>17864</v>
          </cell>
          <cell r="K286">
            <v>38280</v>
          </cell>
          <cell r="L286">
            <v>45108</v>
          </cell>
        </row>
        <row r="287">
          <cell r="C287" t="str">
            <v>S02</v>
          </cell>
          <cell r="F287">
            <v>1816</v>
          </cell>
          <cell r="I287">
            <v>65376</v>
          </cell>
          <cell r="J287">
            <v>36320</v>
          </cell>
          <cell r="K287">
            <v>72640</v>
          </cell>
          <cell r="L287">
            <v>45108</v>
          </cell>
        </row>
        <row r="288">
          <cell r="C288" t="str">
            <v>S02</v>
          </cell>
          <cell r="F288">
            <v>1672</v>
          </cell>
          <cell r="I288">
            <v>15048</v>
          </cell>
          <cell r="J288">
            <v>6688</v>
          </cell>
          <cell r="K288">
            <v>16720</v>
          </cell>
          <cell r="L288">
            <v>45108</v>
          </cell>
        </row>
        <row r="289">
          <cell r="C289" t="str">
            <v>S02</v>
          </cell>
          <cell r="F289">
            <v>1448</v>
          </cell>
          <cell r="I289">
            <v>28988.959999999999</v>
          </cell>
          <cell r="J289">
            <v>14480</v>
          </cell>
          <cell r="K289">
            <v>31856</v>
          </cell>
          <cell r="L289">
            <v>45108</v>
          </cell>
        </row>
        <row r="290">
          <cell r="C290" t="str">
            <v>S03</v>
          </cell>
          <cell r="F290">
            <v>2596</v>
          </cell>
          <cell r="I290">
            <v>58565.760000000002</v>
          </cell>
          <cell r="J290">
            <v>31152</v>
          </cell>
          <cell r="K290">
            <v>62304</v>
          </cell>
          <cell r="L290">
            <v>45108</v>
          </cell>
        </row>
        <row r="291">
          <cell r="C291" t="str">
            <v>S03</v>
          </cell>
          <cell r="F291">
            <v>1524</v>
          </cell>
          <cell r="I291">
            <v>68580</v>
          </cell>
          <cell r="J291">
            <v>42672</v>
          </cell>
          <cell r="K291">
            <v>76200</v>
          </cell>
          <cell r="L291">
            <v>45108</v>
          </cell>
        </row>
        <row r="292">
          <cell r="C292" t="str">
            <v>S03</v>
          </cell>
          <cell r="F292">
            <v>1536</v>
          </cell>
          <cell r="I292">
            <v>39567.360000000001</v>
          </cell>
          <cell r="J292">
            <v>23040</v>
          </cell>
          <cell r="K292">
            <v>43008</v>
          </cell>
          <cell r="L292">
            <v>45108</v>
          </cell>
        </row>
        <row r="293">
          <cell r="C293" t="str">
            <v>S03</v>
          </cell>
          <cell r="F293">
            <v>1848</v>
          </cell>
          <cell r="I293">
            <v>60799.199999999997</v>
          </cell>
          <cell r="J293">
            <v>33264</v>
          </cell>
          <cell r="K293">
            <v>64680</v>
          </cell>
          <cell r="L293">
            <v>45108</v>
          </cell>
        </row>
        <row r="294">
          <cell r="C294" t="str">
            <v>S03</v>
          </cell>
          <cell r="F294">
            <v>2188</v>
          </cell>
          <cell r="I294">
            <v>37414.800000000003</v>
          </cell>
          <cell r="J294">
            <v>19692</v>
          </cell>
          <cell r="K294">
            <v>39384</v>
          </cell>
          <cell r="L294">
            <v>45108</v>
          </cell>
        </row>
        <row r="295">
          <cell r="C295" t="str">
            <v>S03</v>
          </cell>
          <cell r="F295">
            <v>1236</v>
          </cell>
          <cell r="I295">
            <v>33742.800000000003</v>
          </cell>
          <cell r="J295">
            <v>17304</v>
          </cell>
          <cell r="K295">
            <v>37080</v>
          </cell>
          <cell r="L295">
            <v>45108</v>
          </cell>
        </row>
        <row r="296">
          <cell r="C296" t="str">
            <v>S03</v>
          </cell>
          <cell r="F296">
            <v>1256</v>
          </cell>
          <cell r="I296">
            <v>45718.400000000001</v>
          </cell>
          <cell r="J296">
            <v>25120</v>
          </cell>
          <cell r="K296">
            <v>50240</v>
          </cell>
          <cell r="L296">
            <v>45108</v>
          </cell>
        </row>
        <row r="297">
          <cell r="C297" t="str">
            <v>S03</v>
          </cell>
          <cell r="F297">
            <v>1384</v>
          </cell>
          <cell r="I297">
            <v>12732.8</v>
          </cell>
          <cell r="J297">
            <v>5536</v>
          </cell>
          <cell r="K297">
            <v>13840</v>
          </cell>
          <cell r="L297">
            <v>45108</v>
          </cell>
        </row>
        <row r="298">
          <cell r="C298" t="str">
            <v>S03</v>
          </cell>
          <cell r="F298">
            <v>2032</v>
          </cell>
          <cell r="I298">
            <v>42021.760000000002</v>
          </cell>
          <cell r="J298">
            <v>20320</v>
          </cell>
          <cell r="K298">
            <v>44704</v>
          </cell>
          <cell r="L298">
            <v>45108</v>
          </cell>
        </row>
        <row r="299">
          <cell r="C299" t="str">
            <v>S04</v>
          </cell>
          <cell r="F299">
            <v>2368</v>
          </cell>
          <cell r="I299">
            <v>51717.120000000003</v>
          </cell>
          <cell r="J299">
            <v>28416</v>
          </cell>
          <cell r="K299">
            <v>56832</v>
          </cell>
          <cell r="L299">
            <v>45108</v>
          </cell>
        </row>
        <row r="300">
          <cell r="C300" t="str">
            <v>S04</v>
          </cell>
          <cell r="F300">
            <v>1724</v>
          </cell>
          <cell r="I300">
            <v>78442</v>
          </cell>
          <cell r="J300">
            <v>48272</v>
          </cell>
          <cell r="K300">
            <v>86200</v>
          </cell>
          <cell r="L300">
            <v>45108</v>
          </cell>
        </row>
        <row r="301">
          <cell r="C301" t="str">
            <v>S04</v>
          </cell>
          <cell r="F301">
            <v>1808</v>
          </cell>
          <cell r="I301">
            <v>47586.559999999998</v>
          </cell>
          <cell r="J301">
            <v>27120</v>
          </cell>
          <cell r="K301">
            <v>50624</v>
          </cell>
          <cell r="L301">
            <v>45108</v>
          </cell>
        </row>
        <row r="302">
          <cell r="C302" t="str">
            <v>S04</v>
          </cell>
          <cell r="F302">
            <v>1684</v>
          </cell>
          <cell r="I302">
            <v>55993</v>
          </cell>
          <cell r="J302">
            <v>30312</v>
          </cell>
          <cell r="K302">
            <v>58940</v>
          </cell>
          <cell r="L302">
            <v>45108</v>
          </cell>
        </row>
        <row r="303">
          <cell r="C303" t="str">
            <v>S04</v>
          </cell>
          <cell r="F303">
            <v>1208</v>
          </cell>
          <cell r="I303">
            <v>20221.919999999998</v>
          </cell>
          <cell r="J303">
            <v>10872</v>
          </cell>
          <cell r="K303">
            <v>21744</v>
          </cell>
          <cell r="L303">
            <v>45108</v>
          </cell>
        </row>
        <row r="304">
          <cell r="C304" t="str">
            <v>S04</v>
          </cell>
          <cell r="F304">
            <v>1604</v>
          </cell>
          <cell r="I304">
            <v>43789.2</v>
          </cell>
          <cell r="J304">
            <v>22456</v>
          </cell>
          <cell r="K304">
            <v>48120</v>
          </cell>
          <cell r="L304">
            <v>45108</v>
          </cell>
        </row>
        <row r="305">
          <cell r="C305" t="str">
            <v>S04</v>
          </cell>
          <cell r="F305">
            <v>1540</v>
          </cell>
          <cell r="I305">
            <v>57288</v>
          </cell>
          <cell r="J305">
            <v>30800</v>
          </cell>
          <cell r="K305">
            <v>61600</v>
          </cell>
          <cell r="L305">
            <v>45108</v>
          </cell>
        </row>
        <row r="306">
          <cell r="C306" t="str">
            <v>S04</v>
          </cell>
          <cell r="F306">
            <v>1724</v>
          </cell>
          <cell r="I306">
            <v>16378</v>
          </cell>
          <cell r="J306">
            <v>6896</v>
          </cell>
          <cell r="K306">
            <v>17240</v>
          </cell>
          <cell r="L306">
            <v>45108</v>
          </cell>
        </row>
        <row r="307">
          <cell r="C307" t="str">
            <v>S04</v>
          </cell>
          <cell r="F307">
            <v>2116</v>
          </cell>
          <cell r="I307">
            <v>42827.839999999997</v>
          </cell>
          <cell r="J307">
            <v>21160</v>
          </cell>
          <cell r="K307">
            <v>46552</v>
          </cell>
          <cell r="L307">
            <v>45108</v>
          </cell>
        </row>
        <row r="308">
          <cell r="C308" t="str">
            <v>S05</v>
          </cell>
          <cell r="F308">
            <v>2452</v>
          </cell>
          <cell r="I308">
            <v>54140.160000000003</v>
          </cell>
          <cell r="J308">
            <v>29424</v>
          </cell>
          <cell r="K308">
            <v>58848</v>
          </cell>
          <cell r="L308">
            <v>45108</v>
          </cell>
        </row>
        <row r="309">
          <cell r="C309" t="str">
            <v>S05</v>
          </cell>
          <cell r="F309">
            <v>1388</v>
          </cell>
          <cell r="I309">
            <v>63848</v>
          </cell>
          <cell r="J309">
            <v>38864</v>
          </cell>
          <cell r="K309">
            <v>69400</v>
          </cell>
          <cell r="L309">
            <v>45108</v>
          </cell>
        </row>
        <row r="310">
          <cell r="C310" t="str">
            <v>S05</v>
          </cell>
          <cell r="F310">
            <v>2596</v>
          </cell>
          <cell r="I310">
            <v>69053.600000000006</v>
          </cell>
          <cell r="J310">
            <v>38940</v>
          </cell>
          <cell r="K310">
            <v>72688</v>
          </cell>
          <cell r="L310">
            <v>45108</v>
          </cell>
        </row>
        <row r="311">
          <cell r="C311" t="str">
            <v>S05</v>
          </cell>
          <cell r="F311">
            <v>1368</v>
          </cell>
          <cell r="I311">
            <v>45007.199999999997</v>
          </cell>
          <cell r="J311">
            <v>24624</v>
          </cell>
          <cell r="K311">
            <v>47880</v>
          </cell>
          <cell r="L311">
            <v>45108</v>
          </cell>
        </row>
        <row r="312">
          <cell r="C312" t="str">
            <v>S05</v>
          </cell>
          <cell r="F312">
            <v>1884</v>
          </cell>
          <cell r="I312">
            <v>32216.400000000001</v>
          </cell>
          <cell r="J312">
            <v>16956</v>
          </cell>
          <cell r="K312">
            <v>33912</v>
          </cell>
          <cell r="L312">
            <v>45108</v>
          </cell>
        </row>
        <row r="313">
          <cell r="C313" t="str">
            <v>S05</v>
          </cell>
          <cell r="F313">
            <v>2532</v>
          </cell>
          <cell r="I313">
            <v>71402.399999999994</v>
          </cell>
          <cell r="J313">
            <v>35448</v>
          </cell>
          <cell r="K313">
            <v>75960</v>
          </cell>
          <cell r="L313">
            <v>45108</v>
          </cell>
        </row>
        <row r="314">
          <cell r="C314" t="str">
            <v>S05</v>
          </cell>
          <cell r="F314">
            <v>1352</v>
          </cell>
          <cell r="I314">
            <v>49212.800000000003</v>
          </cell>
          <cell r="J314">
            <v>27040</v>
          </cell>
          <cell r="K314">
            <v>54080</v>
          </cell>
          <cell r="L314">
            <v>45108</v>
          </cell>
        </row>
        <row r="315">
          <cell r="C315" t="str">
            <v>S05</v>
          </cell>
          <cell r="F315">
            <v>2032</v>
          </cell>
          <cell r="I315">
            <v>18897.599999999999</v>
          </cell>
          <cell r="J315">
            <v>8128</v>
          </cell>
          <cell r="K315">
            <v>20320</v>
          </cell>
          <cell r="L315">
            <v>45108</v>
          </cell>
        </row>
        <row r="316">
          <cell r="C316" t="str">
            <v>S05</v>
          </cell>
          <cell r="F316">
            <v>1888</v>
          </cell>
          <cell r="I316">
            <v>37797.760000000002</v>
          </cell>
          <cell r="J316">
            <v>18880</v>
          </cell>
          <cell r="K316">
            <v>41536</v>
          </cell>
          <cell r="L316">
            <v>45108</v>
          </cell>
        </row>
        <row r="317">
          <cell r="C317" t="str">
            <v>S01</v>
          </cell>
          <cell r="F317">
            <v>1916</v>
          </cell>
          <cell r="I317">
            <v>41845.440000000002</v>
          </cell>
          <cell r="J317">
            <v>22992</v>
          </cell>
          <cell r="K317">
            <v>45984</v>
          </cell>
          <cell r="L317">
            <v>45139</v>
          </cell>
        </row>
        <row r="318">
          <cell r="C318" t="str">
            <v>S01</v>
          </cell>
          <cell r="F318">
            <v>1300</v>
          </cell>
          <cell r="I318">
            <v>60450</v>
          </cell>
          <cell r="J318">
            <v>36400</v>
          </cell>
          <cell r="K318">
            <v>65000</v>
          </cell>
          <cell r="L318">
            <v>45139</v>
          </cell>
        </row>
        <row r="319">
          <cell r="C319" t="str">
            <v>S01</v>
          </cell>
          <cell r="F319">
            <v>2728</v>
          </cell>
          <cell r="I319">
            <v>71800.960000000006</v>
          </cell>
          <cell r="J319">
            <v>40920</v>
          </cell>
          <cell r="K319">
            <v>76384</v>
          </cell>
          <cell r="L319">
            <v>45139</v>
          </cell>
        </row>
        <row r="320">
          <cell r="C320" t="str">
            <v>S01</v>
          </cell>
          <cell r="F320">
            <v>2236</v>
          </cell>
          <cell r="I320">
            <v>71216.600000000006</v>
          </cell>
          <cell r="J320">
            <v>40248</v>
          </cell>
          <cell r="K320">
            <v>78260</v>
          </cell>
          <cell r="L320">
            <v>45139</v>
          </cell>
        </row>
        <row r="321">
          <cell r="C321" t="str">
            <v>S01</v>
          </cell>
          <cell r="F321">
            <v>2300</v>
          </cell>
          <cell r="I321">
            <v>37674</v>
          </cell>
          <cell r="J321">
            <v>20700</v>
          </cell>
          <cell r="K321">
            <v>41400</v>
          </cell>
          <cell r="L321">
            <v>45139</v>
          </cell>
        </row>
        <row r="322">
          <cell r="C322" t="str">
            <v>S01</v>
          </cell>
          <cell r="F322">
            <v>1620</v>
          </cell>
          <cell r="I322">
            <v>43740</v>
          </cell>
          <cell r="J322">
            <v>22680</v>
          </cell>
          <cell r="K322">
            <v>48600</v>
          </cell>
          <cell r="L322">
            <v>45139</v>
          </cell>
        </row>
        <row r="323">
          <cell r="C323" t="str">
            <v>S01</v>
          </cell>
          <cell r="F323">
            <v>1772</v>
          </cell>
          <cell r="I323">
            <v>64500.800000000003</v>
          </cell>
          <cell r="J323">
            <v>35440</v>
          </cell>
          <cell r="K323">
            <v>70880</v>
          </cell>
          <cell r="L323">
            <v>45139</v>
          </cell>
        </row>
        <row r="324">
          <cell r="C324" t="str">
            <v>S01</v>
          </cell>
          <cell r="F324">
            <v>2332</v>
          </cell>
          <cell r="I324">
            <v>21454.400000000001</v>
          </cell>
          <cell r="J324">
            <v>9328</v>
          </cell>
          <cell r="K324">
            <v>23320</v>
          </cell>
          <cell r="L324">
            <v>45139</v>
          </cell>
        </row>
        <row r="325">
          <cell r="C325" t="str">
            <v>S01</v>
          </cell>
          <cell r="F325">
            <v>1360</v>
          </cell>
          <cell r="I325">
            <v>27825.599999999999</v>
          </cell>
          <cell r="J325">
            <v>13600</v>
          </cell>
          <cell r="K325">
            <v>29920</v>
          </cell>
          <cell r="L325">
            <v>45139</v>
          </cell>
        </row>
        <row r="326">
          <cell r="C326" t="str">
            <v>S02</v>
          </cell>
          <cell r="F326">
            <v>2216</v>
          </cell>
          <cell r="I326">
            <v>50524.800000000003</v>
          </cell>
          <cell r="J326">
            <v>26592</v>
          </cell>
          <cell r="K326">
            <v>53184</v>
          </cell>
          <cell r="L326">
            <v>45139</v>
          </cell>
        </row>
        <row r="327">
          <cell r="C327" t="str">
            <v>S02</v>
          </cell>
          <cell r="F327">
            <v>2800</v>
          </cell>
          <cell r="I327">
            <v>131600</v>
          </cell>
          <cell r="J327">
            <v>78400</v>
          </cell>
          <cell r="K327">
            <v>140000</v>
          </cell>
          <cell r="L327">
            <v>45139</v>
          </cell>
        </row>
        <row r="328">
          <cell r="C328" t="str">
            <v>S02</v>
          </cell>
          <cell r="F328">
            <v>2256</v>
          </cell>
          <cell r="I328">
            <v>58114.559999999998</v>
          </cell>
          <cell r="J328">
            <v>33840</v>
          </cell>
          <cell r="K328">
            <v>63168</v>
          </cell>
          <cell r="L328">
            <v>45139</v>
          </cell>
        </row>
        <row r="329">
          <cell r="C329" t="str">
            <v>S02</v>
          </cell>
          <cell r="F329">
            <v>2424</v>
          </cell>
          <cell r="I329">
            <v>79749.600000000006</v>
          </cell>
          <cell r="J329">
            <v>43632</v>
          </cell>
          <cell r="K329">
            <v>84840</v>
          </cell>
          <cell r="L329">
            <v>45139</v>
          </cell>
        </row>
        <row r="330">
          <cell r="C330" t="str">
            <v>S02</v>
          </cell>
          <cell r="F330">
            <v>2192</v>
          </cell>
          <cell r="I330">
            <v>37088.639999999999</v>
          </cell>
          <cell r="J330">
            <v>19728</v>
          </cell>
          <cell r="K330">
            <v>39456</v>
          </cell>
          <cell r="L330">
            <v>45139</v>
          </cell>
        </row>
        <row r="331">
          <cell r="C331" t="str">
            <v>S02</v>
          </cell>
          <cell r="F331">
            <v>2592</v>
          </cell>
          <cell r="I331">
            <v>73094.399999999994</v>
          </cell>
          <cell r="J331">
            <v>36288</v>
          </cell>
          <cell r="K331">
            <v>77760</v>
          </cell>
          <cell r="L331">
            <v>45139</v>
          </cell>
        </row>
        <row r="332">
          <cell r="C332" t="str">
            <v>S02</v>
          </cell>
          <cell r="F332">
            <v>1800</v>
          </cell>
          <cell r="I332">
            <v>65520</v>
          </cell>
          <cell r="J332">
            <v>36000</v>
          </cell>
          <cell r="K332">
            <v>72000</v>
          </cell>
          <cell r="L332">
            <v>45139</v>
          </cell>
        </row>
        <row r="333">
          <cell r="C333" t="str">
            <v>S02</v>
          </cell>
          <cell r="F333">
            <v>2360</v>
          </cell>
          <cell r="I333">
            <v>21240</v>
          </cell>
          <cell r="J333">
            <v>9440</v>
          </cell>
          <cell r="K333">
            <v>23600</v>
          </cell>
          <cell r="L333">
            <v>45139</v>
          </cell>
        </row>
        <row r="334">
          <cell r="C334" t="str">
            <v>S02</v>
          </cell>
          <cell r="F334">
            <v>1672</v>
          </cell>
          <cell r="I334">
            <v>33841.279999999999</v>
          </cell>
          <cell r="J334">
            <v>16720</v>
          </cell>
          <cell r="K334">
            <v>36784</v>
          </cell>
          <cell r="L334">
            <v>45139</v>
          </cell>
        </row>
        <row r="335">
          <cell r="C335" t="str">
            <v>S03</v>
          </cell>
          <cell r="F335">
            <v>1428</v>
          </cell>
          <cell r="I335">
            <v>32558.400000000001</v>
          </cell>
          <cell r="J335">
            <v>17136</v>
          </cell>
          <cell r="K335">
            <v>34272</v>
          </cell>
          <cell r="L335">
            <v>45139</v>
          </cell>
        </row>
        <row r="336">
          <cell r="C336" t="str">
            <v>S03</v>
          </cell>
          <cell r="F336">
            <v>2724</v>
          </cell>
          <cell r="I336">
            <v>123942</v>
          </cell>
          <cell r="J336">
            <v>76272</v>
          </cell>
          <cell r="K336">
            <v>136200</v>
          </cell>
          <cell r="L336">
            <v>45139</v>
          </cell>
        </row>
        <row r="337">
          <cell r="C337" t="str">
            <v>S03</v>
          </cell>
          <cell r="F337">
            <v>1388</v>
          </cell>
          <cell r="I337">
            <v>36143.519999999997</v>
          </cell>
          <cell r="J337">
            <v>20820</v>
          </cell>
          <cell r="K337">
            <v>38864</v>
          </cell>
          <cell r="L337">
            <v>45139</v>
          </cell>
        </row>
        <row r="338">
          <cell r="C338" t="str">
            <v>S03</v>
          </cell>
          <cell r="F338">
            <v>1236</v>
          </cell>
          <cell r="I338">
            <v>39799.199999999997</v>
          </cell>
          <cell r="J338">
            <v>22248</v>
          </cell>
          <cell r="K338">
            <v>43260</v>
          </cell>
          <cell r="L338">
            <v>45139</v>
          </cell>
        </row>
        <row r="339">
          <cell r="C339" t="str">
            <v>S03</v>
          </cell>
          <cell r="F339">
            <v>2132</v>
          </cell>
          <cell r="I339">
            <v>35689.68</v>
          </cell>
          <cell r="J339">
            <v>19188</v>
          </cell>
          <cell r="K339">
            <v>38376</v>
          </cell>
          <cell r="L339">
            <v>45139</v>
          </cell>
        </row>
        <row r="340">
          <cell r="C340" t="str">
            <v>S03</v>
          </cell>
          <cell r="F340">
            <v>2436</v>
          </cell>
          <cell r="I340">
            <v>69426</v>
          </cell>
          <cell r="J340">
            <v>34104</v>
          </cell>
          <cell r="K340">
            <v>73080</v>
          </cell>
          <cell r="L340">
            <v>45139</v>
          </cell>
        </row>
        <row r="341">
          <cell r="C341" t="str">
            <v>S03</v>
          </cell>
          <cell r="F341">
            <v>2156</v>
          </cell>
          <cell r="I341">
            <v>81928</v>
          </cell>
          <cell r="J341">
            <v>43120</v>
          </cell>
          <cell r="K341">
            <v>86240</v>
          </cell>
          <cell r="L341">
            <v>45139</v>
          </cell>
        </row>
        <row r="342">
          <cell r="C342" t="str">
            <v>S03</v>
          </cell>
          <cell r="F342">
            <v>2048</v>
          </cell>
          <cell r="I342">
            <v>19251.2</v>
          </cell>
          <cell r="J342">
            <v>8192</v>
          </cell>
          <cell r="K342">
            <v>20480</v>
          </cell>
          <cell r="L342">
            <v>45139</v>
          </cell>
        </row>
        <row r="343">
          <cell r="C343" t="str">
            <v>S03</v>
          </cell>
          <cell r="F343">
            <v>1932</v>
          </cell>
          <cell r="I343">
            <v>39103.68</v>
          </cell>
          <cell r="J343">
            <v>19320</v>
          </cell>
          <cell r="K343">
            <v>42504</v>
          </cell>
          <cell r="L343">
            <v>45139</v>
          </cell>
        </row>
        <row r="344">
          <cell r="C344" t="str">
            <v>S04</v>
          </cell>
          <cell r="F344">
            <v>1304</v>
          </cell>
          <cell r="I344">
            <v>28792.32</v>
          </cell>
          <cell r="J344">
            <v>15648</v>
          </cell>
          <cell r="K344">
            <v>31296</v>
          </cell>
          <cell r="L344">
            <v>45139</v>
          </cell>
        </row>
        <row r="345">
          <cell r="C345" t="str">
            <v>S04</v>
          </cell>
          <cell r="F345">
            <v>2216</v>
          </cell>
          <cell r="I345">
            <v>101936</v>
          </cell>
          <cell r="J345">
            <v>62048</v>
          </cell>
          <cell r="K345">
            <v>110800</v>
          </cell>
          <cell r="L345">
            <v>45139</v>
          </cell>
        </row>
        <row r="346">
          <cell r="C346" t="str">
            <v>S04</v>
          </cell>
          <cell r="F346">
            <v>2284</v>
          </cell>
          <cell r="I346">
            <v>60114.879999999997</v>
          </cell>
          <cell r="J346">
            <v>34260</v>
          </cell>
          <cell r="K346">
            <v>63952</v>
          </cell>
          <cell r="L346">
            <v>45139</v>
          </cell>
        </row>
        <row r="347">
          <cell r="C347" t="str">
            <v>S04</v>
          </cell>
          <cell r="F347">
            <v>2728</v>
          </cell>
          <cell r="I347">
            <v>86886.8</v>
          </cell>
          <cell r="J347">
            <v>49104</v>
          </cell>
          <cell r="K347">
            <v>95480</v>
          </cell>
          <cell r="L347">
            <v>45139</v>
          </cell>
        </row>
        <row r="348">
          <cell r="C348" t="str">
            <v>S04</v>
          </cell>
          <cell r="F348">
            <v>2664</v>
          </cell>
          <cell r="I348">
            <v>43636.32</v>
          </cell>
          <cell r="J348">
            <v>23976</v>
          </cell>
          <cell r="K348">
            <v>47952</v>
          </cell>
          <cell r="L348">
            <v>45139</v>
          </cell>
        </row>
        <row r="349">
          <cell r="C349" t="str">
            <v>S04</v>
          </cell>
          <cell r="F349">
            <v>1528</v>
          </cell>
          <cell r="I349">
            <v>41256</v>
          </cell>
          <cell r="J349">
            <v>21392</v>
          </cell>
          <cell r="K349">
            <v>45840</v>
          </cell>
          <cell r="L349">
            <v>45139</v>
          </cell>
        </row>
        <row r="350">
          <cell r="C350" t="str">
            <v>S04</v>
          </cell>
          <cell r="F350">
            <v>1392</v>
          </cell>
          <cell r="I350">
            <v>52339.199999999997</v>
          </cell>
          <cell r="J350">
            <v>27840</v>
          </cell>
          <cell r="K350">
            <v>55680</v>
          </cell>
          <cell r="L350">
            <v>45139</v>
          </cell>
        </row>
        <row r="351">
          <cell r="C351" t="str">
            <v>S04</v>
          </cell>
          <cell r="F351">
            <v>2784</v>
          </cell>
          <cell r="I351">
            <v>25056</v>
          </cell>
          <cell r="J351">
            <v>11136</v>
          </cell>
          <cell r="K351">
            <v>27840</v>
          </cell>
          <cell r="L351">
            <v>45139</v>
          </cell>
        </row>
        <row r="352">
          <cell r="C352" t="str">
            <v>S04</v>
          </cell>
          <cell r="F352">
            <v>2676</v>
          </cell>
          <cell r="I352">
            <v>52984.800000000003</v>
          </cell>
          <cell r="J352">
            <v>26760</v>
          </cell>
          <cell r="K352">
            <v>58872</v>
          </cell>
          <cell r="L352">
            <v>45139</v>
          </cell>
        </row>
        <row r="353">
          <cell r="C353" t="str">
            <v>S05</v>
          </cell>
          <cell r="F353">
            <v>1564</v>
          </cell>
          <cell r="I353">
            <v>34533.120000000003</v>
          </cell>
          <cell r="J353">
            <v>18768</v>
          </cell>
          <cell r="K353">
            <v>37536</v>
          </cell>
          <cell r="L353">
            <v>45139</v>
          </cell>
        </row>
        <row r="354">
          <cell r="C354" t="str">
            <v>S05</v>
          </cell>
          <cell r="F354">
            <v>2152</v>
          </cell>
          <cell r="I354">
            <v>100068</v>
          </cell>
          <cell r="J354">
            <v>60256</v>
          </cell>
          <cell r="K354">
            <v>107600</v>
          </cell>
          <cell r="L354">
            <v>45139</v>
          </cell>
        </row>
        <row r="355">
          <cell r="C355" t="str">
            <v>S05</v>
          </cell>
          <cell r="F355">
            <v>2284</v>
          </cell>
          <cell r="I355">
            <v>58196.32</v>
          </cell>
          <cell r="J355">
            <v>34260</v>
          </cell>
          <cell r="K355">
            <v>63952</v>
          </cell>
          <cell r="L355">
            <v>45139</v>
          </cell>
        </row>
        <row r="356">
          <cell r="C356" t="str">
            <v>S05</v>
          </cell>
          <cell r="F356">
            <v>2364</v>
          </cell>
          <cell r="I356">
            <v>78603</v>
          </cell>
          <cell r="J356">
            <v>42552</v>
          </cell>
          <cell r="K356">
            <v>82740</v>
          </cell>
          <cell r="L356">
            <v>45139</v>
          </cell>
        </row>
        <row r="357">
          <cell r="C357" t="str">
            <v>S05</v>
          </cell>
          <cell r="F357">
            <v>2776</v>
          </cell>
          <cell r="I357">
            <v>46969.919999999998</v>
          </cell>
          <cell r="J357">
            <v>24984</v>
          </cell>
          <cell r="K357">
            <v>49968</v>
          </cell>
          <cell r="L357">
            <v>45139</v>
          </cell>
        </row>
        <row r="358">
          <cell r="C358" t="str">
            <v>S05</v>
          </cell>
          <cell r="F358">
            <v>2068</v>
          </cell>
          <cell r="I358">
            <v>58317.599999999999</v>
          </cell>
          <cell r="J358">
            <v>28952</v>
          </cell>
          <cell r="K358">
            <v>62040</v>
          </cell>
          <cell r="L358">
            <v>45139</v>
          </cell>
        </row>
        <row r="359">
          <cell r="C359" t="str">
            <v>S05</v>
          </cell>
          <cell r="F359">
            <v>1448</v>
          </cell>
          <cell r="I359">
            <v>53865.599999999999</v>
          </cell>
          <cell r="J359">
            <v>28960</v>
          </cell>
          <cell r="K359">
            <v>57920</v>
          </cell>
          <cell r="L359">
            <v>45139</v>
          </cell>
        </row>
        <row r="360">
          <cell r="C360" t="str">
            <v>S05</v>
          </cell>
          <cell r="F360">
            <v>1700</v>
          </cell>
          <cell r="I360">
            <v>15300</v>
          </cell>
          <cell r="J360">
            <v>6800</v>
          </cell>
          <cell r="K360">
            <v>17000</v>
          </cell>
          <cell r="L360">
            <v>45139</v>
          </cell>
        </row>
        <row r="361">
          <cell r="C361" t="str">
            <v>S05</v>
          </cell>
          <cell r="F361">
            <v>2116</v>
          </cell>
          <cell r="I361">
            <v>42827.839999999997</v>
          </cell>
          <cell r="J361">
            <v>21160</v>
          </cell>
          <cell r="K361">
            <v>46552</v>
          </cell>
          <cell r="L361">
            <v>45139</v>
          </cell>
        </row>
        <row r="362">
          <cell r="C362" t="str">
            <v>S01</v>
          </cell>
          <cell r="F362">
            <v>2008</v>
          </cell>
          <cell r="I362">
            <v>44818.559999999998</v>
          </cell>
          <cell r="J362">
            <v>24096</v>
          </cell>
          <cell r="K362">
            <v>48192</v>
          </cell>
          <cell r="L362">
            <v>45170</v>
          </cell>
        </row>
        <row r="363">
          <cell r="C363" t="str">
            <v>S01</v>
          </cell>
          <cell r="F363">
            <v>2236</v>
          </cell>
          <cell r="I363">
            <v>101738</v>
          </cell>
          <cell r="J363">
            <v>62608</v>
          </cell>
          <cell r="K363">
            <v>111800</v>
          </cell>
          <cell r="L363">
            <v>45170</v>
          </cell>
        </row>
        <row r="364">
          <cell r="C364" t="str">
            <v>S01</v>
          </cell>
          <cell r="F364">
            <v>2632</v>
          </cell>
          <cell r="I364">
            <v>68537.279999999999</v>
          </cell>
          <cell r="J364">
            <v>39480</v>
          </cell>
          <cell r="K364">
            <v>73696</v>
          </cell>
          <cell r="L364">
            <v>45170</v>
          </cell>
        </row>
        <row r="365">
          <cell r="C365" t="str">
            <v>S01</v>
          </cell>
          <cell r="F365">
            <v>2728</v>
          </cell>
          <cell r="I365">
            <v>89751.2</v>
          </cell>
          <cell r="J365">
            <v>49104</v>
          </cell>
          <cell r="K365">
            <v>95480</v>
          </cell>
          <cell r="L365">
            <v>45170</v>
          </cell>
        </row>
        <row r="366">
          <cell r="C366" t="str">
            <v>S01</v>
          </cell>
          <cell r="F366">
            <v>2060</v>
          </cell>
          <cell r="I366">
            <v>34855.199999999997</v>
          </cell>
          <cell r="J366">
            <v>18540</v>
          </cell>
          <cell r="K366">
            <v>37080</v>
          </cell>
          <cell r="L366">
            <v>45170</v>
          </cell>
        </row>
        <row r="367">
          <cell r="C367" t="str">
            <v>S01</v>
          </cell>
          <cell r="F367">
            <v>2744</v>
          </cell>
          <cell r="I367">
            <v>78204</v>
          </cell>
          <cell r="J367">
            <v>38416</v>
          </cell>
          <cell r="K367">
            <v>82320</v>
          </cell>
          <cell r="L367">
            <v>45170</v>
          </cell>
        </row>
        <row r="368">
          <cell r="C368" t="str">
            <v>S01</v>
          </cell>
          <cell r="F368">
            <v>2668</v>
          </cell>
          <cell r="I368">
            <v>100316.8</v>
          </cell>
          <cell r="J368">
            <v>53360</v>
          </cell>
          <cell r="K368">
            <v>106720</v>
          </cell>
          <cell r="L368">
            <v>45170</v>
          </cell>
        </row>
        <row r="369">
          <cell r="C369" t="str">
            <v>S01</v>
          </cell>
          <cell r="F369">
            <v>1728</v>
          </cell>
          <cell r="I369">
            <v>15897.6</v>
          </cell>
          <cell r="J369">
            <v>6912</v>
          </cell>
          <cell r="K369">
            <v>17280</v>
          </cell>
          <cell r="L369">
            <v>45170</v>
          </cell>
        </row>
        <row r="370">
          <cell r="C370" t="str">
            <v>S01</v>
          </cell>
          <cell r="F370">
            <v>1392</v>
          </cell>
          <cell r="I370">
            <v>28480.32</v>
          </cell>
          <cell r="J370">
            <v>13920</v>
          </cell>
          <cell r="K370">
            <v>30624</v>
          </cell>
          <cell r="L370">
            <v>45170</v>
          </cell>
        </row>
        <row r="371">
          <cell r="C371" t="str">
            <v>S02</v>
          </cell>
          <cell r="F371">
            <v>1372</v>
          </cell>
          <cell r="I371">
            <v>30952.32</v>
          </cell>
          <cell r="J371">
            <v>16464</v>
          </cell>
          <cell r="K371">
            <v>32928</v>
          </cell>
          <cell r="L371">
            <v>45170</v>
          </cell>
        </row>
        <row r="372">
          <cell r="C372" t="str">
            <v>S02</v>
          </cell>
          <cell r="F372">
            <v>1908</v>
          </cell>
          <cell r="I372">
            <v>89676</v>
          </cell>
          <cell r="J372">
            <v>53424</v>
          </cell>
          <cell r="K372">
            <v>95400</v>
          </cell>
          <cell r="L372">
            <v>45170</v>
          </cell>
        </row>
        <row r="373">
          <cell r="C373" t="str">
            <v>S02</v>
          </cell>
          <cell r="F373">
            <v>1804</v>
          </cell>
          <cell r="I373">
            <v>45965.919999999998</v>
          </cell>
          <cell r="J373">
            <v>27060</v>
          </cell>
          <cell r="K373">
            <v>50512</v>
          </cell>
          <cell r="L373">
            <v>45170</v>
          </cell>
        </row>
        <row r="374">
          <cell r="C374" t="str">
            <v>S02</v>
          </cell>
          <cell r="F374">
            <v>2528</v>
          </cell>
          <cell r="I374">
            <v>81401.600000000006</v>
          </cell>
          <cell r="J374">
            <v>45504</v>
          </cell>
          <cell r="K374">
            <v>88480</v>
          </cell>
          <cell r="L374">
            <v>45170</v>
          </cell>
        </row>
        <row r="375">
          <cell r="C375" t="str">
            <v>S02</v>
          </cell>
          <cell r="F375">
            <v>1256</v>
          </cell>
          <cell r="I375">
            <v>21251.52</v>
          </cell>
          <cell r="J375">
            <v>11304</v>
          </cell>
          <cell r="K375">
            <v>22608</v>
          </cell>
          <cell r="L375">
            <v>45170</v>
          </cell>
        </row>
        <row r="376">
          <cell r="C376" t="str">
            <v>S02</v>
          </cell>
          <cell r="F376">
            <v>2796</v>
          </cell>
          <cell r="I376">
            <v>78847.199999999997</v>
          </cell>
          <cell r="J376">
            <v>39144</v>
          </cell>
          <cell r="K376">
            <v>83880</v>
          </cell>
          <cell r="L376">
            <v>45170</v>
          </cell>
        </row>
        <row r="377">
          <cell r="C377" t="str">
            <v>S02</v>
          </cell>
          <cell r="F377">
            <v>1680</v>
          </cell>
          <cell r="I377">
            <v>61824</v>
          </cell>
          <cell r="J377">
            <v>33600</v>
          </cell>
          <cell r="K377">
            <v>67200</v>
          </cell>
          <cell r="L377">
            <v>45170</v>
          </cell>
        </row>
        <row r="378">
          <cell r="C378" t="str">
            <v>S02</v>
          </cell>
          <cell r="F378">
            <v>2300</v>
          </cell>
          <cell r="I378">
            <v>20930</v>
          </cell>
          <cell r="J378">
            <v>9200</v>
          </cell>
          <cell r="K378">
            <v>23000</v>
          </cell>
          <cell r="L378">
            <v>45170</v>
          </cell>
        </row>
        <row r="379">
          <cell r="C379" t="str">
            <v>S02</v>
          </cell>
          <cell r="F379">
            <v>1520</v>
          </cell>
          <cell r="I379">
            <v>31768</v>
          </cell>
          <cell r="J379">
            <v>15200</v>
          </cell>
          <cell r="K379">
            <v>33440</v>
          </cell>
          <cell r="L379">
            <v>45170</v>
          </cell>
        </row>
        <row r="380">
          <cell r="C380" t="str">
            <v>S03</v>
          </cell>
          <cell r="F380">
            <v>1696</v>
          </cell>
          <cell r="I380">
            <v>38668.800000000003</v>
          </cell>
          <cell r="J380">
            <v>20352</v>
          </cell>
          <cell r="K380">
            <v>40704</v>
          </cell>
          <cell r="L380">
            <v>45170</v>
          </cell>
        </row>
        <row r="381">
          <cell r="C381" t="str">
            <v>S03</v>
          </cell>
          <cell r="F381">
            <v>1716</v>
          </cell>
          <cell r="I381">
            <v>78078</v>
          </cell>
          <cell r="J381">
            <v>48048</v>
          </cell>
          <cell r="K381">
            <v>85800</v>
          </cell>
          <cell r="L381">
            <v>45170</v>
          </cell>
        </row>
        <row r="382">
          <cell r="C382" t="str">
            <v>S03</v>
          </cell>
          <cell r="F382">
            <v>2172</v>
          </cell>
          <cell r="I382">
            <v>55950.720000000001</v>
          </cell>
          <cell r="J382">
            <v>32580</v>
          </cell>
          <cell r="K382">
            <v>60816</v>
          </cell>
          <cell r="L382">
            <v>45170</v>
          </cell>
        </row>
        <row r="383">
          <cell r="C383" t="str">
            <v>S03</v>
          </cell>
          <cell r="F383">
            <v>2404</v>
          </cell>
          <cell r="I383">
            <v>79091.600000000006</v>
          </cell>
          <cell r="J383">
            <v>43272</v>
          </cell>
          <cell r="K383">
            <v>84140</v>
          </cell>
          <cell r="L383">
            <v>45170</v>
          </cell>
        </row>
        <row r="384">
          <cell r="C384" t="str">
            <v>S03</v>
          </cell>
          <cell r="F384">
            <v>2188</v>
          </cell>
          <cell r="I384">
            <v>35839.440000000002</v>
          </cell>
          <cell r="J384">
            <v>19692</v>
          </cell>
          <cell r="K384">
            <v>39384</v>
          </cell>
          <cell r="L384">
            <v>45170</v>
          </cell>
        </row>
        <row r="385">
          <cell r="C385" t="str">
            <v>S03</v>
          </cell>
          <cell r="F385">
            <v>1636</v>
          </cell>
          <cell r="I385">
            <v>46135.199999999997</v>
          </cell>
          <cell r="J385">
            <v>22904</v>
          </cell>
          <cell r="K385">
            <v>49080</v>
          </cell>
          <cell r="L385">
            <v>45170</v>
          </cell>
        </row>
        <row r="386">
          <cell r="C386" t="str">
            <v>S03</v>
          </cell>
          <cell r="F386">
            <v>1364</v>
          </cell>
          <cell r="I386">
            <v>50195.199999999997</v>
          </cell>
          <cell r="J386">
            <v>27280</v>
          </cell>
          <cell r="K386">
            <v>54560</v>
          </cell>
          <cell r="L386">
            <v>45170</v>
          </cell>
        </row>
        <row r="387">
          <cell r="C387" t="str">
            <v>S03</v>
          </cell>
          <cell r="F387">
            <v>1504</v>
          </cell>
          <cell r="I387">
            <v>13536</v>
          </cell>
          <cell r="J387">
            <v>6016</v>
          </cell>
          <cell r="K387">
            <v>15040</v>
          </cell>
          <cell r="L387">
            <v>45170</v>
          </cell>
        </row>
        <row r="388">
          <cell r="C388" t="str">
            <v>S03</v>
          </cell>
          <cell r="F388">
            <v>2532</v>
          </cell>
          <cell r="I388">
            <v>52361.760000000002</v>
          </cell>
          <cell r="J388">
            <v>25320</v>
          </cell>
          <cell r="K388">
            <v>55704</v>
          </cell>
          <cell r="L388">
            <v>45170</v>
          </cell>
        </row>
        <row r="389">
          <cell r="C389" t="str">
            <v>S04</v>
          </cell>
          <cell r="F389">
            <v>2220</v>
          </cell>
          <cell r="I389">
            <v>48484.800000000003</v>
          </cell>
          <cell r="J389">
            <v>26640</v>
          </cell>
          <cell r="K389">
            <v>53280</v>
          </cell>
          <cell r="L389">
            <v>45170</v>
          </cell>
        </row>
        <row r="390">
          <cell r="C390" t="str">
            <v>S04</v>
          </cell>
          <cell r="F390">
            <v>1264</v>
          </cell>
          <cell r="I390">
            <v>59408</v>
          </cell>
          <cell r="J390">
            <v>35392</v>
          </cell>
          <cell r="K390">
            <v>63200</v>
          </cell>
          <cell r="L390">
            <v>45170</v>
          </cell>
        </row>
        <row r="391">
          <cell r="C391" t="str">
            <v>S04</v>
          </cell>
          <cell r="F391">
            <v>1488</v>
          </cell>
          <cell r="I391">
            <v>39164.160000000003</v>
          </cell>
          <cell r="J391">
            <v>22320</v>
          </cell>
          <cell r="K391">
            <v>41664</v>
          </cell>
          <cell r="L391">
            <v>45170</v>
          </cell>
        </row>
        <row r="392">
          <cell r="C392" t="str">
            <v>S04</v>
          </cell>
          <cell r="F392">
            <v>1568</v>
          </cell>
          <cell r="I392">
            <v>52136</v>
          </cell>
          <cell r="J392">
            <v>28224</v>
          </cell>
          <cell r="K392">
            <v>54880</v>
          </cell>
          <cell r="L392">
            <v>45170</v>
          </cell>
        </row>
        <row r="393">
          <cell r="C393" t="str">
            <v>S04</v>
          </cell>
          <cell r="F393">
            <v>1308</v>
          </cell>
          <cell r="I393">
            <v>21425.040000000001</v>
          </cell>
          <cell r="J393">
            <v>11772</v>
          </cell>
          <cell r="K393">
            <v>23544</v>
          </cell>
          <cell r="L393">
            <v>45170</v>
          </cell>
        </row>
        <row r="394">
          <cell r="C394" t="str">
            <v>S04</v>
          </cell>
          <cell r="F394">
            <v>1296</v>
          </cell>
          <cell r="I394">
            <v>36547.199999999997</v>
          </cell>
          <cell r="J394">
            <v>18144</v>
          </cell>
          <cell r="K394">
            <v>38880</v>
          </cell>
          <cell r="L394">
            <v>45170</v>
          </cell>
        </row>
        <row r="395">
          <cell r="C395" t="str">
            <v>S04</v>
          </cell>
          <cell r="F395">
            <v>2124</v>
          </cell>
          <cell r="I395">
            <v>80712</v>
          </cell>
          <cell r="J395">
            <v>42480</v>
          </cell>
          <cell r="K395">
            <v>84960</v>
          </cell>
          <cell r="L395">
            <v>45170</v>
          </cell>
        </row>
        <row r="396">
          <cell r="C396" t="str">
            <v>S04</v>
          </cell>
          <cell r="F396">
            <v>1840</v>
          </cell>
          <cell r="I396">
            <v>17296</v>
          </cell>
          <cell r="J396">
            <v>7360</v>
          </cell>
          <cell r="K396">
            <v>18400</v>
          </cell>
          <cell r="L396">
            <v>45170</v>
          </cell>
        </row>
        <row r="397">
          <cell r="C397" t="str">
            <v>S04</v>
          </cell>
          <cell r="F397">
            <v>1992</v>
          </cell>
          <cell r="I397">
            <v>41194.559999999998</v>
          </cell>
          <cell r="J397">
            <v>19920</v>
          </cell>
          <cell r="K397">
            <v>43824</v>
          </cell>
          <cell r="L397">
            <v>45170</v>
          </cell>
        </row>
        <row r="398">
          <cell r="C398" t="str">
            <v>S05</v>
          </cell>
          <cell r="F398">
            <v>2688</v>
          </cell>
          <cell r="I398">
            <v>58705.919999999998</v>
          </cell>
          <cell r="J398">
            <v>32256</v>
          </cell>
          <cell r="K398">
            <v>64512</v>
          </cell>
          <cell r="L398">
            <v>45170</v>
          </cell>
        </row>
        <row r="399">
          <cell r="C399" t="str">
            <v>S05</v>
          </cell>
          <cell r="F399">
            <v>2444</v>
          </cell>
          <cell r="I399">
            <v>111202</v>
          </cell>
          <cell r="J399">
            <v>68432</v>
          </cell>
          <cell r="K399">
            <v>122200</v>
          </cell>
          <cell r="L399">
            <v>45170</v>
          </cell>
        </row>
        <row r="400">
          <cell r="C400" t="str">
            <v>S05</v>
          </cell>
          <cell r="F400">
            <v>2752</v>
          </cell>
          <cell r="I400">
            <v>70120.960000000006</v>
          </cell>
          <cell r="J400">
            <v>41280</v>
          </cell>
          <cell r="K400">
            <v>77056</v>
          </cell>
          <cell r="L400">
            <v>45170</v>
          </cell>
        </row>
        <row r="401">
          <cell r="C401" t="str">
            <v>S05</v>
          </cell>
          <cell r="F401">
            <v>1296</v>
          </cell>
          <cell r="I401">
            <v>42638.400000000001</v>
          </cell>
          <cell r="J401">
            <v>23328</v>
          </cell>
          <cell r="K401">
            <v>45360</v>
          </cell>
          <cell r="L401">
            <v>45170</v>
          </cell>
        </row>
        <row r="402">
          <cell r="C402" t="str">
            <v>S05</v>
          </cell>
          <cell r="F402">
            <v>1572</v>
          </cell>
          <cell r="I402">
            <v>26598.240000000002</v>
          </cell>
          <cell r="J402">
            <v>14148</v>
          </cell>
          <cell r="K402">
            <v>28296</v>
          </cell>
          <cell r="L402">
            <v>45170</v>
          </cell>
        </row>
        <row r="403">
          <cell r="C403" t="str">
            <v>S05</v>
          </cell>
          <cell r="F403">
            <v>2600</v>
          </cell>
          <cell r="I403">
            <v>70980</v>
          </cell>
          <cell r="J403">
            <v>36400</v>
          </cell>
          <cell r="K403">
            <v>78000</v>
          </cell>
          <cell r="L403">
            <v>45170</v>
          </cell>
        </row>
        <row r="404">
          <cell r="C404" t="str">
            <v>S05</v>
          </cell>
          <cell r="F404">
            <v>2448</v>
          </cell>
          <cell r="I404">
            <v>88128</v>
          </cell>
          <cell r="J404">
            <v>48960</v>
          </cell>
          <cell r="K404">
            <v>97920</v>
          </cell>
          <cell r="L404">
            <v>45170</v>
          </cell>
        </row>
        <row r="405">
          <cell r="C405" t="str">
            <v>S05</v>
          </cell>
          <cell r="F405">
            <v>1244</v>
          </cell>
          <cell r="I405">
            <v>11320.4</v>
          </cell>
          <cell r="J405">
            <v>4976</v>
          </cell>
          <cell r="K405">
            <v>12440</v>
          </cell>
          <cell r="L405">
            <v>45170</v>
          </cell>
        </row>
        <row r="406">
          <cell r="C406" t="str">
            <v>S05</v>
          </cell>
          <cell r="F406">
            <v>2408</v>
          </cell>
          <cell r="I406">
            <v>49797.440000000002</v>
          </cell>
          <cell r="J406">
            <v>24080</v>
          </cell>
          <cell r="K406">
            <v>52976</v>
          </cell>
          <cell r="L406">
            <v>45170</v>
          </cell>
        </row>
        <row r="407">
          <cell r="C407" t="str">
            <v>S01</v>
          </cell>
          <cell r="F407">
            <v>1372</v>
          </cell>
          <cell r="I407">
            <v>30623.040000000001</v>
          </cell>
          <cell r="J407">
            <v>16464</v>
          </cell>
          <cell r="K407">
            <v>32928</v>
          </cell>
          <cell r="L407">
            <v>45200</v>
          </cell>
        </row>
        <row r="408">
          <cell r="C408" t="str">
            <v>S01</v>
          </cell>
          <cell r="F408">
            <v>2768</v>
          </cell>
          <cell r="I408">
            <v>125944</v>
          </cell>
          <cell r="J408">
            <v>77504</v>
          </cell>
          <cell r="K408">
            <v>138400</v>
          </cell>
          <cell r="L408">
            <v>45200</v>
          </cell>
        </row>
        <row r="409">
          <cell r="C409" t="str">
            <v>S01</v>
          </cell>
          <cell r="F409">
            <v>2024</v>
          </cell>
          <cell r="I409">
            <v>52704.959999999999</v>
          </cell>
          <cell r="J409">
            <v>30360</v>
          </cell>
          <cell r="K409">
            <v>56672</v>
          </cell>
          <cell r="L409">
            <v>45200</v>
          </cell>
        </row>
        <row r="410">
          <cell r="C410" t="str">
            <v>S01</v>
          </cell>
          <cell r="F410">
            <v>2196</v>
          </cell>
          <cell r="I410">
            <v>70711.199999999997</v>
          </cell>
          <cell r="J410">
            <v>39528</v>
          </cell>
          <cell r="K410">
            <v>76860</v>
          </cell>
          <cell r="L410">
            <v>45200</v>
          </cell>
        </row>
        <row r="411">
          <cell r="C411" t="str">
            <v>S01</v>
          </cell>
          <cell r="F411">
            <v>1484</v>
          </cell>
          <cell r="I411">
            <v>24842.16</v>
          </cell>
          <cell r="J411">
            <v>13356</v>
          </cell>
          <cell r="K411">
            <v>26712</v>
          </cell>
          <cell r="L411">
            <v>45200</v>
          </cell>
        </row>
        <row r="412">
          <cell r="C412" t="str">
            <v>S01</v>
          </cell>
          <cell r="F412">
            <v>1528</v>
          </cell>
          <cell r="I412">
            <v>43089.599999999999</v>
          </cell>
          <cell r="J412">
            <v>21392</v>
          </cell>
          <cell r="K412">
            <v>45840</v>
          </cell>
          <cell r="L412">
            <v>45200</v>
          </cell>
        </row>
        <row r="413">
          <cell r="C413" t="str">
            <v>S01</v>
          </cell>
          <cell r="F413">
            <v>2420</v>
          </cell>
          <cell r="I413">
            <v>91960</v>
          </cell>
          <cell r="J413">
            <v>48400</v>
          </cell>
          <cell r="K413">
            <v>96800</v>
          </cell>
          <cell r="L413">
            <v>45200</v>
          </cell>
        </row>
        <row r="414">
          <cell r="C414" t="str">
            <v>S01</v>
          </cell>
          <cell r="F414">
            <v>1812</v>
          </cell>
          <cell r="I414">
            <v>16851.599999999999</v>
          </cell>
          <cell r="J414">
            <v>7248</v>
          </cell>
          <cell r="K414">
            <v>18120</v>
          </cell>
          <cell r="L414">
            <v>45200</v>
          </cell>
        </row>
        <row r="415">
          <cell r="C415" t="str">
            <v>S01</v>
          </cell>
          <cell r="F415">
            <v>2204</v>
          </cell>
          <cell r="I415">
            <v>44124.08</v>
          </cell>
          <cell r="J415">
            <v>22040</v>
          </cell>
          <cell r="K415">
            <v>48488</v>
          </cell>
          <cell r="L415">
            <v>45200</v>
          </cell>
        </row>
        <row r="416">
          <cell r="C416" t="str">
            <v>S02</v>
          </cell>
          <cell r="F416">
            <v>1328</v>
          </cell>
          <cell r="I416">
            <v>28684.799999999999</v>
          </cell>
          <cell r="J416">
            <v>15936</v>
          </cell>
          <cell r="K416">
            <v>31872</v>
          </cell>
          <cell r="L416">
            <v>45200</v>
          </cell>
        </row>
        <row r="417">
          <cell r="C417" t="str">
            <v>S02</v>
          </cell>
          <cell r="F417">
            <v>2068</v>
          </cell>
          <cell r="I417">
            <v>95128</v>
          </cell>
          <cell r="J417">
            <v>57904</v>
          </cell>
          <cell r="K417">
            <v>103400</v>
          </cell>
          <cell r="L417">
            <v>45200</v>
          </cell>
        </row>
        <row r="418">
          <cell r="C418" t="str">
            <v>S02</v>
          </cell>
          <cell r="F418">
            <v>1224</v>
          </cell>
          <cell r="I418">
            <v>32215.68</v>
          </cell>
          <cell r="J418">
            <v>18360</v>
          </cell>
          <cell r="K418">
            <v>34272</v>
          </cell>
          <cell r="L418">
            <v>45200</v>
          </cell>
        </row>
        <row r="419">
          <cell r="C419" t="str">
            <v>S02</v>
          </cell>
          <cell r="F419">
            <v>1212</v>
          </cell>
          <cell r="I419">
            <v>40299</v>
          </cell>
          <cell r="J419">
            <v>21816</v>
          </cell>
          <cell r="K419">
            <v>42420</v>
          </cell>
          <cell r="L419">
            <v>45200</v>
          </cell>
        </row>
        <row r="420">
          <cell r="C420" t="str">
            <v>S02</v>
          </cell>
          <cell r="F420">
            <v>2084</v>
          </cell>
          <cell r="I420">
            <v>35636.400000000001</v>
          </cell>
          <cell r="J420">
            <v>18756</v>
          </cell>
          <cell r="K420">
            <v>37512</v>
          </cell>
          <cell r="L420">
            <v>45200</v>
          </cell>
        </row>
        <row r="421">
          <cell r="C421" t="str">
            <v>S02</v>
          </cell>
          <cell r="F421">
            <v>1516</v>
          </cell>
          <cell r="I421">
            <v>42751.199999999997</v>
          </cell>
          <cell r="J421">
            <v>21224</v>
          </cell>
          <cell r="K421">
            <v>45480</v>
          </cell>
          <cell r="L421">
            <v>45200</v>
          </cell>
        </row>
        <row r="422">
          <cell r="C422" t="str">
            <v>S02</v>
          </cell>
          <cell r="F422">
            <v>1728</v>
          </cell>
          <cell r="I422">
            <v>63590.400000000001</v>
          </cell>
          <cell r="J422">
            <v>34560</v>
          </cell>
          <cell r="K422">
            <v>69120</v>
          </cell>
          <cell r="L422">
            <v>45200</v>
          </cell>
        </row>
        <row r="423">
          <cell r="C423" t="str">
            <v>S02</v>
          </cell>
          <cell r="F423">
            <v>1724</v>
          </cell>
          <cell r="I423">
            <v>16033.2</v>
          </cell>
          <cell r="J423">
            <v>6896</v>
          </cell>
          <cell r="K423">
            <v>17240</v>
          </cell>
          <cell r="L423">
            <v>45200</v>
          </cell>
        </row>
        <row r="424">
          <cell r="C424" t="str">
            <v>S02</v>
          </cell>
          <cell r="F424">
            <v>2716</v>
          </cell>
          <cell r="I424">
            <v>54374.32</v>
          </cell>
          <cell r="J424">
            <v>27160</v>
          </cell>
          <cell r="K424">
            <v>59752</v>
          </cell>
          <cell r="L424">
            <v>45200</v>
          </cell>
        </row>
        <row r="425">
          <cell r="C425" t="str">
            <v>S03</v>
          </cell>
          <cell r="F425">
            <v>1592</v>
          </cell>
          <cell r="I425">
            <v>35915.519999999997</v>
          </cell>
          <cell r="J425">
            <v>19104</v>
          </cell>
          <cell r="K425">
            <v>38208</v>
          </cell>
          <cell r="L425">
            <v>45200</v>
          </cell>
        </row>
        <row r="426">
          <cell r="C426" t="str">
            <v>S03</v>
          </cell>
          <cell r="F426">
            <v>1712</v>
          </cell>
          <cell r="I426">
            <v>80464</v>
          </cell>
          <cell r="J426">
            <v>47936</v>
          </cell>
          <cell r="K426">
            <v>85600</v>
          </cell>
          <cell r="L426">
            <v>45200</v>
          </cell>
        </row>
        <row r="427">
          <cell r="C427" t="str">
            <v>S03</v>
          </cell>
          <cell r="F427">
            <v>2176</v>
          </cell>
          <cell r="I427">
            <v>55444.480000000003</v>
          </cell>
          <cell r="J427">
            <v>32640</v>
          </cell>
          <cell r="K427">
            <v>60928</v>
          </cell>
          <cell r="L427">
            <v>45200</v>
          </cell>
        </row>
        <row r="428">
          <cell r="C428" t="str">
            <v>S03</v>
          </cell>
          <cell r="F428">
            <v>1736</v>
          </cell>
          <cell r="I428">
            <v>55899.199999999997</v>
          </cell>
          <cell r="J428">
            <v>31248</v>
          </cell>
          <cell r="K428">
            <v>60760</v>
          </cell>
          <cell r="L428">
            <v>45200</v>
          </cell>
        </row>
        <row r="429">
          <cell r="C429" t="str">
            <v>S03</v>
          </cell>
          <cell r="F429">
            <v>2000</v>
          </cell>
          <cell r="I429">
            <v>33480</v>
          </cell>
          <cell r="J429">
            <v>18000</v>
          </cell>
          <cell r="K429">
            <v>36000</v>
          </cell>
          <cell r="L429">
            <v>45200</v>
          </cell>
        </row>
        <row r="430">
          <cell r="C430" t="str">
            <v>S03</v>
          </cell>
          <cell r="F430">
            <v>2372</v>
          </cell>
          <cell r="I430">
            <v>64755.6</v>
          </cell>
          <cell r="J430">
            <v>33208</v>
          </cell>
          <cell r="K430">
            <v>71160</v>
          </cell>
          <cell r="L430">
            <v>45200</v>
          </cell>
        </row>
        <row r="431">
          <cell r="C431" t="str">
            <v>S03</v>
          </cell>
          <cell r="F431">
            <v>2732</v>
          </cell>
          <cell r="I431">
            <v>100537.60000000001</v>
          </cell>
          <cell r="J431">
            <v>54640</v>
          </cell>
          <cell r="K431">
            <v>109280</v>
          </cell>
          <cell r="L431">
            <v>45200</v>
          </cell>
        </row>
        <row r="432">
          <cell r="C432" t="str">
            <v>S03</v>
          </cell>
          <cell r="F432">
            <v>2260</v>
          </cell>
          <cell r="I432">
            <v>20566</v>
          </cell>
          <cell r="J432">
            <v>9040</v>
          </cell>
          <cell r="K432">
            <v>22600</v>
          </cell>
          <cell r="L432">
            <v>45200</v>
          </cell>
        </row>
        <row r="433">
          <cell r="C433" t="str">
            <v>S03</v>
          </cell>
          <cell r="F433">
            <v>2696</v>
          </cell>
          <cell r="I433">
            <v>55753.279999999999</v>
          </cell>
          <cell r="J433">
            <v>26960</v>
          </cell>
          <cell r="K433">
            <v>59312</v>
          </cell>
          <cell r="L433">
            <v>45200</v>
          </cell>
        </row>
        <row r="434">
          <cell r="C434" t="str">
            <v>S04</v>
          </cell>
          <cell r="F434">
            <v>1968</v>
          </cell>
          <cell r="I434">
            <v>44870.400000000001</v>
          </cell>
          <cell r="J434">
            <v>23616</v>
          </cell>
          <cell r="K434">
            <v>47232</v>
          </cell>
          <cell r="L434">
            <v>45200</v>
          </cell>
        </row>
        <row r="435">
          <cell r="C435" t="str">
            <v>S04</v>
          </cell>
          <cell r="F435">
            <v>1456</v>
          </cell>
          <cell r="I435">
            <v>68432</v>
          </cell>
          <cell r="J435">
            <v>40768</v>
          </cell>
          <cell r="K435">
            <v>72800</v>
          </cell>
          <cell r="L435">
            <v>45200</v>
          </cell>
        </row>
        <row r="436">
          <cell r="C436" t="str">
            <v>S04</v>
          </cell>
          <cell r="F436">
            <v>2516</v>
          </cell>
          <cell r="I436">
            <v>64812.160000000003</v>
          </cell>
          <cell r="J436">
            <v>37740</v>
          </cell>
          <cell r="K436">
            <v>70448</v>
          </cell>
          <cell r="L436">
            <v>45200</v>
          </cell>
        </row>
        <row r="437">
          <cell r="C437" t="str">
            <v>S04</v>
          </cell>
          <cell r="F437">
            <v>1272</v>
          </cell>
          <cell r="I437">
            <v>40958.400000000001</v>
          </cell>
          <cell r="J437">
            <v>22896</v>
          </cell>
          <cell r="K437">
            <v>44520</v>
          </cell>
          <cell r="L437">
            <v>45200</v>
          </cell>
        </row>
        <row r="438">
          <cell r="C438" t="str">
            <v>S04</v>
          </cell>
          <cell r="F438">
            <v>1672</v>
          </cell>
          <cell r="I438">
            <v>27387.360000000001</v>
          </cell>
          <cell r="J438">
            <v>15048</v>
          </cell>
          <cell r="K438">
            <v>30096</v>
          </cell>
          <cell r="L438">
            <v>45200</v>
          </cell>
        </row>
        <row r="439">
          <cell r="C439" t="str">
            <v>S04</v>
          </cell>
          <cell r="F439">
            <v>2056</v>
          </cell>
          <cell r="I439">
            <v>55512</v>
          </cell>
          <cell r="J439">
            <v>28784</v>
          </cell>
          <cell r="K439">
            <v>61680</v>
          </cell>
          <cell r="L439">
            <v>45200</v>
          </cell>
        </row>
        <row r="440">
          <cell r="C440" t="str">
            <v>S04</v>
          </cell>
          <cell r="F440">
            <v>2184</v>
          </cell>
          <cell r="I440">
            <v>82992</v>
          </cell>
          <cell r="J440">
            <v>43680</v>
          </cell>
          <cell r="K440">
            <v>87360</v>
          </cell>
          <cell r="L440">
            <v>45200</v>
          </cell>
        </row>
        <row r="441">
          <cell r="C441" t="str">
            <v>S04</v>
          </cell>
          <cell r="F441">
            <v>2152</v>
          </cell>
          <cell r="I441">
            <v>20444</v>
          </cell>
          <cell r="J441">
            <v>8608</v>
          </cell>
          <cell r="K441">
            <v>21520</v>
          </cell>
          <cell r="L441">
            <v>45200</v>
          </cell>
        </row>
        <row r="442">
          <cell r="C442" t="str">
            <v>S04</v>
          </cell>
          <cell r="F442">
            <v>1448</v>
          </cell>
          <cell r="I442">
            <v>29307.52</v>
          </cell>
          <cell r="J442">
            <v>14480</v>
          </cell>
          <cell r="K442">
            <v>31856</v>
          </cell>
          <cell r="L442">
            <v>45200</v>
          </cell>
        </row>
        <row r="443">
          <cell r="C443" t="str">
            <v>S05</v>
          </cell>
          <cell r="F443">
            <v>1380</v>
          </cell>
          <cell r="I443">
            <v>31132.799999999999</v>
          </cell>
          <cell r="J443">
            <v>16560</v>
          </cell>
          <cell r="K443">
            <v>33120</v>
          </cell>
          <cell r="L443">
            <v>45200</v>
          </cell>
        </row>
        <row r="444">
          <cell r="C444" t="str">
            <v>S05</v>
          </cell>
          <cell r="F444">
            <v>1512</v>
          </cell>
          <cell r="I444">
            <v>71820</v>
          </cell>
          <cell r="J444">
            <v>42336</v>
          </cell>
          <cell r="K444">
            <v>75600</v>
          </cell>
          <cell r="L444">
            <v>45200</v>
          </cell>
        </row>
        <row r="445">
          <cell r="C445" t="str">
            <v>S05</v>
          </cell>
          <cell r="F445">
            <v>2276</v>
          </cell>
          <cell r="I445">
            <v>58629.760000000002</v>
          </cell>
          <cell r="J445">
            <v>34140</v>
          </cell>
          <cell r="K445">
            <v>63728</v>
          </cell>
          <cell r="L445">
            <v>45200</v>
          </cell>
        </row>
        <row r="446">
          <cell r="C446" t="str">
            <v>S05</v>
          </cell>
          <cell r="F446">
            <v>2352</v>
          </cell>
          <cell r="I446">
            <v>78204</v>
          </cell>
          <cell r="J446">
            <v>42336</v>
          </cell>
          <cell r="K446">
            <v>82320</v>
          </cell>
          <cell r="L446">
            <v>45200</v>
          </cell>
        </row>
        <row r="447">
          <cell r="C447" t="str">
            <v>S05</v>
          </cell>
          <cell r="F447">
            <v>2024</v>
          </cell>
          <cell r="I447">
            <v>33153.120000000003</v>
          </cell>
          <cell r="J447">
            <v>18216</v>
          </cell>
          <cell r="K447">
            <v>36432</v>
          </cell>
          <cell r="L447">
            <v>45200</v>
          </cell>
        </row>
        <row r="448">
          <cell r="C448" t="str">
            <v>S05</v>
          </cell>
          <cell r="F448">
            <v>1520</v>
          </cell>
          <cell r="I448">
            <v>41952</v>
          </cell>
          <cell r="J448">
            <v>21280</v>
          </cell>
          <cell r="K448">
            <v>45600</v>
          </cell>
          <cell r="L448">
            <v>45200</v>
          </cell>
        </row>
        <row r="449">
          <cell r="C449" t="str">
            <v>S05</v>
          </cell>
          <cell r="F449">
            <v>1772</v>
          </cell>
          <cell r="I449">
            <v>66627.199999999997</v>
          </cell>
          <cell r="J449">
            <v>35440</v>
          </cell>
          <cell r="K449">
            <v>70880</v>
          </cell>
          <cell r="L449">
            <v>45200</v>
          </cell>
        </row>
        <row r="450">
          <cell r="C450" t="str">
            <v>S05</v>
          </cell>
          <cell r="F450">
            <v>2780</v>
          </cell>
          <cell r="I450">
            <v>26132</v>
          </cell>
          <cell r="J450">
            <v>11120</v>
          </cell>
          <cell r="K450">
            <v>27800</v>
          </cell>
          <cell r="L450">
            <v>45200</v>
          </cell>
        </row>
        <row r="451">
          <cell r="C451" t="str">
            <v>S05</v>
          </cell>
          <cell r="F451">
            <v>1440</v>
          </cell>
          <cell r="I451">
            <v>30096</v>
          </cell>
          <cell r="J451">
            <v>14400</v>
          </cell>
          <cell r="K451">
            <v>31680</v>
          </cell>
          <cell r="L451">
            <v>45200</v>
          </cell>
        </row>
        <row r="452">
          <cell r="C452" t="str">
            <v>S01</v>
          </cell>
          <cell r="F452">
            <v>1568</v>
          </cell>
          <cell r="I452">
            <v>35750.400000000001</v>
          </cell>
          <cell r="J452">
            <v>18816</v>
          </cell>
          <cell r="K452">
            <v>37632</v>
          </cell>
          <cell r="L452">
            <v>45231</v>
          </cell>
        </row>
        <row r="453">
          <cell r="C453" t="str">
            <v>S01</v>
          </cell>
          <cell r="F453">
            <v>1536</v>
          </cell>
          <cell r="I453">
            <v>69888</v>
          </cell>
          <cell r="J453">
            <v>43008</v>
          </cell>
          <cell r="K453">
            <v>76800</v>
          </cell>
          <cell r="L453">
            <v>45231</v>
          </cell>
        </row>
        <row r="454">
          <cell r="C454" t="str">
            <v>S01</v>
          </cell>
          <cell r="F454">
            <v>2372</v>
          </cell>
          <cell r="I454">
            <v>63095.199999999997</v>
          </cell>
          <cell r="J454">
            <v>35580</v>
          </cell>
          <cell r="K454">
            <v>66416</v>
          </cell>
          <cell r="L454">
            <v>45231</v>
          </cell>
        </row>
        <row r="455">
          <cell r="C455" t="str">
            <v>S01</v>
          </cell>
          <cell r="F455">
            <v>1924</v>
          </cell>
          <cell r="I455">
            <v>61952.800000000003</v>
          </cell>
          <cell r="J455">
            <v>34632</v>
          </cell>
          <cell r="K455">
            <v>67340</v>
          </cell>
          <cell r="L455">
            <v>45231</v>
          </cell>
        </row>
        <row r="456">
          <cell r="C456" t="str">
            <v>S01</v>
          </cell>
          <cell r="F456">
            <v>2580</v>
          </cell>
          <cell r="I456">
            <v>42260.4</v>
          </cell>
          <cell r="J456">
            <v>23220</v>
          </cell>
          <cell r="K456">
            <v>46440</v>
          </cell>
          <cell r="L456">
            <v>45231</v>
          </cell>
        </row>
        <row r="457">
          <cell r="C457" t="str">
            <v>S01</v>
          </cell>
          <cell r="F457">
            <v>2368</v>
          </cell>
          <cell r="I457">
            <v>65356.800000000003</v>
          </cell>
          <cell r="J457">
            <v>33152</v>
          </cell>
          <cell r="K457">
            <v>71040</v>
          </cell>
          <cell r="L457">
            <v>45231</v>
          </cell>
        </row>
        <row r="458">
          <cell r="C458" t="str">
            <v>S01</v>
          </cell>
          <cell r="F458">
            <v>2128</v>
          </cell>
          <cell r="I458">
            <v>77459.199999999997</v>
          </cell>
          <cell r="J458">
            <v>42560</v>
          </cell>
          <cell r="K458">
            <v>85120</v>
          </cell>
          <cell r="L458">
            <v>45231</v>
          </cell>
        </row>
        <row r="459">
          <cell r="C459" t="str">
            <v>S01</v>
          </cell>
          <cell r="F459">
            <v>2400</v>
          </cell>
          <cell r="I459">
            <v>22080</v>
          </cell>
          <cell r="J459">
            <v>9600</v>
          </cell>
          <cell r="K459">
            <v>24000</v>
          </cell>
          <cell r="L459">
            <v>45231</v>
          </cell>
        </row>
        <row r="460">
          <cell r="C460" t="str">
            <v>S01</v>
          </cell>
          <cell r="F460">
            <v>1892</v>
          </cell>
          <cell r="I460">
            <v>39126.559999999998</v>
          </cell>
          <cell r="J460">
            <v>18920</v>
          </cell>
          <cell r="K460">
            <v>41624</v>
          </cell>
          <cell r="L460">
            <v>45231</v>
          </cell>
        </row>
        <row r="461">
          <cell r="C461" t="str">
            <v>S02</v>
          </cell>
          <cell r="F461">
            <v>2760</v>
          </cell>
          <cell r="I461">
            <v>60940.800000000003</v>
          </cell>
          <cell r="J461">
            <v>33120</v>
          </cell>
          <cell r="K461">
            <v>66240</v>
          </cell>
          <cell r="L461">
            <v>45231</v>
          </cell>
        </row>
        <row r="462">
          <cell r="C462" t="str">
            <v>S02</v>
          </cell>
          <cell r="F462">
            <v>1240</v>
          </cell>
          <cell r="I462">
            <v>57660</v>
          </cell>
          <cell r="J462">
            <v>34720</v>
          </cell>
          <cell r="K462">
            <v>62000</v>
          </cell>
          <cell r="L462">
            <v>45231</v>
          </cell>
        </row>
        <row r="463">
          <cell r="C463" t="str">
            <v>S02</v>
          </cell>
          <cell r="F463">
            <v>1660</v>
          </cell>
          <cell r="I463">
            <v>42761.599999999999</v>
          </cell>
          <cell r="J463">
            <v>24900</v>
          </cell>
          <cell r="K463">
            <v>46480</v>
          </cell>
          <cell r="L463">
            <v>45231</v>
          </cell>
        </row>
        <row r="464">
          <cell r="C464" t="str">
            <v>S02</v>
          </cell>
          <cell r="F464">
            <v>1636</v>
          </cell>
          <cell r="I464">
            <v>52106.6</v>
          </cell>
          <cell r="J464">
            <v>29448</v>
          </cell>
          <cell r="K464">
            <v>57260</v>
          </cell>
          <cell r="L464">
            <v>45231</v>
          </cell>
        </row>
        <row r="465">
          <cell r="C465" t="str">
            <v>S02</v>
          </cell>
          <cell r="F465">
            <v>2264</v>
          </cell>
          <cell r="I465">
            <v>38714.400000000001</v>
          </cell>
          <cell r="J465">
            <v>20376</v>
          </cell>
          <cell r="K465">
            <v>40752</v>
          </cell>
          <cell r="L465">
            <v>45231</v>
          </cell>
        </row>
        <row r="466">
          <cell r="C466" t="str">
            <v>S02</v>
          </cell>
          <cell r="F466">
            <v>1692</v>
          </cell>
          <cell r="I466">
            <v>47714.400000000001</v>
          </cell>
          <cell r="J466">
            <v>23688</v>
          </cell>
          <cell r="K466">
            <v>50760</v>
          </cell>
          <cell r="L466">
            <v>45231</v>
          </cell>
        </row>
        <row r="467">
          <cell r="C467" t="str">
            <v>S02</v>
          </cell>
          <cell r="F467">
            <v>1992</v>
          </cell>
          <cell r="I467">
            <v>74899.199999999997</v>
          </cell>
          <cell r="J467">
            <v>39840</v>
          </cell>
          <cell r="K467">
            <v>79680</v>
          </cell>
          <cell r="L467">
            <v>45231</v>
          </cell>
        </row>
        <row r="468">
          <cell r="C468" t="str">
            <v>S02</v>
          </cell>
          <cell r="F468">
            <v>2180</v>
          </cell>
          <cell r="I468">
            <v>20710</v>
          </cell>
          <cell r="J468">
            <v>8720</v>
          </cell>
          <cell r="K468">
            <v>21800</v>
          </cell>
          <cell r="L468">
            <v>45231</v>
          </cell>
        </row>
        <row r="469">
          <cell r="C469" t="str">
            <v>S02</v>
          </cell>
          <cell r="F469">
            <v>2084</v>
          </cell>
          <cell r="I469">
            <v>42638.64</v>
          </cell>
          <cell r="J469">
            <v>20840</v>
          </cell>
          <cell r="K469">
            <v>45848</v>
          </cell>
          <cell r="L469">
            <v>45231</v>
          </cell>
        </row>
        <row r="470">
          <cell r="C470" t="str">
            <v>S03</v>
          </cell>
          <cell r="F470">
            <v>2112</v>
          </cell>
          <cell r="I470">
            <v>46632.959999999999</v>
          </cell>
          <cell r="J470">
            <v>25344</v>
          </cell>
          <cell r="K470">
            <v>50688</v>
          </cell>
          <cell r="L470">
            <v>45231</v>
          </cell>
        </row>
        <row r="471">
          <cell r="C471" t="str">
            <v>S03</v>
          </cell>
          <cell r="F471">
            <v>1384</v>
          </cell>
          <cell r="I471">
            <v>65048</v>
          </cell>
          <cell r="J471">
            <v>38752</v>
          </cell>
          <cell r="K471">
            <v>69200</v>
          </cell>
          <cell r="L471">
            <v>45231</v>
          </cell>
        </row>
        <row r="472">
          <cell r="C472" t="str">
            <v>S03</v>
          </cell>
          <cell r="F472">
            <v>1472</v>
          </cell>
          <cell r="I472">
            <v>38330.879999999997</v>
          </cell>
          <cell r="J472">
            <v>22080</v>
          </cell>
          <cell r="K472">
            <v>41216</v>
          </cell>
          <cell r="L472">
            <v>45231</v>
          </cell>
        </row>
        <row r="473">
          <cell r="C473" t="str">
            <v>S03</v>
          </cell>
          <cell r="F473">
            <v>2656</v>
          </cell>
          <cell r="I473">
            <v>86452.800000000003</v>
          </cell>
          <cell r="J473">
            <v>47808</v>
          </cell>
          <cell r="K473">
            <v>92960</v>
          </cell>
          <cell r="L473">
            <v>45231</v>
          </cell>
        </row>
        <row r="474">
          <cell r="C474" t="str">
            <v>S03</v>
          </cell>
          <cell r="F474">
            <v>2072</v>
          </cell>
          <cell r="I474">
            <v>35058.239999999998</v>
          </cell>
          <cell r="J474">
            <v>18648</v>
          </cell>
          <cell r="K474">
            <v>37296</v>
          </cell>
          <cell r="L474">
            <v>45231</v>
          </cell>
        </row>
        <row r="475">
          <cell r="C475" t="str">
            <v>S03</v>
          </cell>
          <cell r="F475">
            <v>1564</v>
          </cell>
          <cell r="I475">
            <v>43635.6</v>
          </cell>
          <cell r="J475">
            <v>21896</v>
          </cell>
          <cell r="K475">
            <v>46920</v>
          </cell>
          <cell r="L475">
            <v>45231</v>
          </cell>
        </row>
        <row r="476">
          <cell r="C476" t="str">
            <v>S03</v>
          </cell>
          <cell r="F476">
            <v>1920</v>
          </cell>
          <cell r="I476">
            <v>70656</v>
          </cell>
          <cell r="J476">
            <v>38400</v>
          </cell>
          <cell r="K476">
            <v>76800</v>
          </cell>
          <cell r="L476">
            <v>45231</v>
          </cell>
        </row>
        <row r="477">
          <cell r="C477" t="str">
            <v>S03</v>
          </cell>
          <cell r="F477">
            <v>2676</v>
          </cell>
          <cell r="I477">
            <v>24619.200000000001</v>
          </cell>
          <cell r="J477">
            <v>10704</v>
          </cell>
          <cell r="K477">
            <v>26760</v>
          </cell>
          <cell r="L477">
            <v>45231</v>
          </cell>
        </row>
        <row r="478">
          <cell r="C478" t="str">
            <v>S03</v>
          </cell>
          <cell r="F478">
            <v>1928</v>
          </cell>
          <cell r="I478">
            <v>39871.040000000001</v>
          </cell>
          <cell r="J478">
            <v>19280</v>
          </cell>
          <cell r="K478">
            <v>42416</v>
          </cell>
          <cell r="L478">
            <v>45231</v>
          </cell>
        </row>
        <row r="479">
          <cell r="C479" t="str">
            <v>S04</v>
          </cell>
          <cell r="F479">
            <v>2484</v>
          </cell>
          <cell r="I479">
            <v>56635.199999999997</v>
          </cell>
          <cell r="J479">
            <v>29808</v>
          </cell>
          <cell r="K479">
            <v>59616</v>
          </cell>
          <cell r="L479">
            <v>45231</v>
          </cell>
        </row>
        <row r="480">
          <cell r="C480" t="str">
            <v>S04</v>
          </cell>
          <cell r="F480">
            <v>2120</v>
          </cell>
          <cell r="I480">
            <v>99640</v>
          </cell>
          <cell r="J480">
            <v>59360</v>
          </cell>
          <cell r="K480">
            <v>106000</v>
          </cell>
          <cell r="L480">
            <v>45231</v>
          </cell>
        </row>
        <row r="481">
          <cell r="C481" t="str">
            <v>S04</v>
          </cell>
          <cell r="F481">
            <v>2192</v>
          </cell>
          <cell r="I481">
            <v>58307.199999999997</v>
          </cell>
          <cell r="J481">
            <v>32880</v>
          </cell>
          <cell r="K481">
            <v>61376</v>
          </cell>
          <cell r="L481">
            <v>45231</v>
          </cell>
        </row>
        <row r="482">
          <cell r="C482" t="str">
            <v>S04</v>
          </cell>
          <cell r="F482">
            <v>1788</v>
          </cell>
          <cell r="I482">
            <v>56947.8</v>
          </cell>
          <cell r="J482">
            <v>32184</v>
          </cell>
          <cell r="K482">
            <v>62580</v>
          </cell>
          <cell r="L482">
            <v>45231</v>
          </cell>
        </row>
        <row r="483">
          <cell r="C483" t="str">
            <v>S04</v>
          </cell>
          <cell r="F483">
            <v>1444</v>
          </cell>
          <cell r="I483">
            <v>24172.560000000001</v>
          </cell>
          <cell r="J483">
            <v>12996</v>
          </cell>
          <cell r="K483">
            <v>25992</v>
          </cell>
          <cell r="L483">
            <v>45231</v>
          </cell>
        </row>
        <row r="484">
          <cell r="C484" t="str">
            <v>S04</v>
          </cell>
          <cell r="F484">
            <v>1844</v>
          </cell>
          <cell r="I484">
            <v>50341.2</v>
          </cell>
          <cell r="J484">
            <v>25816</v>
          </cell>
          <cell r="K484">
            <v>55320</v>
          </cell>
          <cell r="L484">
            <v>45231</v>
          </cell>
        </row>
        <row r="485">
          <cell r="C485" t="str">
            <v>S04</v>
          </cell>
          <cell r="F485">
            <v>1372</v>
          </cell>
          <cell r="I485">
            <v>51587.199999999997</v>
          </cell>
          <cell r="J485">
            <v>27440</v>
          </cell>
          <cell r="K485">
            <v>54880</v>
          </cell>
          <cell r="L485">
            <v>45231</v>
          </cell>
        </row>
        <row r="486">
          <cell r="C486" t="str">
            <v>S04</v>
          </cell>
          <cell r="F486">
            <v>1820</v>
          </cell>
          <cell r="I486">
            <v>16744</v>
          </cell>
          <cell r="J486">
            <v>7280</v>
          </cell>
          <cell r="K486">
            <v>18200</v>
          </cell>
          <cell r="L486">
            <v>45231</v>
          </cell>
        </row>
        <row r="487">
          <cell r="C487" t="str">
            <v>S04</v>
          </cell>
          <cell r="F487">
            <v>2656</v>
          </cell>
          <cell r="I487">
            <v>53757.440000000002</v>
          </cell>
          <cell r="J487">
            <v>26560</v>
          </cell>
          <cell r="K487">
            <v>58432</v>
          </cell>
          <cell r="L487">
            <v>45231</v>
          </cell>
        </row>
        <row r="488">
          <cell r="C488" t="str">
            <v>S05</v>
          </cell>
          <cell r="F488">
            <v>1484</v>
          </cell>
          <cell r="I488">
            <v>33122.879999999997</v>
          </cell>
          <cell r="J488">
            <v>17808</v>
          </cell>
          <cell r="K488">
            <v>35616</v>
          </cell>
          <cell r="L488">
            <v>45231</v>
          </cell>
        </row>
        <row r="489">
          <cell r="C489" t="str">
            <v>S05</v>
          </cell>
          <cell r="F489">
            <v>1580</v>
          </cell>
          <cell r="I489">
            <v>71890</v>
          </cell>
          <cell r="J489">
            <v>44240</v>
          </cell>
          <cell r="K489">
            <v>79000</v>
          </cell>
          <cell r="L489">
            <v>45231</v>
          </cell>
        </row>
        <row r="490">
          <cell r="C490" t="str">
            <v>S05</v>
          </cell>
          <cell r="F490">
            <v>1580</v>
          </cell>
          <cell r="I490">
            <v>42028</v>
          </cell>
          <cell r="J490">
            <v>23700</v>
          </cell>
          <cell r="K490">
            <v>44240</v>
          </cell>
          <cell r="L490">
            <v>45231</v>
          </cell>
        </row>
        <row r="491">
          <cell r="C491" t="str">
            <v>S05</v>
          </cell>
          <cell r="F491">
            <v>1860</v>
          </cell>
          <cell r="I491">
            <v>59892</v>
          </cell>
          <cell r="J491">
            <v>33480</v>
          </cell>
          <cell r="K491">
            <v>65100</v>
          </cell>
          <cell r="L491">
            <v>45231</v>
          </cell>
        </row>
        <row r="492">
          <cell r="C492" t="str">
            <v>S05</v>
          </cell>
          <cell r="F492">
            <v>2396</v>
          </cell>
          <cell r="I492">
            <v>40109.040000000001</v>
          </cell>
          <cell r="J492">
            <v>21564</v>
          </cell>
          <cell r="K492">
            <v>43128</v>
          </cell>
          <cell r="L492">
            <v>45231</v>
          </cell>
        </row>
        <row r="493">
          <cell r="C493" t="str">
            <v>S05</v>
          </cell>
          <cell r="F493">
            <v>2744</v>
          </cell>
          <cell r="I493">
            <v>74088</v>
          </cell>
          <cell r="J493">
            <v>38416</v>
          </cell>
          <cell r="K493">
            <v>82320</v>
          </cell>
          <cell r="L493">
            <v>45231</v>
          </cell>
        </row>
        <row r="494">
          <cell r="C494" t="str">
            <v>S05</v>
          </cell>
          <cell r="F494">
            <v>1976</v>
          </cell>
          <cell r="I494">
            <v>74297.600000000006</v>
          </cell>
          <cell r="J494">
            <v>39520</v>
          </cell>
          <cell r="K494">
            <v>79040</v>
          </cell>
          <cell r="L494">
            <v>45231</v>
          </cell>
        </row>
        <row r="495">
          <cell r="C495" t="str">
            <v>S05</v>
          </cell>
          <cell r="F495">
            <v>1212</v>
          </cell>
          <cell r="I495">
            <v>11271.6</v>
          </cell>
          <cell r="J495">
            <v>4848</v>
          </cell>
          <cell r="K495">
            <v>12120</v>
          </cell>
          <cell r="L495">
            <v>45231</v>
          </cell>
        </row>
        <row r="496">
          <cell r="C496" t="str">
            <v>S05</v>
          </cell>
          <cell r="F496">
            <v>1904</v>
          </cell>
          <cell r="I496">
            <v>39374.720000000001</v>
          </cell>
          <cell r="J496">
            <v>19040</v>
          </cell>
          <cell r="K496">
            <v>41888</v>
          </cell>
          <cell r="L496">
            <v>45231</v>
          </cell>
        </row>
        <row r="497">
          <cell r="C497" t="str">
            <v>S01</v>
          </cell>
          <cell r="F497">
            <v>1944</v>
          </cell>
          <cell r="I497">
            <v>43856.639999999999</v>
          </cell>
          <cell r="J497">
            <v>23328</v>
          </cell>
          <cell r="K497">
            <v>46656</v>
          </cell>
          <cell r="L497">
            <v>45261</v>
          </cell>
        </row>
        <row r="498">
          <cell r="C498" t="str">
            <v>S01</v>
          </cell>
          <cell r="F498">
            <v>1752</v>
          </cell>
          <cell r="I498">
            <v>80592</v>
          </cell>
          <cell r="J498">
            <v>49056</v>
          </cell>
          <cell r="K498">
            <v>87600</v>
          </cell>
          <cell r="L498">
            <v>45261</v>
          </cell>
        </row>
        <row r="499">
          <cell r="C499" t="str">
            <v>S01</v>
          </cell>
          <cell r="F499">
            <v>2512</v>
          </cell>
          <cell r="I499">
            <v>66115.839999999997</v>
          </cell>
          <cell r="J499">
            <v>37680</v>
          </cell>
          <cell r="K499">
            <v>70336</v>
          </cell>
          <cell r="L499">
            <v>45261</v>
          </cell>
        </row>
        <row r="500">
          <cell r="C500" t="str">
            <v>S01</v>
          </cell>
          <cell r="F500">
            <v>2452</v>
          </cell>
          <cell r="I500">
            <v>77238</v>
          </cell>
          <cell r="J500">
            <v>44136</v>
          </cell>
          <cell r="K500">
            <v>85820</v>
          </cell>
          <cell r="L500">
            <v>45261</v>
          </cell>
        </row>
        <row r="501">
          <cell r="C501" t="str">
            <v>S01</v>
          </cell>
          <cell r="F501">
            <v>1576</v>
          </cell>
          <cell r="I501">
            <v>26949.599999999999</v>
          </cell>
          <cell r="J501">
            <v>14184</v>
          </cell>
          <cell r="K501">
            <v>28368</v>
          </cell>
          <cell r="L501">
            <v>45261</v>
          </cell>
        </row>
        <row r="502">
          <cell r="C502" t="str">
            <v>S01</v>
          </cell>
          <cell r="F502">
            <v>1716</v>
          </cell>
          <cell r="I502">
            <v>46332</v>
          </cell>
          <cell r="J502">
            <v>24024</v>
          </cell>
          <cell r="K502">
            <v>51480</v>
          </cell>
          <cell r="L502">
            <v>45261</v>
          </cell>
        </row>
        <row r="503">
          <cell r="C503" t="str">
            <v>S01</v>
          </cell>
          <cell r="F503">
            <v>1300</v>
          </cell>
          <cell r="I503">
            <v>48880</v>
          </cell>
          <cell r="J503">
            <v>26000</v>
          </cell>
          <cell r="K503">
            <v>52000</v>
          </cell>
          <cell r="L503">
            <v>45261</v>
          </cell>
        </row>
        <row r="504">
          <cell r="C504" t="str">
            <v>S01</v>
          </cell>
          <cell r="F504">
            <v>1408</v>
          </cell>
          <cell r="I504">
            <v>13235.2</v>
          </cell>
          <cell r="J504">
            <v>5632</v>
          </cell>
          <cell r="K504">
            <v>14080</v>
          </cell>
          <cell r="L504">
            <v>45261</v>
          </cell>
        </row>
        <row r="505">
          <cell r="C505" t="str">
            <v>S01</v>
          </cell>
          <cell r="F505">
            <v>2016</v>
          </cell>
          <cell r="I505">
            <v>41247.360000000001</v>
          </cell>
          <cell r="J505">
            <v>20160</v>
          </cell>
          <cell r="K505">
            <v>44352</v>
          </cell>
          <cell r="L505">
            <v>45261</v>
          </cell>
        </row>
        <row r="506">
          <cell r="C506" t="str">
            <v>S02</v>
          </cell>
          <cell r="F506">
            <v>2672</v>
          </cell>
          <cell r="I506">
            <v>59639.040000000001</v>
          </cell>
          <cell r="J506">
            <v>32064</v>
          </cell>
          <cell r="K506">
            <v>64128</v>
          </cell>
          <cell r="L506">
            <v>45261</v>
          </cell>
        </row>
        <row r="507">
          <cell r="C507" t="str">
            <v>S02</v>
          </cell>
          <cell r="F507">
            <v>1780</v>
          </cell>
          <cell r="I507">
            <v>83660</v>
          </cell>
          <cell r="J507">
            <v>49840</v>
          </cell>
          <cell r="K507">
            <v>89000</v>
          </cell>
          <cell r="L507">
            <v>45261</v>
          </cell>
        </row>
        <row r="508">
          <cell r="C508" t="str">
            <v>S02</v>
          </cell>
          <cell r="F508">
            <v>2676</v>
          </cell>
          <cell r="I508">
            <v>71181.600000000006</v>
          </cell>
          <cell r="J508">
            <v>40140</v>
          </cell>
          <cell r="K508">
            <v>74928</v>
          </cell>
          <cell r="L508">
            <v>45261</v>
          </cell>
        </row>
        <row r="509">
          <cell r="C509" t="str">
            <v>S02</v>
          </cell>
          <cell r="F509">
            <v>2764</v>
          </cell>
          <cell r="I509">
            <v>90935.6</v>
          </cell>
          <cell r="J509">
            <v>49752</v>
          </cell>
          <cell r="K509">
            <v>96740</v>
          </cell>
          <cell r="L509">
            <v>45261</v>
          </cell>
        </row>
        <row r="510">
          <cell r="C510" t="str">
            <v>S02</v>
          </cell>
          <cell r="F510">
            <v>2080</v>
          </cell>
          <cell r="I510">
            <v>34070.400000000001</v>
          </cell>
          <cell r="J510">
            <v>18720</v>
          </cell>
          <cell r="K510">
            <v>37440</v>
          </cell>
          <cell r="L510">
            <v>45261</v>
          </cell>
        </row>
        <row r="511">
          <cell r="C511" t="str">
            <v>S02</v>
          </cell>
          <cell r="F511">
            <v>2672</v>
          </cell>
          <cell r="I511">
            <v>73747.199999999997</v>
          </cell>
          <cell r="J511">
            <v>37408</v>
          </cell>
          <cell r="K511">
            <v>80160</v>
          </cell>
          <cell r="L511">
            <v>45261</v>
          </cell>
        </row>
        <row r="512">
          <cell r="C512" t="str">
            <v>S02</v>
          </cell>
          <cell r="F512">
            <v>2520</v>
          </cell>
          <cell r="I512">
            <v>94752</v>
          </cell>
          <cell r="J512">
            <v>50400</v>
          </cell>
          <cell r="K512">
            <v>100800</v>
          </cell>
          <cell r="L512">
            <v>45261</v>
          </cell>
        </row>
        <row r="513">
          <cell r="C513" t="str">
            <v>S02</v>
          </cell>
          <cell r="F513">
            <v>1492</v>
          </cell>
          <cell r="I513">
            <v>13577.2</v>
          </cell>
          <cell r="J513">
            <v>5968</v>
          </cell>
          <cell r="K513">
            <v>14920</v>
          </cell>
          <cell r="L513">
            <v>45261</v>
          </cell>
        </row>
        <row r="514">
          <cell r="C514" t="str">
            <v>S02</v>
          </cell>
          <cell r="F514">
            <v>1204</v>
          </cell>
          <cell r="I514">
            <v>24368.959999999999</v>
          </cell>
          <cell r="J514">
            <v>12040</v>
          </cell>
          <cell r="K514">
            <v>26488</v>
          </cell>
          <cell r="L514">
            <v>45261</v>
          </cell>
        </row>
        <row r="515">
          <cell r="C515" t="str">
            <v>S03</v>
          </cell>
          <cell r="F515">
            <v>1656</v>
          </cell>
          <cell r="I515">
            <v>35769.599999999999</v>
          </cell>
          <cell r="J515">
            <v>19872</v>
          </cell>
          <cell r="K515">
            <v>39744</v>
          </cell>
          <cell r="L515">
            <v>45261</v>
          </cell>
        </row>
        <row r="516">
          <cell r="C516" t="str">
            <v>S03</v>
          </cell>
          <cell r="F516">
            <v>2528</v>
          </cell>
          <cell r="I516">
            <v>113760</v>
          </cell>
          <cell r="J516">
            <v>70784</v>
          </cell>
          <cell r="K516">
            <v>126400</v>
          </cell>
          <cell r="L516">
            <v>45261</v>
          </cell>
        </row>
        <row r="517">
          <cell r="C517" t="str">
            <v>S03</v>
          </cell>
          <cell r="F517">
            <v>2756</v>
          </cell>
          <cell r="I517">
            <v>71766.240000000005</v>
          </cell>
          <cell r="J517">
            <v>41340</v>
          </cell>
          <cell r="K517">
            <v>77168</v>
          </cell>
          <cell r="L517">
            <v>45261</v>
          </cell>
        </row>
        <row r="518">
          <cell r="C518" t="str">
            <v>S03</v>
          </cell>
          <cell r="F518">
            <v>2408</v>
          </cell>
          <cell r="I518">
            <v>79223.199999999997</v>
          </cell>
          <cell r="J518">
            <v>43344</v>
          </cell>
          <cell r="K518">
            <v>84280</v>
          </cell>
          <cell r="L518">
            <v>45261</v>
          </cell>
        </row>
        <row r="519">
          <cell r="C519" t="str">
            <v>S03</v>
          </cell>
          <cell r="F519">
            <v>1404</v>
          </cell>
          <cell r="I519">
            <v>23755.68</v>
          </cell>
          <cell r="J519">
            <v>12636</v>
          </cell>
          <cell r="K519">
            <v>25272</v>
          </cell>
          <cell r="L519">
            <v>45261</v>
          </cell>
        </row>
        <row r="520">
          <cell r="C520" t="str">
            <v>S03</v>
          </cell>
          <cell r="F520">
            <v>2120</v>
          </cell>
          <cell r="I520">
            <v>57876</v>
          </cell>
          <cell r="J520">
            <v>29680</v>
          </cell>
          <cell r="K520">
            <v>63600</v>
          </cell>
          <cell r="L520">
            <v>45261</v>
          </cell>
        </row>
        <row r="521">
          <cell r="C521" t="str">
            <v>S03</v>
          </cell>
          <cell r="F521">
            <v>2412</v>
          </cell>
          <cell r="I521">
            <v>87796.800000000003</v>
          </cell>
          <cell r="J521">
            <v>48240</v>
          </cell>
          <cell r="K521">
            <v>96480</v>
          </cell>
          <cell r="L521">
            <v>45261</v>
          </cell>
        </row>
        <row r="522">
          <cell r="C522" t="str">
            <v>S03</v>
          </cell>
          <cell r="F522">
            <v>1208</v>
          </cell>
          <cell r="I522">
            <v>11234.4</v>
          </cell>
          <cell r="J522">
            <v>4832</v>
          </cell>
          <cell r="K522">
            <v>12080</v>
          </cell>
          <cell r="L522">
            <v>45261</v>
          </cell>
        </row>
        <row r="523">
          <cell r="C523" t="str">
            <v>S03</v>
          </cell>
          <cell r="F523">
            <v>1684</v>
          </cell>
          <cell r="I523">
            <v>33713.68</v>
          </cell>
          <cell r="J523">
            <v>16840</v>
          </cell>
          <cell r="K523">
            <v>37048</v>
          </cell>
          <cell r="L523">
            <v>45261</v>
          </cell>
        </row>
        <row r="524">
          <cell r="C524" t="str">
            <v>S04</v>
          </cell>
          <cell r="F524">
            <v>2200</v>
          </cell>
          <cell r="I524">
            <v>48576</v>
          </cell>
          <cell r="J524">
            <v>26400</v>
          </cell>
          <cell r="K524">
            <v>52800</v>
          </cell>
          <cell r="L524">
            <v>45261</v>
          </cell>
        </row>
        <row r="525">
          <cell r="C525" t="str">
            <v>S04</v>
          </cell>
          <cell r="F525">
            <v>2596</v>
          </cell>
          <cell r="I525">
            <v>120714</v>
          </cell>
          <cell r="J525">
            <v>72688</v>
          </cell>
          <cell r="K525">
            <v>129800</v>
          </cell>
          <cell r="L525">
            <v>45261</v>
          </cell>
        </row>
        <row r="526">
          <cell r="C526" t="str">
            <v>S04</v>
          </cell>
          <cell r="F526">
            <v>2072</v>
          </cell>
          <cell r="I526">
            <v>53954.879999999997</v>
          </cell>
          <cell r="J526">
            <v>31080</v>
          </cell>
          <cell r="K526">
            <v>58016</v>
          </cell>
          <cell r="L526">
            <v>45261</v>
          </cell>
        </row>
        <row r="527">
          <cell r="C527" t="str">
            <v>S04</v>
          </cell>
          <cell r="F527">
            <v>1260</v>
          </cell>
          <cell r="I527">
            <v>41454</v>
          </cell>
          <cell r="J527">
            <v>22680</v>
          </cell>
          <cell r="K527">
            <v>44100</v>
          </cell>
          <cell r="L527">
            <v>45261</v>
          </cell>
        </row>
        <row r="528">
          <cell r="C528" t="str">
            <v>S04</v>
          </cell>
          <cell r="F528">
            <v>2392</v>
          </cell>
          <cell r="I528">
            <v>40472.639999999999</v>
          </cell>
          <cell r="J528">
            <v>21528</v>
          </cell>
          <cell r="K528">
            <v>43056</v>
          </cell>
          <cell r="L528">
            <v>45261</v>
          </cell>
        </row>
        <row r="529">
          <cell r="C529" t="str">
            <v>S04</v>
          </cell>
          <cell r="F529">
            <v>2016</v>
          </cell>
          <cell r="I529">
            <v>55036.800000000003</v>
          </cell>
          <cell r="J529">
            <v>28224</v>
          </cell>
          <cell r="K529">
            <v>60480</v>
          </cell>
          <cell r="L529">
            <v>45261</v>
          </cell>
        </row>
        <row r="530">
          <cell r="C530" t="str">
            <v>S04</v>
          </cell>
          <cell r="F530">
            <v>2144</v>
          </cell>
          <cell r="I530">
            <v>77184</v>
          </cell>
          <cell r="J530">
            <v>42880</v>
          </cell>
          <cell r="K530">
            <v>85760</v>
          </cell>
          <cell r="L530">
            <v>45261</v>
          </cell>
        </row>
        <row r="531">
          <cell r="C531" t="str">
            <v>S04</v>
          </cell>
          <cell r="F531">
            <v>2772</v>
          </cell>
          <cell r="I531">
            <v>25225.200000000001</v>
          </cell>
          <cell r="J531">
            <v>11088</v>
          </cell>
          <cell r="K531">
            <v>27720</v>
          </cell>
          <cell r="L531">
            <v>45261</v>
          </cell>
        </row>
        <row r="532">
          <cell r="C532" t="str">
            <v>S04</v>
          </cell>
          <cell r="F532">
            <v>1912</v>
          </cell>
          <cell r="I532">
            <v>38698.879999999997</v>
          </cell>
          <cell r="J532">
            <v>19120</v>
          </cell>
          <cell r="K532">
            <v>42064</v>
          </cell>
          <cell r="L532">
            <v>45261</v>
          </cell>
        </row>
        <row r="533">
          <cell r="C533" t="str">
            <v>S05</v>
          </cell>
          <cell r="F533">
            <v>1312</v>
          </cell>
          <cell r="I533">
            <v>28654.080000000002</v>
          </cell>
          <cell r="J533">
            <v>15744</v>
          </cell>
          <cell r="K533">
            <v>31488</v>
          </cell>
          <cell r="L533">
            <v>45261</v>
          </cell>
        </row>
        <row r="534">
          <cell r="C534" t="str">
            <v>S05</v>
          </cell>
          <cell r="F534">
            <v>2364</v>
          </cell>
          <cell r="I534">
            <v>108744</v>
          </cell>
          <cell r="J534">
            <v>66192</v>
          </cell>
          <cell r="K534">
            <v>118200</v>
          </cell>
          <cell r="L534">
            <v>45261</v>
          </cell>
        </row>
        <row r="535">
          <cell r="C535" t="str">
            <v>S05</v>
          </cell>
          <cell r="F535">
            <v>1400</v>
          </cell>
          <cell r="I535">
            <v>36848</v>
          </cell>
          <cell r="J535">
            <v>21000</v>
          </cell>
          <cell r="K535">
            <v>39200</v>
          </cell>
          <cell r="L535">
            <v>45261</v>
          </cell>
        </row>
        <row r="536">
          <cell r="C536" t="str">
            <v>S05</v>
          </cell>
          <cell r="F536">
            <v>2380</v>
          </cell>
          <cell r="I536">
            <v>77469</v>
          </cell>
          <cell r="J536">
            <v>42840</v>
          </cell>
          <cell r="K536">
            <v>83300</v>
          </cell>
          <cell r="L536">
            <v>45261</v>
          </cell>
        </row>
        <row r="537">
          <cell r="C537" t="str">
            <v>S05</v>
          </cell>
          <cell r="F537">
            <v>1628</v>
          </cell>
          <cell r="I537">
            <v>26666.639999999999</v>
          </cell>
          <cell r="J537">
            <v>14652</v>
          </cell>
          <cell r="K537">
            <v>29304</v>
          </cell>
          <cell r="L537">
            <v>45261</v>
          </cell>
        </row>
        <row r="538">
          <cell r="C538" t="str">
            <v>S05</v>
          </cell>
          <cell r="F538">
            <v>2044</v>
          </cell>
          <cell r="I538">
            <v>56414.400000000001</v>
          </cell>
          <cell r="J538">
            <v>28616</v>
          </cell>
          <cell r="K538">
            <v>61320</v>
          </cell>
          <cell r="L538">
            <v>45261</v>
          </cell>
        </row>
        <row r="539">
          <cell r="C539" t="str">
            <v>S05</v>
          </cell>
          <cell r="F539">
            <v>2672</v>
          </cell>
          <cell r="I539">
            <v>96192</v>
          </cell>
          <cell r="J539">
            <v>53440</v>
          </cell>
          <cell r="K539">
            <v>106880</v>
          </cell>
          <cell r="L539">
            <v>45261</v>
          </cell>
        </row>
        <row r="540">
          <cell r="C540" t="str">
            <v>S05</v>
          </cell>
          <cell r="F540">
            <v>1532</v>
          </cell>
          <cell r="I540">
            <v>14247.6</v>
          </cell>
          <cell r="J540">
            <v>6128</v>
          </cell>
          <cell r="K540">
            <v>15320</v>
          </cell>
          <cell r="L540">
            <v>45261</v>
          </cell>
        </row>
        <row r="541">
          <cell r="C541" t="str">
            <v>S05</v>
          </cell>
          <cell r="F541">
            <v>1920</v>
          </cell>
          <cell r="I541">
            <v>40128</v>
          </cell>
          <cell r="J541">
            <v>19200</v>
          </cell>
          <cell r="K541">
            <v>42240</v>
          </cell>
          <cell r="L541">
            <v>45261</v>
          </cell>
        </row>
        <row r="542">
          <cell r="C542" t="str">
            <v>S01</v>
          </cell>
          <cell r="F542">
            <v>2376</v>
          </cell>
          <cell r="I542">
            <v>47900.160000000003</v>
          </cell>
          <cell r="J542">
            <v>30792.959999999999</v>
          </cell>
          <cell r="K542">
            <v>57024</v>
          </cell>
          <cell r="L542">
            <v>45292</v>
          </cell>
        </row>
        <row r="543">
          <cell r="C543" t="str">
            <v>S01</v>
          </cell>
          <cell r="F543">
            <v>3040</v>
          </cell>
          <cell r="I543">
            <v>127680</v>
          </cell>
          <cell r="J543">
            <v>91929.600000000006</v>
          </cell>
          <cell r="K543">
            <v>152000</v>
          </cell>
          <cell r="L543">
            <v>45292</v>
          </cell>
        </row>
        <row r="544">
          <cell r="C544" t="str">
            <v>S01</v>
          </cell>
          <cell r="F544">
            <v>1425</v>
          </cell>
          <cell r="I544">
            <v>33117</v>
          </cell>
          <cell r="J544">
            <v>23085</v>
          </cell>
          <cell r="K544">
            <v>39900</v>
          </cell>
          <cell r="L544">
            <v>45292</v>
          </cell>
        </row>
        <row r="545">
          <cell r="C545" t="str">
            <v>S01</v>
          </cell>
          <cell r="F545">
            <v>1588</v>
          </cell>
          <cell r="I545">
            <v>48354.6</v>
          </cell>
          <cell r="J545">
            <v>30870.720000000001</v>
          </cell>
          <cell r="K545">
            <v>55580</v>
          </cell>
          <cell r="L545">
            <v>45292</v>
          </cell>
        </row>
        <row r="546">
          <cell r="C546" t="str">
            <v>S01</v>
          </cell>
          <cell r="F546">
            <v>1702</v>
          </cell>
          <cell r="I546">
            <v>26959.68</v>
          </cell>
          <cell r="J546">
            <v>16543.439999999999</v>
          </cell>
          <cell r="K546">
            <v>30636</v>
          </cell>
          <cell r="L546">
            <v>45292</v>
          </cell>
        </row>
        <row r="547">
          <cell r="C547" t="str">
            <v>S01</v>
          </cell>
          <cell r="F547">
            <v>2983</v>
          </cell>
          <cell r="I547">
            <v>76961.399999999994</v>
          </cell>
          <cell r="J547">
            <v>45102.96</v>
          </cell>
          <cell r="K547">
            <v>89490</v>
          </cell>
          <cell r="L547">
            <v>45292</v>
          </cell>
        </row>
        <row r="548">
          <cell r="C548" t="str">
            <v>S01</v>
          </cell>
          <cell r="F548">
            <v>1922</v>
          </cell>
          <cell r="I548">
            <v>66116.800000000003</v>
          </cell>
          <cell r="J548">
            <v>41515.199999999997</v>
          </cell>
          <cell r="K548">
            <v>76880</v>
          </cell>
          <cell r="L548">
            <v>45292</v>
          </cell>
        </row>
        <row r="549">
          <cell r="C549" t="str">
            <v>S01</v>
          </cell>
          <cell r="F549">
            <v>1663</v>
          </cell>
          <cell r="I549">
            <v>14135.5</v>
          </cell>
          <cell r="J549">
            <v>7184.16</v>
          </cell>
          <cell r="K549">
            <v>16630</v>
          </cell>
          <cell r="L549">
            <v>45292</v>
          </cell>
        </row>
        <row r="550">
          <cell r="C550" t="str">
            <v>S01</v>
          </cell>
          <cell r="F550">
            <v>2609</v>
          </cell>
          <cell r="I550">
            <v>49936.26</v>
          </cell>
          <cell r="J550">
            <v>28177.200000000001</v>
          </cell>
          <cell r="K550">
            <v>57398</v>
          </cell>
          <cell r="L550">
            <v>45292</v>
          </cell>
        </row>
        <row r="551">
          <cell r="C551" t="str">
            <v>S02</v>
          </cell>
          <cell r="F551">
            <v>1694</v>
          </cell>
          <cell r="I551">
            <v>33744.480000000003</v>
          </cell>
          <cell r="J551">
            <v>21954.240000000002</v>
          </cell>
          <cell r="K551">
            <v>40656</v>
          </cell>
          <cell r="L551">
            <v>45292</v>
          </cell>
        </row>
        <row r="552">
          <cell r="C552" t="str">
            <v>S02</v>
          </cell>
          <cell r="F552">
            <v>2050</v>
          </cell>
          <cell r="I552">
            <v>86100</v>
          </cell>
          <cell r="J552">
            <v>61992</v>
          </cell>
          <cell r="K552">
            <v>102500</v>
          </cell>
          <cell r="L552">
            <v>45292</v>
          </cell>
        </row>
        <row r="553">
          <cell r="C553" t="str">
            <v>S02</v>
          </cell>
          <cell r="F553">
            <v>3058</v>
          </cell>
          <cell r="I553">
            <v>72780.399999999994</v>
          </cell>
          <cell r="J553">
            <v>49539.6</v>
          </cell>
          <cell r="K553">
            <v>85624</v>
          </cell>
          <cell r="L553">
            <v>45292</v>
          </cell>
        </row>
        <row r="554">
          <cell r="C554" t="str">
            <v>S02</v>
          </cell>
          <cell r="F554">
            <v>2310</v>
          </cell>
          <cell r="I554">
            <v>68722.5</v>
          </cell>
          <cell r="J554">
            <v>44906.400000000001</v>
          </cell>
          <cell r="K554">
            <v>80850</v>
          </cell>
          <cell r="L554">
            <v>45292</v>
          </cell>
        </row>
        <row r="555">
          <cell r="C555" t="str">
            <v>S02</v>
          </cell>
          <cell r="F555">
            <v>1504</v>
          </cell>
          <cell r="I555">
            <v>23552.639999999999</v>
          </cell>
          <cell r="J555">
            <v>14618.88</v>
          </cell>
          <cell r="K555">
            <v>27072</v>
          </cell>
          <cell r="L555">
            <v>45292</v>
          </cell>
        </row>
        <row r="556">
          <cell r="C556" t="str">
            <v>S02</v>
          </cell>
          <cell r="F556">
            <v>3009</v>
          </cell>
          <cell r="I556">
            <v>76729.5</v>
          </cell>
          <cell r="J556">
            <v>45496.08</v>
          </cell>
          <cell r="K556">
            <v>90270</v>
          </cell>
          <cell r="L556">
            <v>45292</v>
          </cell>
        </row>
        <row r="557">
          <cell r="C557" t="str">
            <v>S02</v>
          </cell>
          <cell r="F557">
            <v>2393</v>
          </cell>
          <cell r="I557">
            <v>84233.600000000006</v>
          </cell>
          <cell r="J557">
            <v>51688.800000000003</v>
          </cell>
          <cell r="K557">
            <v>95720</v>
          </cell>
          <cell r="L557">
            <v>45292</v>
          </cell>
        </row>
        <row r="558">
          <cell r="C558" t="str">
            <v>S02</v>
          </cell>
          <cell r="F558">
            <v>1984</v>
          </cell>
          <cell r="I558">
            <v>16864</v>
          </cell>
          <cell r="J558">
            <v>8570.8799999999992</v>
          </cell>
          <cell r="K558">
            <v>19840</v>
          </cell>
          <cell r="L558">
            <v>45292</v>
          </cell>
        </row>
        <row r="559">
          <cell r="C559" t="str">
            <v>S02</v>
          </cell>
          <cell r="F559">
            <v>1579</v>
          </cell>
          <cell r="I559">
            <v>30222.06</v>
          </cell>
          <cell r="J559">
            <v>17053.2</v>
          </cell>
          <cell r="K559">
            <v>34738</v>
          </cell>
          <cell r="L559">
            <v>45292</v>
          </cell>
        </row>
        <row r="560">
          <cell r="C560" t="str">
            <v>S03</v>
          </cell>
          <cell r="F560">
            <v>2833</v>
          </cell>
          <cell r="I560">
            <v>57113.279999999999</v>
          </cell>
          <cell r="J560">
            <v>36715.68</v>
          </cell>
          <cell r="K560">
            <v>67992</v>
          </cell>
          <cell r="L560">
            <v>45292</v>
          </cell>
        </row>
        <row r="561">
          <cell r="C561" t="str">
            <v>S03</v>
          </cell>
          <cell r="F561">
            <v>1861</v>
          </cell>
          <cell r="I561">
            <v>80023</v>
          </cell>
          <cell r="J561">
            <v>56276.639999999999</v>
          </cell>
          <cell r="K561">
            <v>93050</v>
          </cell>
          <cell r="L561">
            <v>45292</v>
          </cell>
        </row>
        <row r="562">
          <cell r="C562" t="str">
            <v>S03</v>
          </cell>
          <cell r="F562">
            <v>2362</v>
          </cell>
          <cell r="I562">
            <v>54892.88</v>
          </cell>
          <cell r="J562">
            <v>38264.400000000001</v>
          </cell>
          <cell r="K562">
            <v>66136</v>
          </cell>
          <cell r="L562">
            <v>45292</v>
          </cell>
        </row>
        <row r="563">
          <cell r="C563" t="str">
            <v>S03</v>
          </cell>
          <cell r="F563">
            <v>2547</v>
          </cell>
          <cell r="I563">
            <v>76664.7</v>
          </cell>
          <cell r="J563">
            <v>49513.68</v>
          </cell>
          <cell r="K563">
            <v>89145</v>
          </cell>
          <cell r="L563">
            <v>45292</v>
          </cell>
        </row>
        <row r="564">
          <cell r="C564" t="str">
            <v>S03</v>
          </cell>
          <cell r="F564">
            <v>3014</v>
          </cell>
          <cell r="I564">
            <v>45571.68</v>
          </cell>
          <cell r="J564">
            <v>29296.080000000002</v>
          </cell>
          <cell r="K564">
            <v>54252</v>
          </cell>
          <cell r="L564">
            <v>45292</v>
          </cell>
        </row>
        <row r="565">
          <cell r="C565" t="str">
            <v>S03</v>
          </cell>
          <cell r="F565">
            <v>2358</v>
          </cell>
          <cell r="I565">
            <v>61543.8</v>
          </cell>
          <cell r="J565">
            <v>35652.959999999999</v>
          </cell>
          <cell r="K565">
            <v>70740</v>
          </cell>
          <cell r="L565">
            <v>45292</v>
          </cell>
        </row>
        <row r="566">
          <cell r="C566" t="str">
            <v>S03</v>
          </cell>
          <cell r="F566">
            <v>1672</v>
          </cell>
          <cell r="I566">
            <v>55510.400000000001</v>
          </cell>
          <cell r="J566">
            <v>36115.199999999997</v>
          </cell>
          <cell r="K566">
            <v>66880</v>
          </cell>
          <cell r="L566">
            <v>45292</v>
          </cell>
        </row>
        <row r="567">
          <cell r="C567" t="str">
            <v>S03</v>
          </cell>
          <cell r="F567">
            <v>2217</v>
          </cell>
          <cell r="I567">
            <v>19287.900000000001</v>
          </cell>
          <cell r="J567">
            <v>9577.44</v>
          </cell>
          <cell r="K567">
            <v>22170</v>
          </cell>
          <cell r="L567">
            <v>45292</v>
          </cell>
        </row>
        <row r="568">
          <cell r="C568" t="str">
            <v>S03</v>
          </cell>
          <cell r="F568">
            <v>1848</v>
          </cell>
          <cell r="I568">
            <v>33744.480000000003</v>
          </cell>
          <cell r="J568">
            <v>19958.400000000001</v>
          </cell>
          <cell r="K568">
            <v>40656</v>
          </cell>
          <cell r="L568">
            <v>45292</v>
          </cell>
        </row>
        <row r="569">
          <cell r="C569" t="str">
            <v>S04</v>
          </cell>
          <cell r="F569">
            <v>1975</v>
          </cell>
          <cell r="I569">
            <v>39342</v>
          </cell>
          <cell r="J569">
            <v>25596</v>
          </cell>
          <cell r="K569">
            <v>47400</v>
          </cell>
          <cell r="L569">
            <v>45292</v>
          </cell>
        </row>
        <row r="570">
          <cell r="C570" t="str">
            <v>S04</v>
          </cell>
          <cell r="F570">
            <v>2195</v>
          </cell>
          <cell r="I570">
            <v>92190</v>
          </cell>
          <cell r="J570">
            <v>66376.800000000003</v>
          </cell>
          <cell r="K570">
            <v>109750</v>
          </cell>
          <cell r="L570">
            <v>45292</v>
          </cell>
        </row>
        <row r="571">
          <cell r="C571" t="str">
            <v>S04</v>
          </cell>
          <cell r="F571">
            <v>2081</v>
          </cell>
          <cell r="I571">
            <v>50693.16</v>
          </cell>
          <cell r="J571">
            <v>33712.199999999997</v>
          </cell>
          <cell r="K571">
            <v>58268</v>
          </cell>
          <cell r="L571">
            <v>45292</v>
          </cell>
        </row>
        <row r="572">
          <cell r="C572" t="str">
            <v>S04</v>
          </cell>
          <cell r="F572">
            <v>3066</v>
          </cell>
          <cell r="I572">
            <v>90140.4</v>
          </cell>
          <cell r="J572">
            <v>59603.040000000001</v>
          </cell>
          <cell r="K572">
            <v>107310</v>
          </cell>
          <cell r="L572">
            <v>45292</v>
          </cell>
        </row>
        <row r="573">
          <cell r="C573" t="str">
            <v>S04</v>
          </cell>
          <cell r="F573">
            <v>1548</v>
          </cell>
          <cell r="I573">
            <v>23127.119999999999</v>
          </cell>
          <cell r="J573">
            <v>15046.56</v>
          </cell>
          <cell r="K573">
            <v>27864</v>
          </cell>
          <cell r="L573">
            <v>45292</v>
          </cell>
        </row>
        <row r="574">
          <cell r="C574" t="str">
            <v>S04</v>
          </cell>
          <cell r="F574">
            <v>2186</v>
          </cell>
          <cell r="I574">
            <v>57054.6</v>
          </cell>
          <cell r="J574">
            <v>33052.32</v>
          </cell>
          <cell r="K574">
            <v>65580</v>
          </cell>
          <cell r="L574">
            <v>45292</v>
          </cell>
        </row>
        <row r="575">
          <cell r="C575" t="str">
            <v>S04</v>
          </cell>
          <cell r="F575">
            <v>2107</v>
          </cell>
          <cell r="I575">
            <v>72480.800000000003</v>
          </cell>
          <cell r="J575">
            <v>45511.199999999997</v>
          </cell>
          <cell r="K575">
            <v>84280</v>
          </cell>
          <cell r="L575">
            <v>45292</v>
          </cell>
        </row>
        <row r="576">
          <cell r="C576" t="str">
            <v>S04</v>
          </cell>
          <cell r="F576">
            <v>2076</v>
          </cell>
          <cell r="I576">
            <v>18061.2</v>
          </cell>
          <cell r="J576">
            <v>8968.32</v>
          </cell>
          <cell r="K576">
            <v>20760</v>
          </cell>
          <cell r="L576">
            <v>45292</v>
          </cell>
        </row>
        <row r="577">
          <cell r="C577" t="str">
            <v>S04</v>
          </cell>
          <cell r="F577">
            <v>2547</v>
          </cell>
          <cell r="I577">
            <v>47628.9</v>
          </cell>
          <cell r="J577">
            <v>27507.599999999999</v>
          </cell>
          <cell r="K577">
            <v>56034</v>
          </cell>
          <cell r="L577">
            <v>45292</v>
          </cell>
        </row>
        <row r="578">
          <cell r="C578" t="str">
            <v>S05</v>
          </cell>
          <cell r="F578">
            <v>1663</v>
          </cell>
          <cell r="I578">
            <v>33526.080000000002</v>
          </cell>
          <cell r="J578">
            <v>21552.48</v>
          </cell>
          <cell r="K578">
            <v>39912</v>
          </cell>
          <cell r="L578">
            <v>45292</v>
          </cell>
        </row>
        <row r="579">
          <cell r="C579" t="str">
            <v>S05</v>
          </cell>
          <cell r="F579">
            <v>2116</v>
          </cell>
          <cell r="I579">
            <v>90988</v>
          </cell>
          <cell r="J579">
            <v>63987.839999999997</v>
          </cell>
          <cell r="K579">
            <v>105800</v>
          </cell>
          <cell r="L579">
            <v>45292</v>
          </cell>
        </row>
        <row r="580">
          <cell r="C580" t="str">
            <v>S05</v>
          </cell>
          <cell r="F580">
            <v>2446</v>
          </cell>
          <cell r="I580">
            <v>56845.04</v>
          </cell>
          <cell r="J580">
            <v>39625.199999999997</v>
          </cell>
          <cell r="K580">
            <v>68488</v>
          </cell>
          <cell r="L580">
            <v>45292</v>
          </cell>
        </row>
        <row r="581">
          <cell r="C581" t="str">
            <v>S05</v>
          </cell>
          <cell r="F581">
            <v>2279</v>
          </cell>
          <cell r="I581">
            <v>68597.899999999994</v>
          </cell>
          <cell r="J581">
            <v>44303.76</v>
          </cell>
          <cell r="K581">
            <v>79765</v>
          </cell>
          <cell r="L581">
            <v>45292</v>
          </cell>
        </row>
        <row r="582">
          <cell r="C582" t="str">
            <v>S05</v>
          </cell>
          <cell r="F582">
            <v>2956</v>
          </cell>
          <cell r="I582">
            <v>46290.96</v>
          </cell>
          <cell r="J582">
            <v>28732.32</v>
          </cell>
          <cell r="K582">
            <v>53208</v>
          </cell>
          <cell r="L582">
            <v>45292</v>
          </cell>
        </row>
        <row r="583">
          <cell r="C583" t="str">
            <v>S05</v>
          </cell>
          <cell r="F583">
            <v>1821</v>
          </cell>
          <cell r="I583">
            <v>46435.5</v>
          </cell>
          <cell r="J583">
            <v>27533.52</v>
          </cell>
          <cell r="K583">
            <v>54630</v>
          </cell>
          <cell r="L583">
            <v>45292</v>
          </cell>
        </row>
        <row r="584">
          <cell r="C584" t="str">
            <v>S05</v>
          </cell>
          <cell r="F584">
            <v>2389</v>
          </cell>
          <cell r="I584">
            <v>80270.399999999994</v>
          </cell>
          <cell r="J584">
            <v>51602.400000000001</v>
          </cell>
          <cell r="K584">
            <v>95560</v>
          </cell>
          <cell r="L584">
            <v>45292</v>
          </cell>
        </row>
        <row r="585">
          <cell r="C585" t="str">
            <v>S05</v>
          </cell>
          <cell r="F585">
            <v>1553</v>
          </cell>
          <cell r="I585">
            <v>13511.1</v>
          </cell>
          <cell r="J585">
            <v>6708.96</v>
          </cell>
          <cell r="K585">
            <v>15530</v>
          </cell>
          <cell r="L585">
            <v>45292</v>
          </cell>
        </row>
        <row r="586">
          <cell r="C586" t="str">
            <v>S05</v>
          </cell>
          <cell r="F586">
            <v>1500</v>
          </cell>
          <cell r="I586">
            <v>28050</v>
          </cell>
          <cell r="J586">
            <v>16200</v>
          </cell>
          <cell r="K586">
            <v>33000</v>
          </cell>
          <cell r="L586">
            <v>45292</v>
          </cell>
        </row>
        <row r="587">
          <cell r="C587" t="str">
            <v>S01</v>
          </cell>
          <cell r="F587">
            <v>1896</v>
          </cell>
          <cell r="I587">
            <v>38223.360000000001</v>
          </cell>
          <cell r="J587">
            <v>24572.16</v>
          </cell>
          <cell r="K587">
            <v>45504</v>
          </cell>
          <cell r="L587">
            <v>45323</v>
          </cell>
        </row>
        <row r="588">
          <cell r="C588" t="str">
            <v>S01</v>
          </cell>
          <cell r="F588">
            <v>2846</v>
          </cell>
          <cell r="I588">
            <v>119532</v>
          </cell>
          <cell r="J588">
            <v>86063.039999999994</v>
          </cell>
          <cell r="K588">
            <v>142300</v>
          </cell>
          <cell r="L588">
            <v>45323</v>
          </cell>
        </row>
        <row r="589">
          <cell r="C589" t="str">
            <v>S01</v>
          </cell>
          <cell r="F589">
            <v>2081</v>
          </cell>
          <cell r="I589">
            <v>51275.839999999997</v>
          </cell>
          <cell r="J589">
            <v>33712.199999999997</v>
          </cell>
          <cell r="K589">
            <v>58268</v>
          </cell>
          <cell r="L589">
            <v>45323</v>
          </cell>
        </row>
        <row r="590">
          <cell r="C590" t="str">
            <v>S01</v>
          </cell>
          <cell r="F590">
            <v>1584</v>
          </cell>
          <cell r="I590">
            <v>48232.800000000003</v>
          </cell>
          <cell r="J590">
            <v>30792.959999999999</v>
          </cell>
          <cell r="K590">
            <v>55440</v>
          </cell>
          <cell r="L590">
            <v>45323</v>
          </cell>
        </row>
        <row r="591">
          <cell r="C591" t="str">
            <v>S01</v>
          </cell>
          <cell r="F591">
            <v>2873</v>
          </cell>
          <cell r="I591">
            <v>44991.18</v>
          </cell>
          <cell r="J591">
            <v>27925.56</v>
          </cell>
          <cell r="K591">
            <v>51714</v>
          </cell>
          <cell r="L591">
            <v>45323</v>
          </cell>
        </row>
        <row r="592">
          <cell r="C592" t="str">
            <v>S01</v>
          </cell>
          <cell r="F592">
            <v>2389</v>
          </cell>
          <cell r="I592">
            <v>60202.8</v>
          </cell>
          <cell r="J592">
            <v>36121.68</v>
          </cell>
          <cell r="K592">
            <v>71670</v>
          </cell>
          <cell r="L592">
            <v>45323</v>
          </cell>
        </row>
        <row r="593">
          <cell r="C593" t="str">
            <v>S01</v>
          </cell>
          <cell r="F593">
            <v>2503</v>
          </cell>
          <cell r="I593">
            <v>86103.2</v>
          </cell>
          <cell r="J593">
            <v>54064.800000000003</v>
          </cell>
          <cell r="K593">
            <v>100120</v>
          </cell>
          <cell r="L593">
            <v>45323</v>
          </cell>
        </row>
        <row r="594">
          <cell r="C594" t="str">
            <v>S01</v>
          </cell>
          <cell r="F594">
            <v>2565</v>
          </cell>
          <cell r="I594">
            <v>22059</v>
          </cell>
          <cell r="J594">
            <v>11080.8</v>
          </cell>
          <cell r="K594">
            <v>25650</v>
          </cell>
          <cell r="L594">
            <v>45323</v>
          </cell>
        </row>
        <row r="595">
          <cell r="C595" t="str">
            <v>S01</v>
          </cell>
          <cell r="F595">
            <v>1425</v>
          </cell>
          <cell r="I595">
            <v>26647.5</v>
          </cell>
          <cell r="J595">
            <v>15390</v>
          </cell>
          <cell r="K595">
            <v>31350</v>
          </cell>
          <cell r="L595">
            <v>45323</v>
          </cell>
        </row>
        <row r="596">
          <cell r="C596" t="str">
            <v>S02</v>
          </cell>
          <cell r="F596">
            <v>2314</v>
          </cell>
          <cell r="I596">
            <v>47760.959999999999</v>
          </cell>
          <cell r="J596">
            <v>29989.439999999999</v>
          </cell>
          <cell r="K596">
            <v>55536</v>
          </cell>
          <cell r="L596">
            <v>45323</v>
          </cell>
        </row>
        <row r="597">
          <cell r="C597" t="str">
            <v>S02</v>
          </cell>
          <cell r="F597">
            <v>1680</v>
          </cell>
          <cell r="I597">
            <v>71400</v>
          </cell>
          <cell r="J597">
            <v>50803.199999999997</v>
          </cell>
          <cell r="K597">
            <v>84000</v>
          </cell>
          <cell r="L597">
            <v>45323</v>
          </cell>
        </row>
        <row r="598">
          <cell r="C598" t="str">
            <v>S02</v>
          </cell>
          <cell r="F598">
            <v>1421</v>
          </cell>
          <cell r="I598">
            <v>33421.919999999998</v>
          </cell>
          <cell r="J598">
            <v>23020.2</v>
          </cell>
          <cell r="K598">
            <v>39788</v>
          </cell>
          <cell r="L598">
            <v>45323</v>
          </cell>
        </row>
        <row r="599">
          <cell r="C599" t="str">
            <v>S02</v>
          </cell>
          <cell r="F599">
            <v>2296</v>
          </cell>
          <cell r="I599">
            <v>69913.2</v>
          </cell>
          <cell r="J599">
            <v>44634.239999999998</v>
          </cell>
          <cell r="K599">
            <v>80360</v>
          </cell>
          <cell r="L599">
            <v>45323</v>
          </cell>
        </row>
        <row r="600">
          <cell r="C600" t="str">
            <v>S02</v>
          </cell>
          <cell r="F600">
            <v>1821</v>
          </cell>
          <cell r="I600">
            <v>27205.74</v>
          </cell>
          <cell r="J600">
            <v>17700.12</v>
          </cell>
          <cell r="K600">
            <v>32778</v>
          </cell>
          <cell r="L600">
            <v>45323</v>
          </cell>
        </row>
        <row r="601">
          <cell r="C601" t="str">
            <v>S02</v>
          </cell>
          <cell r="F601">
            <v>1496</v>
          </cell>
          <cell r="I601">
            <v>37699.199999999997</v>
          </cell>
          <cell r="J601">
            <v>22619.52</v>
          </cell>
          <cell r="K601">
            <v>44880</v>
          </cell>
          <cell r="L601">
            <v>45323</v>
          </cell>
        </row>
        <row r="602">
          <cell r="C602" t="str">
            <v>S02</v>
          </cell>
          <cell r="F602">
            <v>1390</v>
          </cell>
          <cell r="I602">
            <v>48372</v>
          </cell>
          <cell r="J602">
            <v>30024</v>
          </cell>
          <cell r="K602">
            <v>55600</v>
          </cell>
          <cell r="L602">
            <v>45323</v>
          </cell>
        </row>
        <row r="603">
          <cell r="C603" t="str">
            <v>S02</v>
          </cell>
          <cell r="F603">
            <v>1597</v>
          </cell>
          <cell r="I603">
            <v>13893.9</v>
          </cell>
          <cell r="J603">
            <v>6899.04</v>
          </cell>
          <cell r="K603">
            <v>15970</v>
          </cell>
          <cell r="L603">
            <v>45323</v>
          </cell>
        </row>
        <row r="604">
          <cell r="C604" t="str">
            <v>S02</v>
          </cell>
          <cell r="F604">
            <v>3014</v>
          </cell>
          <cell r="I604">
            <v>57024.88</v>
          </cell>
          <cell r="J604">
            <v>32551.200000000001</v>
          </cell>
          <cell r="K604">
            <v>66308</v>
          </cell>
          <cell r="L604">
            <v>45323</v>
          </cell>
        </row>
        <row r="605">
          <cell r="C605" t="str">
            <v>S03</v>
          </cell>
          <cell r="F605">
            <v>1663</v>
          </cell>
          <cell r="I605">
            <v>34723.440000000002</v>
          </cell>
          <cell r="J605">
            <v>21552.48</v>
          </cell>
          <cell r="K605">
            <v>39912</v>
          </cell>
          <cell r="L605">
            <v>45323</v>
          </cell>
        </row>
        <row r="606">
          <cell r="C606" t="str">
            <v>S03</v>
          </cell>
          <cell r="F606">
            <v>2635</v>
          </cell>
          <cell r="I606">
            <v>115940</v>
          </cell>
          <cell r="J606">
            <v>79682.399999999994</v>
          </cell>
          <cell r="K606">
            <v>131750</v>
          </cell>
          <cell r="L606">
            <v>45323</v>
          </cell>
        </row>
        <row r="607">
          <cell r="C607" t="str">
            <v>S03</v>
          </cell>
          <cell r="F607">
            <v>2675</v>
          </cell>
          <cell r="I607">
            <v>65912</v>
          </cell>
          <cell r="J607">
            <v>43335</v>
          </cell>
          <cell r="K607">
            <v>74900</v>
          </cell>
          <cell r="L607">
            <v>45323</v>
          </cell>
        </row>
        <row r="608">
          <cell r="C608" t="str">
            <v>S03</v>
          </cell>
          <cell r="F608">
            <v>1922</v>
          </cell>
          <cell r="I608">
            <v>56506.8</v>
          </cell>
          <cell r="J608">
            <v>37363.68</v>
          </cell>
          <cell r="K608">
            <v>67270</v>
          </cell>
          <cell r="L608">
            <v>45323</v>
          </cell>
        </row>
        <row r="609">
          <cell r="C609" t="str">
            <v>S03</v>
          </cell>
          <cell r="F609">
            <v>1760</v>
          </cell>
          <cell r="I609">
            <v>26928</v>
          </cell>
          <cell r="J609">
            <v>17107.2</v>
          </cell>
          <cell r="K609">
            <v>31680</v>
          </cell>
          <cell r="L609">
            <v>45323</v>
          </cell>
        </row>
        <row r="610">
          <cell r="C610" t="str">
            <v>S03</v>
          </cell>
          <cell r="F610">
            <v>2591</v>
          </cell>
          <cell r="I610">
            <v>64515.9</v>
          </cell>
          <cell r="J610">
            <v>39175.919999999998</v>
          </cell>
          <cell r="K610">
            <v>77730</v>
          </cell>
          <cell r="L610">
            <v>45323</v>
          </cell>
        </row>
        <row r="611">
          <cell r="C611" t="str">
            <v>S03</v>
          </cell>
          <cell r="F611">
            <v>2371</v>
          </cell>
          <cell r="I611">
            <v>82510.8</v>
          </cell>
          <cell r="J611">
            <v>51213.599999999999</v>
          </cell>
          <cell r="K611">
            <v>94840</v>
          </cell>
          <cell r="L611">
            <v>45323</v>
          </cell>
        </row>
        <row r="612">
          <cell r="C612" t="str">
            <v>S03</v>
          </cell>
          <cell r="F612">
            <v>1782</v>
          </cell>
          <cell r="I612">
            <v>15325.2</v>
          </cell>
          <cell r="J612">
            <v>7698.24</v>
          </cell>
          <cell r="K612">
            <v>17820</v>
          </cell>
          <cell r="L612">
            <v>45323</v>
          </cell>
        </row>
        <row r="613">
          <cell r="C613" t="str">
            <v>S03</v>
          </cell>
          <cell r="F613">
            <v>2882</v>
          </cell>
          <cell r="I613">
            <v>55161.48</v>
          </cell>
          <cell r="J613">
            <v>31125.599999999999</v>
          </cell>
          <cell r="K613">
            <v>63404</v>
          </cell>
          <cell r="L613">
            <v>45323</v>
          </cell>
        </row>
        <row r="614">
          <cell r="C614" t="str">
            <v>S04</v>
          </cell>
          <cell r="F614">
            <v>1447</v>
          </cell>
          <cell r="I614">
            <v>29518.799999999999</v>
          </cell>
          <cell r="J614">
            <v>18753.12</v>
          </cell>
          <cell r="K614">
            <v>34728</v>
          </cell>
          <cell r="L614">
            <v>45323</v>
          </cell>
        </row>
        <row r="615">
          <cell r="C615" t="str">
            <v>S04</v>
          </cell>
          <cell r="F615">
            <v>1364</v>
          </cell>
          <cell r="I615">
            <v>58652</v>
          </cell>
          <cell r="J615">
            <v>41247.360000000001</v>
          </cell>
          <cell r="K615">
            <v>68200</v>
          </cell>
          <cell r="L615">
            <v>45323</v>
          </cell>
        </row>
        <row r="616">
          <cell r="C616" t="str">
            <v>S04</v>
          </cell>
          <cell r="F616">
            <v>1592</v>
          </cell>
          <cell r="I616">
            <v>37889.599999999999</v>
          </cell>
          <cell r="J616">
            <v>25790.400000000001</v>
          </cell>
          <cell r="K616">
            <v>44576</v>
          </cell>
          <cell r="L616">
            <v>45323</v>
          </cell>
        </row>
        <row r="617">
          <cell r="C617" t="str">
            <v>S04</v>
          </cell>
          <cell r="F617">
            <v>2406</v>
          </cell>
          <cell r="I617">
            <v>72420.600000000006</v>
          </cell>
          <cell r="J617">
            <v>46772.639999999999</v>
          </cell>
          <cell r="K617">
            <v>84210</v>
          </cell>
          <cell r="L617">
            <v>45323</v>
          </cell>
        </row>
        <row r="618">
          <cell r="C618" t="str">
            <v>S04</v>
          </cell>
          <cell r="F618">
            <v>1610</v>
          </cell>
          <cell r="I618">
            <v>25212.6</v>
          </cell>
          <cell r="J618">
            <v>15649.2</v>
          </cell>
          <cell r="K618">
            <v>28980</v>
          </cell>
          <cell r="L618">
            <v>45323</v>
          </cell>
        </row>
        <row r="619">
          <cell r="C619" t="str">
            <v>S04</v>
          </cell>
          <cell r="F619">
            <v>2763</v>
          </cell>
          <cell r="I619">
            <v>69627.600000000006</v>
          </cell>
          <cell r="J619">
            <v>41776.559999999998</v>
          </cell>
          <cell r="K619">
            <v>82890</v>
          </cell>
          <cell r="L619">
            <v>45323</v>
          </cell>
        </row>
        <row r="620">
          <cell r="C620" t="str">
            <v>S04</v>
          </cell>
          <cell r="F620">
            <v>2072</v>
          </cell>
          <cell r="I620">
            <v>71276.800000000003</v>
          </cell>
          <cell r="J620">
            <v>44755.199999999997</v>
          </cell>
          <cell r="K620">
            <v>82880</v>
          </cell>
          <cell r="L620">
            <v>45323</v>
          </cell>
        </row>
        <row r="621">
          <cell r="C621" t="str">
            <v>S04</v>
          </cell>
          <cell r="F621">
            <v>2978</v>
          </cell>
          <cell r="I621">
            <v>25908.6</v>
          </cell>
          <cell r="J621">
            <v>12864.96</v>
          </cell>
          <cell r="K621">
            <v>29780</v>
          </cell>
          <cell r="L621">
            <v>45323</v>
          </cell>
        </row>
        <row r="622">
          <cell r="C622" t="str">
            <v>S04</v>
          </cell>
          <cell r="F622">
            <v>2120</v>
          </cell>
          <cell r="I622">
            <v>41043.199999999997</v>
          </cell>
          <cell r="J622">
            <v>22896</v>
          </cell>
          <cell r="K622">
            <v>46640</v>
          </cell>
          <cell r="L622">
            <v>45323</v>
          </cell>
        </row>
        <row r="623">
          <cell r="C623" t="str">
            <v>S05</v>
          </cell>
          <cell r="F623">
            <v>2816</v>
          </cell>
          <cell r="I623">
            <v>58798.080000000002</v>
          </cell>
          <cell r="J623">
            <v>36495.360000000001</v>
          </cell>
          <cell r="K623">
            <v>67584</v>
          </cell>
          <cell r="L623">
            <v>45323</v>
          </cell>
        </row>
        <row r="624">
          <cell r="C624" t="str">
            <v>S05</v>
          </cell>
          <cell r="F624">
            <v>2582</v>
          </cell>
          <cell r="I624">
            <v>108444</v>
          </cell>
          <cell r="J624">
            <v>78079.679999999993</v>
          </cell>
          <cell r="K624">
            <v>129100</v>
          </cell>
          <cell r="L624">
            <v>45323</v>
          </cell>
        </row>
        <row r="625">
          <cell r="C625" t="str">
            <v>S05</v>
          </cell>
          <cell r="F625">
            <v>1799</v>
          </cell>
          <cell r="I625">
            <v>43319.92</v>
          </cell>
          <cell r="J625">
            <v>29143.8</v>
          </cell>
          <cell r="K625">
            <v>50372</v>
          </cell>
          <cell r="L625">
            <v>45323</v>
          </cell>
        </row>
        <row r="626">
          <cell r="C626" t="str">
            <v>S05</v>
          </cell>
          <cell r="F626">
            <v>2965</v>
          </cell>
          <cell r="I626">
            <v>90284.25</v>
          </cell>
          <cell r="J626">
            <v>57639.6</v>
          </cell>
          <cell r="K626">
            <v>103775</v>
          </cell>
          <cell r="L626">
            <v>45323</v>
          </cell>
        </row>
        <row r="627">
          <cell r="C627" t="str">
            <v>S05</v>
          </cell>
          <cell r="F627">
            <v>1509</v>
          </cell>
          <cell r="I627">
            <v>22544.46</v>
          </cell>
          <cell r="J627">
            <v>14667.48</v>
          </cell>
          <cell r="K627">
            <v>27162</v>
          </cell>
          <cell r="L627">
            <v>45323</v>
          </cell>
        </row>
        <row r="628">
          <cell r="C628" t="str">
            <v>S05</v>
          </cell>
          <cell r="F628">
            <v>1496</v>
          </cell>
          <cell r="I628">
            <v>37699.199999999997</v>
          </cell>
          <cell r="J628">
            <v>22619.52</v>
          </cell>
          <cell r="K628">
            <v>44880</v>
          </cell>
          <cell r="L628">
            <v>45323</v>
          </cell>
        </row>
        <row r="629">
          <cell r="C629" t="str">
            <v>S05</v>
          </cell>
          <cell r="F629">
            <v>2024</v>
          </cell>
          <cell r="I629">
            <v>68006.399999999994</v>
          </cell>
          <cell r="J629">
            <v>43718.400000000001</v>
          </cell>
          <cell r="K629">
            <v>80960</v>
          </cell>
          <cell r="L629">
            <v>45323</v>
          </cell>
        </row>
        <row r="630">
          <cell r="C630" t="str">
            <v>S05</v>
          </cell>
          <cell r="F630">
            <v>2780</v>
          </cell>
          <cell r="I630">
            <v>23630</v>
          </cell>
          <cell r="J630">
            <v>12009.6</v>
          </cell>
          <cell r="K630">
            <v>27800</v>
          </cell>
          <cell r="L630">
            <v>45323</v>
          </cell>
        </row>
        <row r="631">
          <cell r="C631" t="str">
            <v>S05</v>
          </cell>
          <cell r="F631">
            <v>2732</v>
          </cell>
          <cell r="I631">
            <v>51689.440000000002</v>
          </cell>
          <cell r="J631">
            <v>29505.599999999999</v>
          </cell>
          <cell r="K631">
            <v>60104</v>
          </cell>
          <cell r="L631">
            <v>45323</v>
          </cell>
        </row>
        <row r="632">
          <cell r="C632" t="str">
            <v>S01</v>
          </cell>
          <cell r="F632">
            <v>1394</v>
          </cell>
          <cell r="I632">
            <v>28103.040000000001</v>
          </cell>
          <cell r="J632">
            <v>18066.240000000002</v>
          </cell>
          <cell r="K632">
            <v>33456</v>
          </cell>
          <cell r="L632">
            <v>45352</v>
          </cell>
        </row>
        <row r="633">
          <cell r="C633" t="str">
            <v>S01</v>
          </cell>
          <cell r="F633">
            <v>1386</v>
          </cell>
          <cell r="I633">
            <v>58212</v>
          </cell>
          <cell r="J633">
            <v>41912.639999999999</v>
          </cell>
          <cell r="K633">
            <v>69300</v>
          </cell>
          <cell r="L633">
            <v>45352</v>
          </cell>
        </row>
        <row r="634">
          <cell r="C634" t="str">
            <v>S01</v>
          </cell>
          <cell r="F634">
            <v>1782</v>
          </cell>
          <cell r="I634">
            <v>41912.639999999999</v>
          </cell>
          <cell r="J634">
            <v>28868.400000000001</v>
          </cell>
          <cell r="K634">
            <v>49896</v>
          </cell>
          <cell r="L634">
            <v>45352</v>
          </cell>
        </row>
        <row r="635">
          <cell r="C635" t="str">
            <v>S01</v>
          </cell>
          <cell r="F635">
            <v>1808</v>
          </cell>
          <cell r="I635">
            <v>55053.599999999999</v>
          </cell>
          <cell r="J635">
            <v>35147.519999999997</v>
          </cell>
          <cell r="K635">
            <v>63280</v>
          </cell>
          <cell r="L635">
            <v>45352</v>
          </cell>
        </row>
        <row r="636">
          <cell r="C636" t="str">
            <v>S01</v>
          </cell>
          <cell r="F636">
            <v>1416</v>
          </cell>
          <cell r="I636">
            <v>21919.68</v>
          </cell>
          <cell r="J636">
            <v>13763.52</v>
          </cell>
          <cell r="K636">
            <v>25488</v>
          </cell>
          <cell r="L636">
            <v>45352</v>
          </cell>
        </row>
        <row r="637">
          <cell r="C637" t="str">
            <v>S01</v>
          </cell>
          <cell r="F637">
            <v>1584</v>
          </cell>
          <cell r="I637">
            <v>40867.199999999997</v>
          </cell>
          <cell r="J637">
            <v>23950.080000000002</v>
          </cell>
          <cell r="K637">
            <v>47520</v>
          </cell>
          <cell r="L637">
            <v>45352</v>
          </cell>
        </row>
        <row r="638">
          <cell r="C638" t="str">
            <v>S01</v>
          </cell>
          <cell r="F638">
            <v>2486</v>
          </cell>
          <cell r="I638">
            <v>86512.8</v>
          </cell>
          <cell r="J638">
            <v>53697.599999999999</v>
          </cell>
          <cell r="K638">
            <v>99440</v>
          </cell>
          <cell r="L638">
            <v>45352</v>
          </cell>
        </row>
        <row r="639">
          <cell r="C639" t="str">
            <v>S01</v>
          </cell>
          <cell r="F639">
            <v>1953</v>
          </cell>
          <cell r="I639">
            <v>16991.099999999999</v>
          </cell>
          <cell r="J639">
            <v>8436.9599999999991</v>
          </cell>
          <cell r="K639">
            <v>19530</v>
          </cell>
          <cell r="L639">
            <v>45352</v>
          </cell>
        </row>
        <row r="640">
          <cell r="C640" t="str">
            <v>S01</v>
          </cell>
          <cell r="F640">
            <v>1672</v>
          </cell>
          <cell r="I640">
            <v>32002.080000000002</v>
          </cell>
          <cell r="J640">
            <v>18057.599999999999</v>
          </cell>
          <cell r="K640">
            <v>36784</v>
          </cell>
          <cell r="L640">
            <v>45352</v>
          </cell>
        </row>
        <row r="641">
          <cell r="C641" t="str">
            <v>S02</v>
          </cell>
          <cell r="F641">
            <v>1777</v>
          </cell>
          <cell r="I641">
            <v>37530.239999999998</v>
          </cell>
          <cell r="J641">
            <v>23029.919999999998</v>
          </cell>
          <cell r="K641">
            <v>42648</v>
          </cell>
          <cell r="L641">
            <v>45352</v>
          </cell>
        </row>
        <row r="642">
          <cell r="C642" t="str">
            <v>S02</v>
          </cell>
          <cell r="F642">
            <v>2824</v>
          </cell>
          <cell r="I642">
            <v>118608</v>
          </cell>
          <cell r="J642">
            <v>85397.759999999995</v>
          </cell>
          <cell r="K642">
            <v>141200</v>
          </cell>
          <cell r="L642">
            <v>45352</v>
          </cell>
        </row>
        <row r="643">
          <cell r="C643" t="str">
            <v>S02</v>
          </cell>
          <cell r="F643">
            <v>1482</v>
          </cell>
          <cell r="I643">
            <v>36516.480000000003</v>
          </cell>
          <cell r="J643">
            <v>24008.400000000001</v>
          </cell>
          <cell r="K643">
            <v>41496</v>
          </cell>
          <cell r="L643">
            <v>45352</v>
          </cell>
        </row>
        <row r="644">
          <cell r="C644" t="str">
            <v>S02</v>
          </cell>
          <cell r="F644">
            <v>2279</v>
          </cell>
          <cell r="I644">
            <v>70193.2</v>
          </cell>
          <cell r="J644">
            <v>44303.76</v>
          </cell>
          <cell r="K644">
            <v>79765</v>
          </cell>
          <cell r="L644">
            <v>45352</v>
          </cell>
        </row>
        <row r="645">
          <cell r="C645" t="str">
            <v>S02</v>
          </cell>
          <cell r="F645">
            <v>1465</v>
          </cell>
          <cell r="I645">
            <v>22150.799999999999</v>
          </cell>
          <cell r="J645">
            <v>14239.8</v>
          </cell>
          <cell r="K645">
            <v>26370</v>
          </cell>
          <cell r="L645">
            <v>45352</v>
          </cell>
        </row>
        <row r="646">
          <cell r="C646" t="str">
            <v>S02</v>
          </cell>
          <cell r="F646">
            <v>2098</v>
          </cell>
          <cell r="I646">
            <v>52869.599999999999</v>
          </cell>
          <cell r="J646">
            <v>31721.759999999998</v>
          </cell>
          <cell r="K646">
            <v>62940</v>
          </cell>
          <cell r="L646">
            <v>45352</v>
          </cell>
        </row>
        <row r="647">
          <cell r="C647" t="str">
            <v>S02</v>
          </cell>
          <cell r="F647">
            <v>2904</v>
          </cell>
          <cell r="I647">
            <v>101059.2</v>
          </cell>
          <cell r="J647">
            <v>62726.400000000001</v>
          </cell>
          <cell r="K647">
            <v>116160</v>
          </cell>
          <cell r="L647">
            <v>45352</v>
          </cell>
        </row>
        <row r="648">
          <cell r="C648" t="str">
            <v>S02</v>
          </cell>
          <cell r="F648">
            <v>2569</v>
          </cell>
          <cell r="I648">
            <v>22093.4</v>
          </cell>
          <cell r="J648">
            <v>11098.08</v>
          </cell>
          <cell r="K648">
            <v>25690</v>
          </cell>
          <cell r="L648">
            <v>45352</v>
          </cell>
        </row>
        <row r="649">
          <cell r="C649" t="str">
            <v>S02</v>
          </cell>
          <cell r="F649">
            <v>1509</v>
          </cell>
          <cell r="I649">
            <v>28882.26</v>
          </cell>
          <cell r="J649">
            <v>16297.2</v>
          </cell>
          <cell r="K649">
            <v>33198</v>
          </cell>
          <cell r="L649">
            <v>45352</v>
          </cell>
        </row>
        <row r="650">
          <cell r="C650" t="str">
            <v>S03</v>
          </cell>
          <cell r="F650">
            <v>2622</v>
          </cell>
          <cell r="I650">
            <v>54747.360000000001</v>
          </cell>
          <cell r="J650">
            <v>33981.120000000003</v>
          </cell>
          <cell r="K650">
            <v>62928</v>
          </cell>
          <cell r="L650">
            <v>45352</v>
          </cell>
        </row>
        <row r="651">
          <cell r="C651" t="str">
            <v>S03</v>
          </cell>
          <cell r="F651">
            <v>1460</v>
          </cell>
          <cell r="I651">
            <v>62780</v>
          </cell>
          <cell r="J651">
            <v>44150.400000000001</v>
          </cell>
          <cell r="K651">
            <v>73000</v>
          </cell>
          <cell r="L651">
            <v>45352</v>
          </cell>
        </row>
        <row r="652">
          <cell r="C652" t="str">
            <v>S03</v>
          </cell>
          <cell r="F652">
            <v>2860</v>
          </cell>
          <cell r="I652">
            <v>69669.600000000006</v>
          </cell>
          <cell r="J652">
            <v>46332</v>
          </cell>
          <cell r="K652">
            <v>80080</v>
          </cell>
          <cell r="L652">
            <v>45352</v>
          </cell>
        </row>
        <row r="653">
          <cell r="C653" t="str">
            <v>S03</v>
          </cell>
          <cell r="F653">
            <v>3075</v>
          </cell>
          <cell r="I653">
            <v>92557.5</v>
          </cell>
          <cell r="J653">
            <v>59778</v>
          </cell>
          <cell r="K653">
            <v>107625</v>
          </cell>
          <cell r="L653">
            <v>45352</v>
          </cell>
        </row>
        <row r="654">
          <cell r="C654" t="str">
            <v>S03</v>
          </cell>
          <cell r="F654">
            <v>1936</v>
          </cell>
          <cell r="I654">
            <v>29272.32</v>
          </cell>
          <cell r="J654">
            <v>18817.919999999998</v>
          </cell>
          <cell r="K654">
            <v>34848</v>
          </cell>
          <cell r="L654">
            <v>45352</v>
          </cell>
        </row>
        <row r="655">
          <cell r="C655" t="str">
            <v>S03</v>
          </cell>
          <cell r="F655">
            <v>1865</v>
          </cell>
          <cell r="I655">
            <v>47557.5</v>
          </cell>
          <cell r="J655">
            <v>28198.799999999999</v>
          </cell>
          <cell r="K655">
            <v>55950</v>
          </cell>
          <cell r="L655">
            <v>45352</v>
          </cell>
        </row>
        <row r="656">
          <cell r="C656" t="str">
            <v>S03</v>
          </cell>
          <cell r="F656">
            <v>1892</v>
          </cell>
          <cell r="I656">
            <v>63571.199999999997</v>
          </cell>
          <cell r="J656">
            <v>40867.199999999997</v>
          </cell>
          <cell r="K656">
            <v>75680</v>
          </cell>
          <cell r="L656">
            <v>45352</v>
          </cell>
        </row>
        <row r="657">
          <cell r="C657" t="str">
            <v>S03</v>
          </cell>
          <cell r="F657">
            <v>2477</v>
          </cell>
          <cell r="I657">
            <v>21302.2</v>
          </cell>
          <cell r="J657">
            <v>10700.64</v>
          </cell>
          <cell r="K657">
            <v>24770</v>
          </cell>
          <cell r="L657">
            <v>45352</v>
          </cell>
        </row>
        <row r="658">
          <cell r="C658" t="str">
            <v>S03</v>
          </cell>
          <cell r="F658">
            <v>2578</v>
          </cell>
          <cell r="I658">
            <v>47074.28</v>
          </cell>
          <cell r="J658">
            <v>27842.400000000001</v>
          </cell>
          <cell r="K658">
            <v>56716</v>
          </cell>
          <cell r="L658">
            <v>45352</v>
          </cell>
        </row>
        <row r="659">
          <cell r="C659" t="str">
            <v>S04</v>
          </cell>
          <cell r="F659">
            <v>2191</v>
          </cell>
          <cell r="I659">
            <v>45748.08</v>
          </cell>
          <cell r="J659">
            <v>28395.360000000001</v>
          </cell>
          <cell r="K659">
            <v>52584</v>
          </cell>
          <cell r="L659">
            <v>45352</v>
          </cell>
        </row>
        <row r="660">
          <cell r="C660" t="str">
            <v>S04</v>
          </cell>
          <cell r="F660">
            <v>2310</v>
          </cell>
          <cell r="I660">
            <v>98175</v>
          </cell>
          <cell r="J660">
            <v>69854.399999999994</v>
          </cell>
          <cell r="K660">
            <v>115500</v>
          </cell>
          <cell r="L660">
            <v>45352</v>
          </cell>
        </row>
        <row r="661">
          <cell r="C661" t="str">
            <v>S04</v>
          </cell>
          <cell r="F661">
            <v>2877</v>
          </cell>
          <cell r="I661">
            <v>67667.039999999994</v>
          </cell>
          <cell r="J661">
            <v>46607.4</v>
          </cell>
          <cell r="K661">
            <v>80556</v>
          </cell>
          <cell r="L661">
            <v>45352</v>
          </cell>
        </row>
        <row r="662">
          <cell r="C662" t="str">
            <v>S04</v>
          </cell>
          <cell r="F662">
            <v>2930</v>
          </cell>
          <cell r="I662">
            <v>86142</v>
          </cell>
          <cell r="J662">
            <v>56959.199999999997</v>
          </cell>
          <cell r="K662">
            <v>102550</v>
          </cell>
          <cell r="L662">
            <v>45352</v>
          </cell>
        </row>
        <row r="663">
          <cell r="C663" t="str">
            <v>S04</v>
          </cell>
          <cell r="F663">
            <v>1460</v>
          </cell>
          <cell r="I663">
            <v>22075.200000000001</v>
          </cell>
          <cell r="J663">
            <v>14191.2</v>
          </cell>
          <cell r="K663">
            <v>26280</v>
          </cell>
          <cell r="L663">
            <v>45352</v>
          </cell>
        </row>
        <row r="664">
          <cell r="C664" t="str">
            <v>S04</v>
          </cell>
          <cell r="F664">
            <v>2292</v>
          </cell>
          <cell r="I664">
            <v>59821.2</v>
          </cell>
          <cell r="J664">
            <v>34655.040000000001</v>
          </cell>
          <cell r="K664">
            <v>68760</v>
          </cell>
          <cell r="L664">
            <v>45352</v>
          </cell>
        </row>
        <row r="665">
          <cell r="C665" t="str">
            <v>S04</v>
          </cell>
          <cell r="F665">
            <v>2987</v>
          </cell>
          <cell r="I665">
            <v>99168.4</v>
          </cell>
          <cell r="J665">
            <v>64519.199999999997</v>
          </cell>
          <cell r="K665">
            <v>119480</v>
          </cell>
          <cell r="L665">
            <v>45352</v>
          </cell>
        </row>
        <row r="666">
          <cell r="C666" t="str">
            <v>S04</v>
          </cell>
          <cell r="F666">
            <v>2666</v>
          </cell>
          <cell r="I666">
            <v>23460.799999999999</v>
          </cell>
          <cell r="J666">
            <v>11517.12</v>
          </cell>
          <cell r="K666">
            <v>26660</v>
          </cell>
          <cell r="L666">
            <v>45352</v>
          </cell>
        </row>
        <row r="667">
          <cell r="C667" t="str">
            <v>S04</v>
          </cell>
          <cell r="F667">
            <v>1799</v>
          </cell>
          <cell r="I667">
            <v>33245.519999999997</v>
          </cell>
          <cell r="J667">
            <v>19429.2</v>
          </cell>
          <cell r="K667">
            <v>39578</v>
          </cell>
          <cell r="L667">
            <v>45352</v>
          </cell>
        </row>
        <row r="668">
          <cell r="C668" t="str">
            <v>S05</v>
          </cell>
          <cell r="F668">
            <v>1324</v>
          </cell>
          <cell r="I668">
            <v>26374.080000000002</v>
          </cell>
          <cell r="J668">
            <v>17159.04</v>
          </cell>
          <cell r="K668">
            <v>31776</v>
          </cell>
          <cell r="L668">
            <v>45352</v>
          </cell>
        </row>
        <row r="669">
          <cell r="C669" t="str">
            <v>S05</v>
          </cell>
          <cell r="F669">
            <v>1372</v>
          </cell>
          <cell r="I669">
            <v>56938</v>
          </cell>
          <cell r="J669">
            <v>41489.279999999999</v>
          </cell>
          <cell r="K669">
            <v>68600</v>
          </cell>
          <cell r="L669">
            <v>45352</v>
          </cell>
        </row>
        <row r="670">
          <cell r="C670" t="str">
            <v>S05</v>
          </cell>
          <cell r="F670">
            <v>2134</v>
          </cell>
          <cell r="I670">
            <v>51984.24</v>
          </cell>
          <cell r="J670">
            <v>34570.800000000003</v>
          </cell>
          <cell r="K670">
            <v>59752</v>
          </cell>
          <cell r="L670">
            <v>45352</v>
          </cell>
        </row>
        <row r="671">
          <cell r="C671" t="str">
            <v>S05</v>
          </cell>
          <cell r="F671">
            <v>2204</v>
          </cell>
          <cell r="I671">
            <v>64797.599999999999</v>
          </cell>
          <cell r="J671">
            <v>42845.760000000002</v>
          </cell>
          <cell r="K671">
            <v>77140</v>
          </cell>
          <cell r="L671">
            <v>45352</v>
          </cell>
        </row>
        <row r="672">
          <cell r="C672" t="str">
            <v>S05</v>
          </cell>
          <cell r="F672">
            <v>2745</v>
          </cell>
          <cell r="I672">
            <v>43480.800000000003</v>
          </cell>
          <cell r="J672">
            <v>26681.4</v>
          </cell>
          <cell r="K672">
            <v>49410</v>
          </cell>
          <cell r="L672">
            <v>45352</v>
          </cell>
        </row>
        <row r="673">
          <cell r="C673" t="str">
            <v>S05</v>
          </cell>
          <cell r="F673">
            <v>2503</v>
          </cell>
          <cell r="I673">
            <v>66079.199999999997</v>
          </cell>
          <cell r="J673">
            <v>37845.360000000001</v>
          </cell>
          <cell r="K673">
            <v>75090</v>
          </cell>
          <cell r="L673">
            <v>45352</v>
          </cell>
        </row>
        <row r="674">
          <cell r="C674" t="str">
            <v>S05</v>
          </cell>
          <cell r="F674">
            <v>2644</v>
          </cell>
          <cell r="I674">
            <v>90953.600000000006</v>
          </cell>
          <cell r="J674">
            <v>57110.400000000001</v>
          </cell>
          <cell r="K674">
            <v>105760</v>
          </cell>
          <cell r="L674">
            <v>45352</v>
          </cell>
        </row>
        <row r="675">
          <cell r="C675" t="str">
            <v>S05</v>
          </cell>
          <cell r="F675">
            <v>1852</v>
          </cell>
          <cell r="I675">
            <v>15742</v>
          </cell>
          <cell r="J675">
            <v>8000.64</v>
          </cell>
          <cell r="K675">
            <v>18520</v>
          </cell>
          <cell r="L675">
            <v>45352</v>
          </cell>
        </row>
        <row r="676">
          <cell r="C676" t="str">
            <v>S05</v>
          </cell>
          <cell r="F676">
            <v>1403</v>
          </cell>
          <cell r="I676">
            <v>26236.1</v>
          </cell>
          <cell r="J676">
            <v>15152.4</v>
          </cell>
          <cell r="K676">
            <v>30866</v>
          </cell>
          <cell r="L676">
            <v>45352</v>
          </cell>
        </row>
        <row r="677">
          <cell r="C677" t="str">
            <v>S01</v>
          </cell>
          <cell r="F677">
            <v>2411</v>
          </cell>
          <cell r="I677">
            <v>48027.12</v>
          </cell>
          <cell r="J677">
            <v>31246.560000000001</v>
          </cell>
          <cell r="K677">
            <v>57864</v>
          </cell>
          <cell r="L677">
            <v>45383</v>
          </cell>
        </row>
        <row r="678">
          <cell r="C678" t="str">
            <v>S01</v>
          </cell>
          <cell r="F678">
            <v>1729</v>
          </cell>
          <cell r="I678">
            <v>72618</v>
          </cell>
          <cell r="J678">
            <v>52284.959999999999</v>
          </cell>
          <cell r="K678">
            <v>86450</v>
          </cell>
          <cell r="L678">
            <v>45383</v>
          </cell>
        </row>
        <row r="679">
          <cell r="C679" t="str">
            <v>S01</v>
          </cell>
          <cell r="F679">
            <v>2450</v>
          </cell>
          <cell r="I679">
            <v>57624</v>
          </cell>
          <cell r="J679">
            <v>39690</v>
          </cell>
          <cell r="K679">
            <v>68600</v>
          </cell>
          <cell r="L679">
            <v>45383</v>
          </cell>
        </row>
        <row r="680">
          <cell r="C680" t="str">
            <v>S01</v>
          </cell>
          <cell r="F680">
            <v>2754</v>
          </cell>
          <cell r="I680">
            <v>82895.399999999994</v>
          </cell>
          <cell r="J680">
            <v>53537.760000000002</v>
          </cell>
          <cell r="K680">
            <v>96390</v>
          </cell>
          <cell r="L680">
            <v>45383</v>
          </cell>
        </row>
        <row r="681">
          <cell r="C681" t="str">
            <v>S01</v>
          </cell>
          <cell r="F681">
            <v>2802</v>
          </cell>
          <cell r="I681">
            <v>42366.239999999998</v>
          </cell>
          <cell r="J681">
            <v>27235.439999999999</v>
          </cell>
          <cell r="K681">
            <v>50436</v>
          </cell>
          <cell r="L681">
            <v>45383</v>
          </cell>
        </row>
        <row r="682">
          <cell r="C682" t="str">
            <v>S01</v>
          </cell>
          <cell r="F682">
            <v>2503</v>
          </cell>
          <cell r="I682">
            <v>62324.7</v>
          </cell>
          <cell r="J682">
            <v>37845.360000000001</v>
          </cell>
          <cell r="K682">
            <v>75090</v>
          </cell>
          <cell r="L682">
            <v>45383</v>
          </cell>
        </row>
        <row r="683">
          <cell r="C683" t="str">
            <v>S01</v>
          </cell>
          <cell r="F683">
            <v>1575</v>
          </cell>
          <cell r="I683">
            <v>53550</v>
          </cell>
          <cell r="J683">
            <v>34020</v>
          </cell>
          <cell r="K683">
            <v>63000</v>
          </cell>
          <cell r="L683">
            <v>45383</v>
          </cell>
        </row>
        <row r="684">
          <cell r="C684" t="str">
            <v>S01</v>
          </cell>
          <cell r="F684">
            <v>1786</v>
          </cell>
          <cell r="I684">
            <v>15002.4</v>
          </cell>
          <cell r="J684">
            <v>7715.52</v>
          </cell>
          <cell r="K684">
            <v>17860</v>
          </cell>
          <cell r="L684">
            <v>45383</v>
          </cell>
        </row>
        <row r="685">
          <cell r="C685" t="str">
            <v>S01</v>
          </cell>
          <cell r="F685">
            <v>1403</v>
          </cell>
          <cell r="I685">
            <v>25618.78</v>
          </cell>
          <cell r="J685">
            <v>15152.4</v>
          </cell>
          <cell r="K685">
            <v>30866</v>
          </cell>
          <cell r="L685">
            <v>45383</v>
          </cell>
        </row>
        <row r="686">
          <cell r="C686" t="str">
            <v>S02</v>
          </cell>
          <cell r="F686">
            <v>1425</v>
          </cell>
          <cell r="I686">
            <v>28386</v>
          </cell>
          <cell r="J686">
            <v>18468</v>
          </cell>
          <cell r="K686">
            <v>34200</v>
          </cell>
          <cell r="L686">
            <v>45383</v>
          </cell>
        </row>
        <row r="687">
          <cell r="C687" t="str">
            <v>S02</v>
          </cell>
          <cell r="F687">
            <v>2156</v>
          </cell>
          <cell r="I687">
            <v>93786</v>
          </cell>
          <cell r="J687">
            <v>65197.440000000002</v>
          </cell>
          <cell r="K687">
            <v>107800</v>
          </cell>
          <cell r="L687">
            <v>45383</v>
          </cell>
        </row>
        <row r="688">
          <cell r="C688" t="str">
            <v>S02</v>
          </cell>
          <cell r="F688">
            <v>1438</v>
          </cell>
          <cell r="I688">
            <v>35432.32</v>
          </cell>
          <cell r="J688">
            <v>23295.599999999999</v>
          </cell>
          <cell r="K688">
            <v>40264</v>
          </cell>
          <cell r="L688">
            <v>45383</v>
          </cell>
        </row>
        <row r="689">
          <cell r="C689" t="str">
            <v>S02</v>
          </cell>
          <cell r="F689">
            <v>1804</v>
          </cell>
          <cell r="I689">
            <v>53037.599999999999</v>
          </cell>
          <cell r="J689">
            <v>35069.760000000002</v>
          </cell>
          <cell r="K689">
            <v>63140</v>
          </cell>
          <cell r="L689">
            <v>45383</v>
          </cell>
        </row>
        <row r="690">
          <cell r="C690" t="str">
            <v>S02</v>
          </cell>
          <cell r="F690">
            <v>2780</v>
          </cell>
          <cell r="I690">
            <v>42534</v>
          </cell>
          <cell r="J690">
            <v>27021.599999999999</v>
          </cell>
          <cell r="K690">
            <v>50040</v>
          </cell>
          <cell r="L690">
            <v>45383</v>
          </cell>
        </row>
        <row r="691">
          <cell r="C691" t="str">
            <v>S02</v>
          </cell>
          <cell r="F691">
            <v>1500</v>
          </cell>
          <cell r="I691">
            <v>37800</v>
          </cell>
          <cell r="J691">
            <v>22680</v>
          </cell>
          <cell r="K691">
            <v>45000</v>
          </cell>
          <cell r="L691">
            <v>45383</v>
          </cell>
        </row>
        <row r="692">
          <cell r="C692" t="str">
            <v>S02</v>
          </cell>
          <cell r="F692">
            <v>2371</v>
          </cell>
          <cell r="I692">
            <v>81562.399999999994</v>
          </cell>
          <cell r="J692">
            <v>51213.599999999999</v>
          </cell>
          <cell r="K692">
            <v>94840</v>
          </cell>
          <cell r="L692">
            <v>45383</v>
          </cell>
        </row>
        <row r="693">
          <cell r="C693" t="str">
            <v>S02</v>
          </cell>
          <cell r="F693">
            <v>1650</v>
          </cell>
          <cell r="I693">
            <v>14355</v>
          </cell>
          <cell r="J693">
            <v>7128</v>
          </cell>
          <cell r="K693">
            <v>16500</v>
          </cell>
          <cell r="L693">
            <v>45383</v>
          </cell>
        </row>
        <row r="694">
          <cell r="C694" t="str">
            <v>S02</v>
          </cell>
          <cell r="F694">
            <v>2098</v>
          </cell>
          <cell r="I694">
            <v>39232.6</v>
          </cell>
          <cell r="J694">
            <v>22658.400000000001</v>
          </cell>
          <cell r="K694">
            <v>46156</v>
          </cell>
          <cell r="L694">
            <v>45383</v>
          </cell>
        </row>
        <row r="695">
          <cell r="C695" t="str">
            <v>S03</v>
          </cell>
          <cell r="F695">
            <v>2019</v>
          </cell>
          <cell r="I695">
            <v>41672.160000000003</v>
          </cell>
          <cell r="J695">
            <v>26166.240000000002</v>
          </cell>
          <cell r="K695">
            <v>48456</v>
          </cell>
          <cell r="L695">
            <v>45383</v>
          </cell>
        </row>
        <row r="696">
          <cell r="C696" t="str">
            <v>S03</v>
          </cell>
          <cell r="F696">
            <v>1817</v>
          </cell>
          <cell r="I696">
            <v>78131</v>
          </cell>
          <cell r="J696">
            <v>54946.080000000002</v>
          </cell>
          <cell r="K696">
            <v>90850</v>
          </cell>
          <cell r="L696">
            <v>45383</v>
          </cell>
        </row>
        <row r="697">
          <cell r="C697" t="str">
            <v>S03</v>
          </cell>
          <cell r="F697">
            <v>3000</v>
          </cell>
          <cell r="I697">
            <v>71400</v>
          </cell>
          <cell r="J697">
            <v>48600</v>
          </cell>
          <cell r="K697">
            <v>84000</v>
          </cell>
          <cell r="L697">
            <v>45383</v>
          </cell>
        </row>
        <row r="698">
          <cell r="C698" t="str">
            <v>S03</v>
          </cell>
          <cell r="F698">
            <v>2468</v>
          </cell>
          <cell r="I698">
            <v>74286.8</v>
          </cell>
          <cell r="J698">
            <v>47977.919999999998</v>
          </cell>
          <cell r="K698">
            <v>86380</v>
          </cell>
          <cell r="L698">
            <v>45383</v>
          </cell>
        </row>
        <row r="699">
          <cell r="C699" t="str">
            <v>S03</v>
          </cell>
          <cell r="F699">
            <v>1729</v>
          </cell>
          <cell r="I699">
            <v>26453.7</v>
          </cell>
          <cell r="J699">
            <v>16805.88</v>
          </cell>
          <cell r="K699">
            <v>31122</v>
          </cell>
          <cell r="L699">
            <v>45383</v>
          </cell>
        </row>
        <row r="700">
          <cell r="C700" t="str">
            <v>S03</v>
          </cell>
          <cell r="F700">
            <v>2019</v>
          </cell>
          <cell r="I700">
            <v>52695.9</v>
          </cell>
          <cell r="J700">
            <v>30527.279999999999</v>
          </cell>
          <cell r="K700">
            <v>60570</v>
          </cell>
          <cell r="L700">
            <v>45383</v>
          </cell>
        </row>
        <row r="701">
          <cell r="C701" t="str">
            <v>S03</v>
          </cell>
          <cell r="F701">
            <v>2076</v>
          </cell>
          <cell r="I701">
            <v>69753.600000000006</v>
          </cell>
          <cell r="J701">
            <v>44841.599999999999</v>
          </cell>
          <cell r="K701">
            <v>83040</v>
          </cell>
          <cell r="L701">
            <v>45383</v>
          </cell>
        </row>
        <row r="702">
          <cell r="C702" t="str">
            <v>S03</v>
          </cell>
          <cell r="F702">
            <v>1597</v>
          </cell>
          <cell r="I702">
            <v>13255.1</v>
          </cell>
          <cell r="J702">
            <v>6899.04</v>
          </cell>
          <cell r="K702">
            <v>15970</v>
          </cell>
          <cell r="L702">
            <v>45383</v>
          </cell>
        </row>
        <row r="703">
          <cell r="C703" t="str">
            <v>S03</v>
          </cell>
          <cell r="F703">
            <v>1927</v>
          </cell>
          <cell r="I703">
            <v>35610.959999999999</v>
          </cell>
          <cell r="J703">
            <v>20811.599999999999</v>
          </cell>
          <cell r="K703">
            <v>42394</v>
          </cell>
          <cell r="L703">
            <v>45383</v>
          </cell>
        </row>
        <row r="704">
          <cell r="C704" t="str">
            <v>S04</v>
          </cell>
          <cell r="F704">
            <v>1821</v>
          </cell>
          <cell r="I704">
            <v>37585.440000000002</v>
          </cell>
          <cell r="J704">
            <v>23600.16</v>
          </cell>
          <cell r="K704">
            <v>43704</v>
          </cell>
          <cell r="L704">
            <v>45383</v>
          </cell>
        </row>
        <row r="705">
          <cell r="C705" t="str">
            <v>S04</v>
          </cell>
          <cell r="F705">
            <v>2767</v>
          </cell>
          <cell r="I705">
            <v>117597.5</v>
          </cell>
          <cell r="J705">
            <v>83674.080000000002</v>
          </cell>
          <cell r="K705">
            <v>138350</v>
          </cell>
          <cell r="L705">
            <v>45383</v>
          </cell>
        </row>
        <row r="706">
          <cell r="C706" t="str">
            <v>S04</v>
          </cell>
          <cell r="F706">
            <v>2974</v>
          </cell>
          <cell r="I706">
            <v>72446.64</v>
          </cell>
          <cell r="J706">
            <v>48178.8</v>
          </cell>
          <cell r="K706">
            <v>83272</v>
          </cell>
          <cell r="L706">
            <v>45383</v>
          </cell>
        </row>
        <row r="707">
          <cell r="C707" t="str">
            <v>S04</v>
          </cell>
          <cell r="F707">
            <v>2279</v>
          </cell>
          <cell r="I707">
            <v>67002.600000000006</v>
          </cell>
          <cell r="J707">
            <v>44303.76</v>
          </cell>
          <cell r="K707">
            <v>79765</v>
          </cell>
          <cell r="L707">
            <v>45383</v>
          </cell>
        </row>
        <row r="708">
          <cell r="C708" t="str">
            <v>S04</v>
          </cell>
          <cell r="F708">
            <v>1799</v>
          </cell>
          <cell r="I708">
            <v>27524.7</v>
          </cell>
          <cell r="J708">
            <v>17486.28</v>
          </cell>
          <cell r="K708">
            <v>32382</v>
          </cell>
          <cell r="L708">
            <v>45383</v>
          </cell>
        </row>
        <row r="709">
          <cell r="C709" t="str">
            <v>S04</v>
          </cell>
          <cell r="F709">
            <v>2851</v>
          </cell>
          <cell r="I709">
            <v>73555.8</v>
          </cell>
          <cell r="J709">
            <v>43107.12</v>
          </cell>
          <cell r="K709">
            <v>85530</v>
          </cell>
          <cell r="L709">
            <v>45383</v>
          </cell>
        </row>
        <row r="710">
          <cell r="C710" t="str">
            <v>S04</v>
          </cell>
          <cell r="F710">
            <v>2983</v>
          </cell>
          <cell r="I710">
            <v>99035.6</v>
          </cell>
          <cell r="J710">
            <v>64432.800000000003</v>
          </cell>
          <cell r="K710">
            <v>119320</v>
          </cell>
          <cell r="L710">
            <v>45383</v>
          </cell>
        </row>
        <row r="711">
          <cell r="C711" t="str">
            <v>S04</v>
          </cell>
          <cell r="F711">
            <v>2552</v>
          </cell>
          <cell r="I711">
            <v>21181.599999999999</v>
          </cell>
          <cell r="J711">
            <v>11024.64</v>
          </cell>
          <cell r="K711">
            <v>25520</v>
          </cell>
          <cell r="L711">
            <v>45383</v>
          </cell>
        </row>
        <row r="712">
          <cell r="C712" t="str">
            <v>S04</v>
          </cell>
          <cell r="F712">
            <v>2965</v>
          </cell>
          <cell r="I712">
            <v>56097.8</v>
          </cell>
          <cell r="J712">
            <v>32022</v>
          </cell>
          <cell r="K712">
            <v>65230</v>
          </cell>
          <cell r="L712">
            <v>45383</v>
          </cell>
        </row>
        <row r="713">
          <cell r="C713" t="str">
            <v>S05</v>
          </cell>
          <cell r="F713">
            <v>1667</v>
          </cell>
          <cell r="I713">
            <v>34806.959999999999</v>
          </cell>
          <cell r="J713">
            <v>21604.32</v>
          </cell>
          <cell r="K713">
            <v>40008</v>
          </cell>
          <cell r="L713">
            <v>45383</v>
          </cell>
        </row>
        <row r="714">
          <cell r="C714" t="str">
            <v>S05</v>
          </cell>
          <cell r="F714">
            <v>1513</v>
          </cell>
          <cell r="I714">
            <v>65815.5</v>
          </cell>
          <cell r="J714">
            <v>45753.120000000003</v>
          </cell>
          <cell r="K714">
            <v>75650</v>
          </cell>
          <cell r="L714">
            <v>45383</v>
          </cell>
        </row>
        <row r="715">
          <cell r="C715" t="str">
            <v>S05</v>
          </cell>
          <cell r="F715">
            <v>2926</v>
          </cell>
          <cell r="I715">
            <v>69638.8</v>
          </cell>
          <cell r="J715">
            <v>47401.2</v>
          </cell>
          <cell r="K715">
            <v>81928</v>
          </cell>
          <cell r="L715">
            <v>45383</v>
          </cell>
        </row>
        <row r="716">
          <cell r="C716" t="str">
            <v>S05</v>
          </cell>
          <cell r="F716">
            <v>2578</v>
          </cell>
          <cell r="I716">
            <v>76695.5</v>
          </cell>
          <cell r="J716">
            <v>50116.32</v>
          </cell>
          <cell r="K716">
            <v>90230</v>
          </cell>
          <cell r="L716">
            <v>45383</v>
          </cell>
        </row>
        <row r="717">
          <cell r="C717" t="str">
            <v>S05</v>
          </cell>
          <cell r="F717">
            <v>1702</v>
          </cell>
          <cell r="I717">
            <v>26653.32</v>
          </cell>
          <cell r="J717">
            <v>16543.439999999999</v>
          </cell>
          <cell r="K717">
            <v>30636</v>
          </cell>
          <cell r="L717">
            <v>45383</v>
          </cell>
        </row>
        <row r="718">
          <cell r="C718" t="str">
            <v>S05</v>
          </cell>
          <cell r="F718">
            <v>1922</v>
          </cell>
          <cell r="I718">
            <v>49587.6</v>
          </cell>
          <cell r="J718">
            <v>29060.639999999999</v>
          </cell>
          <cell r="K718">
            <v>57660</v>
          </cell>
          <cell r="L718">
            <v>45383</v>
          </cell>
        </row>
        <row r="719">
          <cell r="C719" t="str">
            <v>S05</v>
          </cell>
          <cell r="F719">
            <v>1878</v>
          </cell>
          <cell r="I719">
            <v>63852</v>
          </cell>
          <cell r="J719">
            <v>40564.800000000003</v>
          </cell>
          <cell r="K719">
            <v>75120</v>
          </cell>
          <cell r="L719">
            <v>45383</v>
          </cell>
        </row>
        <row r="720">
          <cell r="C720" t="str">
            <v>S05</v>
          </cell>
          <cell r="F720">
            <v>2530</v>
          </cell>
          <cell r="I720">
            <v>21758</v>
          </cell>
          <cell r="J720">
            <v>10929.6</v>
          </cell>
          <cell r="K720">
            <v>25300</v>
          </cell>
          <cell r="L720">
            <v>45383</v>
          </cell>
        </row>
        <row r="721">
          <cell r="C721" t="str">
            <v>S05</v>
          </cell>
          <cell r="F721">
            <v>1438</v>
          </cell>
          <cell r="I721">
            <v>27206.959999999999</v>
          </cell>
          <cell r="J721">
            <v>15530.4</v>
          </cell>
          <cell r="K721">
            <v>31636</v>
          </cell>
          <cell r="L721">
            <v>45383</v>
          </cell>
        </row>
        <row r="722">
          <cell r="C722" t="str">
            <v>S01</v>
          </cell>
          <cell r="F722">
            <v>2644</v>
          </cell>
          <cell r="I722">
            <v>54572.160000000003</v>
          </cell>
          <cell r="J722">
            <v>34266.239999999998</v>
          </cell>
          <cell r="K722">
            <v>63456</v>
          </cell>
          <cell r="L722">
            <v>45413</v>
          </cell>
        </row>
        <row r="723">
          <cell r="C723" t="str">
            <v>S01</v>
          </cell>
          <cell r="F723">
            <v>2068</v>
          </cell>
          <cell r="I723">
            <v>89958</v>
          </cell>
          <cell r="J723">
            <v>62536.32</v>
          </cell>
          <cell r="K723">
            <v>103400</v>
          </cell>
          <cell r="L723">
            <v>45413</v>
          </cell>
        </row>
        <row r="724">
          <cell r="C724" t="str">
            <v>S01</v>
          </cell>
          <cell r="F724">
            <v>2402</v>
          </cell>
          <cell r="I724">
            <v>56495.040000000001</v>
          </cell>
          <cell r="J724">
            <v>38912.400000000001</v>
          </cell>
          <cell r="K724">
            <v>67256</v>
          </cell>
          <cell r="L724">
            <v>45413</v>
          </cell>
        </row>
        <row r="725">
          <cell r="C725" t="str">
            <v>S01</v>
          </cell>
          <cell r="F725">
            <v>1570</v>
          </cell>
          <cell r="I725">
            <v>48356</v>
          </cell>
          <cell r="J725">
            <v>30520.799999999999</v>
          </cell>
          <cell r="K725">
            <v>54950</v>
          </cell>
          <cell r="L725">
            <v>45413</v>
          </cell>
        </row>
        <row r="726">
          <cell r="C726" t="str">
            <v>S01</v>
          </cell>
          <cell r="F726">
            <v>2992</v>
          </cell>
          <cell r="I726">
            <v>45239.040000000001</v>
          </cell>
          <cell r="J726">
            <v>29082.240000000002</v>
          </cell>
          <cell r="K726">
            <v>53856</v>
          </cell>
          <cell r="L726">
            <v>45413</v>
          </cell>
        </row>
        <row r="727">
          <cell r="C727" t="str">
            <v>S01</v>
          </cell>
          <cell r="F727">
            <v>2512</v>
          </cell>
          <cell r="I727">
            <v>65563.199999999997</v>
          </cell>
          <cell r="J727">
            <v>37981.440000000002</v>
          </cell>
          <cell r="K727">
            <v>75360</v>
          </cell>
          <cell r="L727">
            <v>45413</v>
          </cell>
        </row>
        <row r="728">
          <cell r="C728" t="str">
            <v>S01</v>
          </cell>
          <cell r="F728">
            <v>1746</v>
          </cell>
          <cell r="I728">
            <v>59364</v>
          </cell>
          <cell r="J728">
            <v>37713.599999999999</v>
          </cell>
          <cell r="K728">
            <v>69840</v>
          </cell>
          <cell r="L728">
            <v>45413</v>
          </cell>
        </row>
        <row r="729">
          <cell r="C729" t="str">
            <v>S01</v>
          </cell>
          <cell r="F729">
            <v>1672</v>
          </cell>
          <cell r="I729">
            <v>14044.8</v>
          </cell>
          <cell r="J729">
            <v>7223.04</v>
          </cell>
          <cell r="K729">
            <v>16720</v>
          </cell>
          <cell r="L729">
            <v>45413</v>
          </cell>
        </row>
        <row r="730">
          <cell r="C730" t="str">
            <v>S01</v>
          </cell>
          <cell r="F730">
            <v>1795</v>
          </cell>
          <cell r="I730">
            <v>33566.5</v>
          </cell>
          <cell r="J730">
            <v>19386</v>
          </cell>
          <cell r="K730">
            <v>39490</v>
          </cell>
          <cell r="L730">
            <v>45413</v>
          </cell>
        </row>
        <row r="731">
          <cell r="C731" t="str">
            <v>S02</v>
          </cell>
          <cell r="F731">
            <v>2186</v>
          </cell>
          <cell r="I731">
            <v>45119.040000000001</v>
          </cell>
          <cell r="J731">
            <v>28330.560000000001</v>
          </cell>
          <cell r="K731">
            <v>52464</v>
          </cell>
          <cell r="L731">
            <v>45413</v>
          </cell>
        </row>
        <row r="732">
          <cell r="C732" t="str">
            <v>S02</v>
          </cell>
          <cell r="F732">
            <v>1716</v>
          </cell>
          <cell r="I732">
            <v>72930</v>
          </cell>
          <cell r="J732">
            <v>51891.839999999997</v>
          </cell>
          <cell r="K732">
            <v>85800</v>
          </cell>
          <cell r="L732">
            <v>45413</v>
          </cell>
        </row>
        <row r="733">
          <cell r="C733" t="str">
            <v>S02</v>
          </cell>
          <cell r="F733">
            <v>1416</v>
          </cell>
          <cell r="I733">
            <v>34493.760000000002</v>
          </cell>
          <cell r="J733">
            <v>22939.200000000001</v>
          </cell>
          <cell r="K733">
            <v>39648</v>
          </cell>
          <cell r="L733">
            <v>45413</v>
          </cell>
        </row>
        <row r="734">
          <cell r="C734" t="str">
            <v>S02</v>
          </cell>
          <cell r="F734">
            <v>2090</v>
          </cell>
          <cell r="I734">
            <v>64372</v>
          </cell>
          <cell r="J734">
            <v>40629.599999999999</v>
          </cell>
          <cell r="K734">
            <v>73150</v>
          </cell>
          <cell r="L734">
            <v>45413</v>
          </cell>
        </row>
        <row r="735">
          <cell r="C735" t="str">
            <v>S02</v>
          </cell>
          <cell r="F735">
            <v>2732</v>
          </cell>
          <cell r="I735">
            <v>43274.879999999997</v>
          </cell>
          <cell r="J735">
            <v>26555.040000000001</v>
          </cell>
          <cell r="K735">
            <v>49176</v>
          </cell>
          <cell r="L735">
            <v>45413</v>
          </cell>
        </row>
        <row r="736">
          <cell r="C736" t="str">
            <v>S02</v>
          </cell>
          <cell r="F736">
            <v>2767</v>
          </cell>
          <cell r="I736">
            <v>69728.399999999994</v>
          </cell>
          <cell r="J736">
            <v>41837.040000000001</v>
          </cell>
          <cell r="K736">
            <v>83010</v>
          </cell>
          <cell r="L736">
            <v>45413</v>
          </cell>
        </row>
        <row r="737">
          <cell r="C737" t="str">
            <v>S02</v>
          </cell>
          <cell r="F737">
            <v>2873</v>
          </cell>
          <cell r="I737">
            <v>101129.60000000001</v>
          </cell>
          <cell r="J737">
            <v>62056.800000000003</v>
          </cell>
          <cell r="K737">
            <v>114920</v>
          </cell>
          <cell r="L737">
            <v>45413</v>
          </cell>
        </row>
        <row r="738">
          <cell r="C738" t="str">
            <v>S02</v>
          </cell>
          <cell r="F738">
            <v>2613</v>
          </cell>
          <cell r="I738">
            <v>22471.8</v>
          </cell>
          <cell r="J738">
            <v>11288.16</v>
          </cell>
          <cell r="K738">
            <v>26130</v>
          </cell>
          <cell r="L738">
            <v>45413</v>
          </cell>
        </row>
        <row r="739">
          <cell r="C739" t="str">
            <v>S02</v>
          </cell>
          <cell r="F739">
            <v>2930</v>
          </cell>
          <cell r="I739">
            <v>56080.2</v>
          </cell>
          <cell r="J739">
            <v>31644</v>
          </cell>
          <cell r="K739">
            <v>64460</v>
          </cell>
          <cell r="L739">
            <v>45413</v>
          </cell>
        </row>
        <row r="740">
          <cell r="C740" t="str">
            <v>S03</v>
          </cell>
          <cell r="F740">
            <v>2525</v>
          </cell>
          <cell r="I740">
            <v>52722</v>
          </cell>
          <cell r="J740">
            <v>32724</v>
          </cell>
          <cell r="K740">
            <v>60600</v>
          </cell>
          <cell r="L740">
            <v>45413</v>
          </cell>
        </row>
        <row r="741">
          <cell r="C741" t="str">
            <v>S03</v>
          </cell>
          <cell r="F741">
            <v>2609</v>
          </cell>
          <cell r="I741">
            <v>108273.5</v>
          </cell>
          <cell r="J741">
            <v>78896.160000000003</v>
          </cell>
          <cell r="K741">
            <v>130450</v>
          </cell>
          <cell r="L741">
            <v>45413</v>
          </cell>
        </row>
        <row r="742">
          <cell r="C742" t="str">
            <v>S03</v>
          </cell>
          <cell r="F742">
            <v>1971</v>
          </cell>
          <cell r="I742">
            <v>48013.56</v>
          </cell>
          <cell r="J742">
            <v>31930.2</v>
          </cell>
          <cell r="K742">
            <v>55188</v>
          </cell>
          <cell r="L742">
            <v>45413</v>
          </cell>
        </row>
        <row r="743">
          <cell r="C743" t="str">
            <v>S03</v>
          </cell>
          <cell r="F743">
            <v>1610</v>
          </cell>
          <cell r="I743">
            <v>47334</v>
          </cell>
          <cell r="J743">
            <v>31298.400000000001</v>
          </cell>
          <cell r="K743">
            <v>56350</v>
          </cell>
          <cell r="L743">
            <v>45413</v>
          </cell>
        </row>
        <row r="744">
          <cell r="C744" t="str">
            <v>S03</v>
          </cell>
          <cell r="F744">
            <v>1707</v>
          </cell>
          <cell r="I744">
            <v>26731.62</v>
          </cell>
          <cell r="J744">
            <v>16592.04</v>
          </cell>
          <cell r="K744">
            <v>30726</v>
          </cell>
          <cell r="L744">
            <v>45413</v>
          </cell>
        </row>
        <row r="745">
          <cell r="C745" t="str">
            <v>S03</v>
          </cell>
          <cell r="F745">
            <v>2750</v>
          </cell>
          <cell r="I745">
            <v>70125</v>
          </cell>
          <cell r="J745">
            <v>41580</v>
          </cell>
          <cell r="K745">
            <v>82500</v>
          </cell>
          <cell r="L745">
            <v>45413</v>
          </cell>
        </row>
        <row r="746">
          <cell r="C746" t="str">
            <v>S03</v>
          </cell>
          <cell r="F746">
            <v>2217</v>
          </cell>
          <cell r="I746">
            <v>74491.199999999997</v>
          </cell>
          <cell r="J746">
            <v>47887.199999999997</v>
          </cell>
          <cell r="K746">
            <v>88680</v>
          </cell>
          <cell r="L746">
            <v>45413</v>
          </cell>
        </row>
        <row r="747">
          <cell r="C747" t="str">
            <v>S03</v>
          </cell>
          <cell r="F747">
            <v>1927</v>
          </cell>
          <cell r="I747">
            <v>16379.5</v>
          </cell>
          <cell r="J747">
            <v>8324.64</v>
          </cell>
          <cell r="K747">
            <v>19270</v>
          </cell>
          <cell r="L747">
            <v>45413</v>
          </cell>
        </row>
        <row r="748">
          <cell r="C748" t="str">
            <v>S03</v>
          </cell>
          <cell r="F748">
            <v>2895</v>
          </cell>
          <cell r="I748">
            <v>54136.5</v>
          </cell>
          <cell r="J748">
            <v>31266</v>
          </cell>
          <cell r="K748">
            <v>63690</v>
          </cell>
          <cell r="L748">
            <v>45413</v>
          </cell>
        </row>
        <row r="749">
          <cell r="C749" t="str">
            <v>S04</v>
          </cell>
          <cell r="F749">
            <v>2336</v>
          </cell>
          <cell r="I749">
            <v>48215.040000000001</v>
          </cell>
          <cell r="J749">
            <v>30274.560000000001</v>
          </cell>
          <cell r="K749">
            <v>56064</v>
          </cell>
          <cell r="L749">
            <v>45413</v>
          </cell>
        </row>
        <row r="750">
          <cell r="C750" t="str">
            <v>S04</v>
          </cell>
          <cell r="F750">
            <v>2688</v>
          </cell>
          <cell r="I750">
            <v>112896</v>
          </cell>
          <cell r="J750">
            <v>81285.119999999995</v>
          </cell>
          <cell r="K750">
            <v>134400</v>
          </cell>
          <cell r="L750">
            <v>45413</v>
          </cell>
        </row>
        <row r="751">
          <cell r="C751" t="str">
            <v>S04</v>
          </cell>
          <cell r="F751">
            <v>2943</v>
          </cell>
          <cell r="I751">
            <v>70043.399999999994</v>
          </cell>
          <cell r="J751">
            <v>47676.6</v>
          </cell>
          <cell r="K751">
            <v>82404</v>
          </cell>
          <cell r="L751">
            <v>45413</v>
          </cell>
        </row>
        <row r="752">
          <cell r="C752" t="str">
            <v>S04</v>
          </cell>
          <cell r="F752">
            <v>2710</v>
          </cell>
          <cell r="I752">
            <v>81571</v>
          </cell>
          <cell r="J752">
            <v>52682.400000000001</v>
          </cell>
          <cell r="K752">
            <v>94850</v>
          </cell>
          <cell r="L752">
            <v>45413</v>
          </cell>
        </row>
        <row r="753">
          <cell r="C753" t="str">
            <v>S04</v>
          </cell>
          <cell r="F753">
            <v>1716</v>
          </cell>
          <cell r="I753">
            <v>25945.919999999998</v>
          </cell>
          <cell r="J753">
            <v>16679.52</v>
          </cell>
          <cell r="K753">
            <v>30888</v>
          </cell>
          <cell r="L753">
            <v>45413</v>
          </cell>
        </row>
        <row r="754">
          <cell r="C754" t="str">
            <v>S04</v>
          </cell>
          <cell r="F754">
            <v>2662</v>
          </cell>
          <cell r="I754">
            <v>69478.2</v>
          </cell>
          <cell r="J754">
            <v>40249.440000000002</v>
          </cell>
          <cell r="K754">
            <v>79860</v>
          </cell>
          <cell r="L754">
            <v>45413</v>
          </cell>
        </row>
        <row r="755">
          <cell r="C755" t="str">
            <v>S04</v>
          </cell>
          <cell r="F755">
            <v>2978</v>
          </cell>
          <cell r="I755">
            <v>101252</v>
          </cell>
          <cell r="J755">
            <v>64324.800000000003</v>
          </cell>
          <cell r="K755">
            <v>119120</v>
          </cell>
          <cell r="L755">
            <v>45413</v>
          </cell>
        </row>
        <row r="756">
          <cell r="C756" t="str">
            <v>S04</v>
          </cell>
          <cell r="F756">
            <v>1584</v>
          </cell>
          <cell r="I756">
            <v>13939.2</v>
          </cell>
          <cell r="J756">
            <v>6842.88</v>
          </cell>
          <cell r="K756">
            <v>15840</v>
          </cell>
          <cell r="L756">
            <v>45413</v>
          </cell>
        </row>
        <row r="757">
          <cell r="C757" t="str">
            <v>S04</v>
          </cell>
          <cell r="F757">
            <v>2002</v>
          </cell>
          <cell r="I757">
            <v>37437.4</v>
          </cell>
          <cell r="J757">
            <v>21621.599999999999</v>
          </cell>
          <cell r="K757">
            <v>44044</v>
          </cell>
          <cell r="L757">
            <v>45413</v>
          </cell>
        </row>
        <row r="758">
          <cell r="C758" t="str">
            <v>S05</v>
          </cell>
          <cell r="F758">
            <v>1720</v>
          </cell>
          <cell r="I758">
            <v>36326.400000000001</v>
          </cell>
          <cell r="J758">
            <v>22291.200000000001</v>
          </cell>
          <cell r="K758">
            <v>41280</v>
          </cell>
          <cell r="L758">
            <v>45413</v>
          </cell>
        </row>
        <row r="759">
          <cell r="C759" t="str">
            <v>S05</v>
          </cell>
          <cell r="F759">
            <v>2191</v>
          </cell>
          <cell r="I759">
            <v>96404</v>
          </cell>
          <cell r="J759">
            <v>66255.839999999997</v>
          </cell>
          <cell r="K759">
            <v>109550</v>
          </cell>
          <cell r="L759">
            <v>45413</v>
          </cell>
        </row>
        <row r="760">
          <cell r="C760" t="str">
            <v>S05</v>
          </cell>
          <cell r="F760">
            <v>2802</v>
          </cell>
          <cell r="I760">
            <v>67472.160000000003</v>
          </cell>
          <cell r="J760">
            <v>45392.4</v>
          </cell>
          <cell r="K760">
            <v>78456</v>
          </cell>
          <cell r="L760">
            <v>45413</v>
          </cell>
        </row>
        <row r="761">
          <cell r="C761" t="str">
            <v>S05</v>
          </cell>
          <cell r="F761">
            <v>2094</v>
          </cell>
          <cell r="I761">
            <v>62296.5</v>
          </cell>
          <cell r="J761">
            <v>40707.360000000001</v>
          </cell>
          <cell r="K761">
            <v>73290</v>
          </cell>
          <cell r="L761">
            <v>45413</v>
          </cell>
        </row>
        <row r="762">
          <cell r="C762" t="str">
            <v>S05</v>
          </cell>
          <cell r="F762">
            <v>2085</v>
          </cell>
          <cell r="I762">
            <v>31149.9</v>
          </cell>
          <cell r="J762">
            <v>20266.2</v>
          </cell>
          <cell r="K762">
            <v>37530</v>
          </cell>
          <cell r="L762">
            <v>45413</v>
          </cell>
        </row>
        <row r="763">
          <cell r="C763" t="str">
            <v>S05</v>
          </cell>
          <cell r="F763">
            <v>2930</v>
          </cell>
          <cell r="I763">
            <v>76473</v>
          </cell>
          <cell r="J763">
            <v>44301.599999999999</v>
          </cell>
          <cell r="K763">
            <v>87900</v>
          </cell>
          <cell r="L763">
            <v>45413</v>
          </cell>
        </row>
        <row r="764">
          <cell r="C764" t="str">
            <v>S05</v>
          </cell>
          <cell r="F764">
            <v>2657</v>
          </cell>
          <cell r="I764">
            <v>89275.199999999997</v>
          </cell>
          <cell r="J764">
            <v>57391.199999999997</v>
          </cell>
          <cell r="K764">
            <v>106280</v>
          </cell>
          <cell r="L764">
            <v>45413</v>
          </cell>
        </row>
        <row r="765">
          <cell r="C765" t="str">
            <v>S05</v>
          </cell>
          <cell r="F765">
            <v>2503</v>
          </cell>
          <cell r="I765">
            <v>21025.200000000001</v>
          </cell>
          <cell r="J765">
            <v>10812.96</v>
          </cell>
          <cell r="K765">
            <v>25030</v>
          </cell>
          <cell r="L765">
            <v>45413</v>
          </cell>
        </row>
        <row r="766">
          <cell r="C766" t="str">
            <v>S05</v>
          </cell>
          <cell r="F766">
            <v>1438</v>
          </cell>
          <cell r="I766">
            <v>26574.240000000002</v>
          </cell>
          <cell r="J766">
            <v>15530.4</v>
          </cell>
          <cell r="K766">
            <v>31636</v>
          </cell>
          <cell r="L766">
            <v>45413</v>
          </cell>
        </row>
        <row r="767">
          <cell r="C767" t="str">
            <v>S01</v>
          </cell>
          <cell r="F767">
            <v>2420</v>
          </cell>
          <cell r="I767">
            <v>49368</v>
          </cell>
          <cell r="J767">
            <v>31363.200000000001</v>
          </cell>
          <cell r="K767">
            <v>58080</v>
          </cell>
          <cell r="L767">
            <v>45444</v>
          </cell>
        </row>
        <row r="768">
          <cell r="C768" t="str">
            <v>S01</v>
          </cell>
          <cell r="F768">
            <v>1328</v>
          </cell>
          <cell r="I768">
            <v>57104</v>
          </cell>
          <cell r="J768">
            <v>40158.720000000001</v>
          </cell>
          <cell r="K768">
            <v>66400</v>
          </cell>
          <cell r="L768">
            <v>45444</v>
          </cell>
        </row>
        <row r="769">
          <cell r="C769" t="str">
            <v>S01</v>
          </cell>
          <cell r="F769">
            <v>2939</v>
          </cell>
          <cell r="I769">
            <v>71594.039999999994</v>
          </cell>
          <cell r="J769">
            <v>47611.8</v>
          </cell>
          <cell r="K769">
            <v>82292</v>
          </cell>
          <cell r="L769">
            <v>45444</v>
          </cell>
        </row>
        <row r="770">
          <cell r="C770" t="str">
            <v>S01</v>
          </cell>
          <cell r="F770">
            <v>2596</v>
          </cell>
          <cell r="I770">
            <v>79048.2</v>
          </cell>
          <cell r="J770">
            <v>50466.239999999998</v>
          </cell>
          <cell r="K770">
            <v>90860</v>
          </cell>
          <cell r="L770">
            <v>45444</v>
          </cell>
        </row>
        <row r="771">
          <cell r="C771" t="str">
            <v>S01</v>
          </cell>
          <cell r="F771">
            <v>3044</v>
          </cell>
          <cell r="I771">
            <v>47121.120000000003</v>
          </cell>
          <cell r="J771">
            <v>29587.68</v>
          </cell>
          <cell r="K771">
            <v>54792</v>
          </cell>
          <cell r="L771">
            <v>45444</v>
          </cell>
        </row>
        <row r="772">
          <cell r="C772" t="str">
            <v>S01</v>
          </cell>
          <cell r="F772">
            <v>2591</v>
          </cell>
          <cell r="I772">
            <v>67625.100000000006</v>
          </cell>
          <cell r="J772">
            <v>39175.919999999998</v>
          </cell>
          <cell r="K772">
            <v>77730</v>
          </cell>
          <cell r="L772">
            <v>45444</v>
          </cell>
        </row>
        <row r="773">
          <cell r="C773" t="str">
            <v>S01</v>
          </cell>
          <cell r="F773">
            <v>2376</v>
          </cell>
          <cell r="I773">
            <v>81734.399999999994</v>
          </cell>
          <cell r="J773">
            <v>51321.599999999999</v>
          </cell>
          <cell r="K773">
            <v>95040</v>
          </cell>
          <cell r="L773">
            <v>45444</v>
          </cell>
        </row>
        <row r="774">
          <cell r="C774" t="str">
            <v>S01</v>
          </cell>
          <cell r="F774">
            <v>2943</v>
          </cell>
          <cell r="I774">
            <v>25309.8</v>
          </cell>
          <cell r="J774">
            <v>12713.76</v>
          </cell>
          <cell r="K774">
            <v>29430</v>
          </cell>
          <cell r="L774">
            <v>45444</v>
          </cell>
        </row>
        <row r="775">
          <cell r="C775" t="str">
            <v>S01</v>
          </cell>
          <cell r="F775">
            <v>2877</v>
          </cell>
          <cell r="I775">
            <v>55698.720000000001</v>
          </cell>
          <cell r="J775">
            <v>31071.599999999999</v>
          </cell>
          <cell r="K775">
            <v>63294</v>
          </cell>
          <cell r="L775">
            <v>45444</v>
          </cell>
        </row>
        <row r="776">
          <cell r="C776" t="str">
            <v>S02</v>
          </cell>
          <cell r="F776">
            <v>1680</v>
          </cell>
          <cell r="I776">
            <v>33868.800000000003</v>
          </cell>
          <cell r="J776">
            <v>21772.799999999999</v>
          </cell>
          <cell r="K776">
            <v>40320</v>
          </cell>
          <cell r="L776">
            <v>45444</v>
          </cell>
        </row>
        <row r="777">
          <cell r="C777" t="str">
            <v>S02</v>
          </cell>
          <cell r="F777">
            <v>1368</v>
          </cell>
          <cell r="I777">
            <v>60192</v>
          </cell>
          <cell r="J777">
            <v>41368.32</v>
          </cell>
          <cell r="K777">
            <v>68400</v>
          </cell>
          <cell r="L777">
            <v>45444</v>
          </cell>
        </row>
        <row r="778">
          <cell r="C778" t="str">
            <v>S02</v>
          </cell>
          <cell r="F778">
            <v>1790</v>
          </cell>
          <cell r="I778">
            <v>43103.199999999997</v>
          </cell>
          <cell r="J778">
            <v>28998</v>
          </cell>
          <cell r="K778">
            <v>50120</v>
          </cell>
          <cell r="L778">
            <v>45444</v>
          </cell>
        </row>
        <row r="779">
          <cell r="C779" t="str">
            <v>S02</v>
          </cell>
          <cell r="F779">
            <v>1733</v>
          </cell>
          <cell r="I779">
            <v>52163.3</v>
          </cell>
          <cell r="J779">
            <v>33689.519999999997</v>
          </cell>
          <cell r="K779">
            <v>60655</v>
          </cell>
          <cell r="L779">
            <v>45444</v>
          </cell>
        </row>
        <row r="780">
          <cell r="C780" t="str">
            <v>S02</v>
          </cell>
          <cell r="F780">
            <v>2574</v>
          </cell>
          <cell r="I780">
            <v>38918.879999999997</v>
          </cell>
          <cell r="J780">
            <v>25019.279999999999</v>
          </cell>
          <cell r="K780">
            <v>46332</v>
          </cell>
          <cell r="L780">
            <v>45444</v>
          </cell>
        </row>
        <row r="781">
          <cell r="C781" t="str">
            <v>S02</v>
          </cell>
          <cell r="F781">
            <v>2437</v>
          </cell>
          <cell r="I781">
            <v>62874.6</v>
          </cell>
          <cell r="J781">
            <v>36847.440000000002</v>
          </cell>
          <cell r="K781">
            <v>73110</v>
          </cell>
          <cell r="L781">
            <v>45444</v>
          </cell>
        </row>
        <row r="782">
          <cell r="C782" t="str">
            <v>S02</v>
          </cell>
          <cell r="F782">
            <v>2301</v>
          </cell>
          <cell r="I782">
            <v>80995.199999999997</v>
          </cell>
          <cell r="J782">
            <v>49701.599999999999</v>
          </cell>
          <cell r="K782">
            <v>92040</v>
          </cell>
          <cell r="L782">
            <v>45444</v>
          </cell>
        </row>
        <row r="783">
          <cell r="C783" t="str">
            <v>S02</v>
          </cell>
          <cell r="F783">
            <v>2222</v>
          </cell>
          <cell r="I783">
            <v>19331.400000000001</v>
          </cell>
          <cell r="J783">
            <v>9599.0400000000009</v>
          </cell>
          <cell r="K783">
            <v>22220</v>
          </cell>
          <cell r="L783">
            <v>45444</v>
          </cell>
        </row>
        <row r="784">
          <cell r="C784" t="str">
            <v>S02</v>
          </cell>
          <cell r="F784">
            <v>2054</v>
          </cell>
          <cell r="I784">
            <v>37957.919999999998</v>
          </cell>
          <cell r="J784">
            <v>22183.200000000001</v>
          </cell>
          <cell r="K784">
            <v>45188</v>
          </cell>
          <cell r="L784">
            <v>45444</v>
          </cell>
        </row>
        <row r="785">
          <cell r="C785" t="str">
            <v>S03</v>
          </cell>
          <cell r="F785">
            <v>2714</v>
          </cell>
          <cell r="I785">
            <v>54714.239999999998</v>
          </cell>
          <cell r="J785">
            <v>35173.440000000002</v>
          </cell>
          <cell r="K785">
            <v>65136</v>
          </cell>
          <cell r="L785">
            <v>45444</v>
          </cell>
        </row>
        <row r="786">
          <cell r="C786" t="str">
            <v>S03</v>
          </cell>
          <cell r="F786">
            <v>2402</v>
          </cell>
          <cell r="I786">
            <v>103286</v>
          </cell>
          <cell r="J786">
            <v>72636.479999999996</v>
          </cell>
          <cell r="K786">
            <v>120100</v>
          </cell>
          <cell r="L786">
            <v>45444</v>
          </cell>
        </row>
        <row r="787">
          <cell r="C787" t="str">
            <v>S03</v>
          </cell>
          <cell r="F787">
            <v>2208</v>
          </cell>
          <cell r="I787">
            <v>51932.160000000003</v>
          </cell>
          <cell r="J787">
            <v>35769.599999999999</v>
          </cell>
          <cell r="K787">
            <v>61824</v>
          </cell>
          <cell r="L787">
            <v>45444</v>
          </cell>
        </row>
        <row r="788">
          <cell r="C788" t="str">
            <v>S03</v>
          </cell>
          <cell r="F788">
            <v>2758</v>
          </cell>
          <cell r="I788">
            <v>83015.8</v>
          </cell>
          <cell r="J788">
            <v>53615.519999999997</v>
          </cell>
          <cell r="K788">
            <v>96530</v>
          </cell>
          <cell r="L788">
            <v>45444</v>
          </cell>
        </row>
        <row r="789">
          <cell r="C789" t="str">
            <v>S03</v>
          </cell>
          <cell r="F789">
            <v>1645</v>
          </cell>
          <cell r="I789">
            <v>25760.7</v>
          </cell>
          <cell r="J789">
            <v>15989.4</v>
          </cell>
          <cell r="K789">
            <v>29610</v>
          </cell>
          <cell r="L789">
            <v>45444</v>
          </cell>
        </row>
        <row r="790">
          <cell r="C790" t="str">
            <v>S03</v>
          </cell>
          <cell r="F790">
            <v>2600</v>
          </cell>
          <cell r="I790">
            <v>67860</v>
          </cell>
          <cell r="J790">
            <v>39312</v>
          </cell>
          <cell r="K790">
            <v>78000</v>
          </cell>
          <cell r="L790">
            <v>45444</v>
          </cell>
        </row>
        <row r="791">
          <cell r="C791" t="str">
            <v>S03</v>
          </cell>
          <cell r="F791">
            <v>1883</v>
          </cell>
          <cell r="I791">
            <v>64022</v>
          </cell>
          <cell r="J791">
            <v>40672.800000000003</v>
          </cell>
          <cell r="K791">
            <v>75320</v>
          </cell>
          <cell r="L791">
            <v>45444</v>
          </cell>
        </row>
        <row r="792">
          <cell r="C792" t="str">
            <v>S03</v>
          </cell>
          <cell r="F792">
            <v>2987</v>
          </cell>
          <cell r="I792">
            <v>25986.9</v>
          </cell>
          <cell r="J792">
            <v>12903.84</v>
          </cell>
          <cell r="K792">
            <v>29870</v>
          </cell>
          <cell r="L792">
            <v>45444</v>
          </cell>
        </row>
        <row r="793">
          <cell r="C793" t="str">
            <v>S03</v>
          </cell>
          <cell r="F793">
            <v>2934</v>
          </cell>
          <cell r="I793">
            <v>54220.32</v>
          </cell>
          <cell r="J793">
            <v>31687.200000000001</v>
          </cell>
          <cell r="K793">
            <v>64548</v>
          </cell>
          <cell r="L793">
            <v>45444</v>
          </cell>
        </row>
        <row r="794">
          <cell r="C794" t="str">
            <v>S04</v>
          </cell>
          <cell r="F794">
            <v>2486</v>
          </cell>
          <cell r="I794">
            <v>49521.120000000003</v>
          </cell>
          <cell r="J794">
            <v>32218.560000000001</v>
          </cell>
          <cell r="K794">
            <v>59664</v>
          </cell>
          <cell r="L794">
            <v>45444</v>
          </cell>
        </row>
        <row r="795">
          <cell r="C795" t="str">
            <v>S04</v>
          </cell>
          <cell r="F795">
            <v>2472</v>
          </cell>
          <cell r="I795">
            <v>106296</v>
          </cell>
          <cell r="J795">
            <v>74753.279999999999</v>
          </cell>
          <cell r="K795">
            <v>123600</v>
          </cell>
          <cell r="L795">
            <v>45444</v>
          </cell>
        </row>
        <row r="796">
          <cell r="C796" t="str">
            <v>S04</v>
          </cell>
          <cell r="F796">
            <v>1804</v>
          </cell>
          <cell r="I796">
            <v>42935.199999999997</v>
          </cell>
          <cell r="J796">
            <v>29224.799999999999</v>
          </cell>
          <cell r="K796">
            <v>50512</v>
          </cell>
          <cell r="L796">
            <v>45444</v>
          </cell>
        </row>
        <row r="797">
          <cell r="C797" t="str">
            <v>S04</v>
          </cell>
          <cell r="F797">
            <v>1663</v>
          </cell>
          <cell r="I797">
            <v>50638.35</v>
          </cell>
          <cell r="J797">
            <v>32328.720000000001</v>
          </cell>
          <cell r="K797">
            <v>58205</v>
          </cell>
          <cell r="L797">
            <v>45444</v>
          </cell>
        </row>
        <row r="798">
          <cell r="C798" t="str">
            <v>S04</v>
          </cell>
          <cell r="F798">
            <v>2578</v>
          </cell>
          <cell r="I798">
            <v>39443.4</v>
          </cell>
          <cell r="J798">
            <v>25058.16</v>
          </cell>
          <cell r="K798">
            <v>46404</v>
          </cell>
          <cell r="L798">
            <v>45444</v>
          </cell>
        </row>
        <row r="799">
          <cell r="C799" t="str">
            <v>S04</v>
          </cell>
          <cell r="F799">
            <v>2582</v>
          </cell>
          <cell r="I799">
            <v>68164.800000000003</v>
          </cell>
          <cell r="J799">
            <v>39039.839999999997</v>
          </cell>
          <cell r="K799">
            <v>77460</v>
          </cell>
          <cell r="L799">
            <v>45444</v>
          </cell>
        </row>
        <row r="800">
          <cell r="C800" t="str">
            <v>S04</v>
          </cell>
          <cell r="F800">
            <v>2398</v>
          </cell>
          <cell r="I800">
            <v>80572.800000000003</v>
          </cell>
          <cell r="J800">
            <v>51796.800000000003</v>
          </cell>
          <cell r="K800">
            <v>95920</v>
          </cell>
          <cell r="L800">
            <v>45444</v>
          </cell>
        </row>
        <row r="801">
          <cell r="C801" t="str">
            <v>S04</v>
          </cell>
          <cell r="F801">
            <v>2829</v>
          </cell>
          <cell r="I801">
            <v>24895.200000000001</v>
          </cell>
          <cell r="J801">
            <v>12221.28</v>
          </cell>
          <cell r="K801">
            <v>28290</v>
          </cell>
          <cell r="L801">
            <v>45444</v>
          </cell>
        </row>
        <row r="802">
          <cell r="C802" t="str">
            <v>S04</v>
          </cell>
          <cell r="F802">
            <v>2318</v>
          </cell>
          <cell r="I802">
            <v>43856.56</v>
          </cell>
          <cell r="J802">
            <v>25034.400000000001</v>
          </cell>
          <cell r="K802">
            <v>50996</v>
          </cell>
          <cell r="L802">
            <v>45444</v>
          </cell>
        </row>
        <row r="803">
          <cell r="C803" t="str">
            <v>S05</v>
          </cell>
          <cell r="F803">
            <v>1707</v>
          </cell>
          <cell r="I803">
            <v>35642.160000000003</v>
          </cell>
          <cell r="J803">
            <v>22122.720000000001</v>
          </cell>
          <cell r="K803">
            <v>40968</v>
          </cell>
          <cell r="L803">
            <v>45444</v>
          </cell>
        </row>
        <row r="804">
          <cell r="C804" t="str">
            <v>S05</v>
          </cell>
          <cell r="F804">
            <v>2688</v>
          </cell>
          <cell r="I804">
            <v>115584</v>
          </cell>
          <cell r="J804">
            <v>81285.119999999995</v>
          </cell>
          <cell r="K804">
            <v>134400</v>
          </cell>
          <cell r="L804">
            <v>45444</v>
          </cell>
        </row>
        <row r="805">
          <cell r="C805" t="str">
            <v>S05</v>
          </cell>
          <cell r="F805">
            <v>2098</v>
          </cell>
          <cell r="I805">
            <v>48757.52</v>
          </cell>
          <cell r="J805">
            <v>33987.599999999999</v>
          </cell>
          <cell r="K805">
            <v>58744</v>
          </cell>
          <cell r="L805">
            <v>45444</v>
          </cell>
        </row>
        <row r="806">
          <cell r="C806" t="str">
            <v>S05</v>
          </cell>
          <cell r="F806">
            <v>1887</v>
          </cell>
          <cell r="I806">
            <v>55477.8</v>
          </cell>
          <cell r="J806">
            <v>36683.279999999999</v>
          </cell>
          <cell r="K806">
            <v>66045</v>
          </cell>
          <cell r="L806">
            <v>45444</v>
          </cell>
        </row>
        <row r="807">
          <cell r="C807" t="str">
            <v>S05</v>
          </cell>
          <cell r="F807">
            <v>1412</v>
          </cell>
          <cell r="I807">
            <v>22111.919999999998</v>
          </cell>
          <cell r="J807">
            <v>13724.64</v>
          </cell>
          <cell r="K807">
            <v>25416</v>
          </cell>
          <cell r="L807">
            <v>45444</v>
          </cell>
        </row>
        <row r="808">
          <cell r="C808" t="str">
            <v>S05</v>
          </cell>
          <cell r="F808">
            <v>2516</v>
          </cell>
          <cell r="I808">
            <v>63403.199999999997</v>
          </cell>
          <cell r="J808">
            <v>38041.919999999998</v>
          </cell>
          <cell r="K808">
            <v>75480</v>
          </cell>
          <cell r="L808">
            <v>45444</v>
          </cell>
        </row>
        <row r="809">
          <cell r="C809" t="str">
            <v>S05</v>
          </cell>
          <cell r="F809">
            <v>1619</v>
          </cell>
          <cell r="I809">
            <v>55693.599999999999</v>
          </cell>
          <cell r="J809">
            <v>34970.400000000001</v>
          </cell>
          <cell r="K809">
            <v>64760</v>
          </cell>
          <cell r="L809">
            <v>45444</v>
          </cell>
        </row>
        <row r="810">
          <cell r="C810" t="str">
            <v>S05</v>
          </cell>
          <cell r="F810">
            <v>2305</v>
          </cell>
          <cell r="I810">
            <v>19362</v>
          </cell>
          <cell r="J810">
            <v>9957.6</v>
          </cell>
          <cell r="K810">
            <v>23050</v>
          </cell>
          <cell r="L810">
            <v>45444</v>
          </cell>
        </row>
        <row r="811">
          <cell r="C811" t="str">
            <v>S05</v>
          </cell>
          <cell r="F811">
            <v>1636</v>
          </cell>
          <cell r="I811">
            <v>30593.200000000001</v>
          </cell>
          <cell r="J811">
            <v>17668.8</v>
          </cell>
          <cell r="K811">
            <v>35992</v>
          </cell>
          <cell r="L811">
            <v>45444</v>
          </cell>
        </row>
        <row r="812">
          <cell r="C812" t="str">
            <v>S01</v>
          </cell>
          <cell r="F812">
            <v>1553</v>
          </cell>
          <cell r="I812">
            <v>31681.200000000001</v>
          </cell>
          <cell r="J812">
            <v>20126.88</v>
          </cell>
          <cell r="K812">
            <v>37272</v>
          </cell>
          <cell r="L812">
            <v>45474</v>
          </cell>
        </row>
        <row r="813">
          <cell r="C813" t="str">
            <v>S01</v>
          </cell>
          <cell r="F813">
            <v>1456</v>
          </cell>
          <cell r="I813">
            <v>64064</v>
          </cell>
          <cell r="J813">
            <v>44029.440000000002</v>
          </cell>
          <cell r="K813">
            <v>72800</v>
          </cell>
          <cell r="L813">
            <v>45474</v>
          </cell>
        </row>
        <row r="814">
          <cell r="C814" t="str">
            <v>S01</v>
          </cell>
          <cell r="F814">
            <v>1927</v>
          </cell>
          <cell r="I814">
            <v>46402.16</v>
          </cell>
          <cell r="J814">
            <v>31217.4</v>
          </cell>
          <cell r="K814">
            <v>53956</v>
          </cell>
          <cell r="L814">
            <v>45474</v>
          </cell>
        </row>
        <row r="815">
          <cell r="C815" t="str">
            <v>S01</v>
          </cell>
          <cell r="F815">
            <v>2807</v>
          </cell>
          <cell r="I815">
            <v>82525.8</v>
          </cell>
          <cell r="J815">
            <v>54568.08</v>
          </cell>
          <cell r="K815">
            <v>98245</v>
          </cell>
          <cell r="L815">
            <v>45474</v>
          </cell>
        </row>
        <row r="816">
          <cell r="C816" t="str">
            <v>S01</v>
          </cell>
          <cell r="F816">
            <v>1878</v>
          </cell>
          <cell r="I816">
            <v>28733.4</v>
          </cell>
          <cell r="J816">
            <v>18254.16</v>
          </cell>
          <cell r="K816">
            <v>33804</v>
          </cell>
          <cell r="L816">
            <v>45474</v>
          </cell>
        </row>
        <row r="817">
          <cell r="C817" t="str">
            <v>S01</v>
          </cell>
          <cell r="F817">
            <v>2274</v>
          </cell>
          <cell r="I817">
            <v>57304.800000000003</v>
          </cell>
          <cell r="J817">
            <v>34382.879999999997</v>
          </cell>
          <cell r="K817">
            <v>68220</v>
          </cell>
          <cell r="L817">
            <v>45474</v>
          </cell>
        </row>
        <row r="818">
          <cell r="C818" t="str">
            <v>S01</v>
          </cell>
          <cell r="F818">
            <v>2477</v>
          </cell>
          <cell r="I818">
            <v>85208.8</v>
          </cell>
          <cell r="J818">
            <v>53503.199999999997</v>
          </cell>
          <cell r="K818">
            <v>99080</v>
          </cell>
          <cell r="L818">
            <v>45474</v>
          </cell>
        </row>
        <row r="819">
          <cell r="C819" t="str">
            <v>S01</v>
          </cell>
          <cell r="F819">
            <v>1522</v>
          </cell>
          <cell r="I819">
            <v>13089.2</v>
          </cell>
          <cell r="J819">
            <v>6575.04</v>
          </cell>
          <cell r="K819">
            <v>15220</v>
          </cell>
          <cell r="L819">
            <v>45474</v>
          </cell>
        </row>
        <row r="820">
          <cell r="C820" t="str">
            <v>S01</v>
          </cell>
          <cell r="F820">
            <v>1518</v>
          </cell>
          <cell r="I820">
            <v>28052.639999999999</v>
          </cell>
          <cell r="J820">
            <v>16394.400000000001</v>
          </cell>
          <cell r="K820">
            <v>33396</v>
          </cell>
          <cell r="L820">
            <v>45474</v>
          </cell>
        </row>
        <row r="821">
          <cell r="C821" t="str">
            <v>S02</v>
          </cell>
          <cell r="F821">
            <v>2684</v>
          </cell>
          <cell r="I821">
            <v>56686.080000000002</v>
          </cell>
          <cell r="J821">
            <v>34784.639999999999</v>
          </cell>
          <cell r="K821">
            <v>64416</v>
          </cell>
          <cell r="L821">
            <v>45474</v>
          </cell>
        </row>
        <row r="822">
          <cell r="C822" t="str">
            <v>S02</v>
          </cell>
          <cell r="F822">
            <v>2640</v>
          </cell>
          <cell r="I822">
            <v>110880</v>
          </cell>
          <cell r="J822">
            <v>79833.600000000006</v>
          </cell>
          <cell r="K822">
            <v>132000</v>
          </cell>
          <cell r="L822">
            <v>45474</v>
          </cell>
        </row>
        <row r="823">
          <cell r="C823" t="str">
            <v>S02</v>
          </cell>
          <cell r="F823">
            <v>2450</v>
          </cell>
          <cell r="I823">
            <v>59682</v>
          </cell>
          <cell r="J823">
            <v>39690</v>
          </cell>
          <cell r="K823">
            <v>68600</v>
          </cell>
          <cell r="L823">
            <v>45474</v>
          </cell>
        </row>
        <row r="824">
          <cell r="C824" t="str">
            <v>S02</v>
          </cell>
          <cell r="F824">
            <v>2538</v>
          </cell>
          <cell r="I824">
            <v>73728.899999999994</v>
          </cell>
          <cell r="J824">
            <v>49338.720000000001</v>
          </cell>
          <cell r="K824">
            <v>88830</v>
          </cell>
          <cell r="L824">
            <v>45474</v>
          </cell>
        </row>
        <row r="825">
          <cell r="C825" t="str">
            <v>S02</v>
          </cell>
          <cell r="F825">
            <v>2754</v>
          </cell>
          <cell r="I825">
            <v>42631.92</v>
          </cell>
          <cell r="J825">
            <v>26768.880000000001</v>
          </cell>
          <cell r="K825">
            <v>49572</v>
          </cell>
          <cell r="L825">
            <v>45474</v>
          </cell>
        </row>
        <row r="826">
          <cell r="C826" t="str">
            <v>S02</v>
          </cell>
          <cell r="F826">
            <v>1694</v>
          </cell>
          <cell r="I826">
            <v>42180.6</v>
          </cell>
          <cell r="J826">
            <v>25613.279999999999</v>
          </cell>
          <cell r="K826">
            <v>50820</v>
          </cell>
          <cell r="L826">
            <v>45474</v>
          </cell>
        </row>
        <row r="827">
          <cell r="C827" t="str">
            <v>S02</v>
          </cell>
          <cell r="F827">
            <v>1852</v>
          </cell>
          <cell r="I827">
            <v>61486.400000000001</v>
          </cell>
          <cell r="J827">
            <v>40003.199999999997</v>
          </cell>
          <cell r="K827">
            <v>74080</v>
          </cell>
          <cell r="L827">
            <v>45474</v>
          </cell>
        </row>
        <row r="828">
          <cell r="C828" t="str">
            <v>S02</v>
          </cell>
          <cell r="F828">
            <v>2406</v>
          </cell>
          <cell r="I828">
            <v>20451</v>
          </cell>
          <cell r="J828">
            <v>10393.92</v>
          </cell>
          <cell r="K828">
            <v>24060</v>
          </cell>
          <cell r="L828">
            <v>45474</v>
          </cell>
        </row>
        <row r="829">
          <cell r="C829" t="str">
            <v>S02</v>
          </cell>
          <cell r="F829">
            <v>1487</v>
          </cell>
          <cell r="I829">
            <v>28788.32</v>
          </cell>
          <cell r="J829">
            <v>16059.6</v>
          </cell>
          <cell r="K829">
            <v>32714</v>
          </cell>
          <cell r="L829">
            <v>45474</v>
          </cell>
        </row>
        <row r="830">
          <cell r="C830" t="str">
            <v>S03</v>
          </cell>
          <cell r="F830">
            <v>2455</v>
          </cell>
          <cell r="I830">
            <v>48903.6</v>
          </cell>
          <cell r="J830">
            <v>31816.799999999999</v>
          </cell>
          <cell r="K830">
            <v>58920</v>
          </cell>
          <cell r="L830">
            <v>45474</v>
          </cell>
        </row>
        <row r="831">
          <cell r="C831" t="str">
            <v>S03</v>
          </cell>
          <cell r="F831">
            <v>1628</v>
          </cell>
          <cell r="I831">
            <v>70004</v>
          </cell>
          <cell r="J831">
            <v>49230.720000000001</v>
          </cell>
          <cell r="K831">
            <v>81400</v>
          </cell>
          <cell r="L831">
            <v>45474</v>
          </cell>
        </row>
        <row r="832">
          <cell r="C832" t="str">
            <v>S03</v>
          </cell>
          <cell r="F832">
            <v>2670</v>
          </cell>
          <cell r="I832">
            <v>64293.599999999999</v>
          </cell>
          <cell r="J832">
            <v>43254</v>
          </cell>
          <cell r="K832">
            <v>74760</v>
          </cell>
          <cell r="L832">
            <v>45474</v>
          </cell>
        </row>
        <row r="833">
          <cell r="C833" t="str">
            <v>S03</v>
          </cell>
          <cell r="F833">
            <v>2952</v>
          </cell>
          <cell r="I833">
            <v>87822</v>
          </cell>
          <cell r="J833">
            <v>57386.879999999997</v>
          </cell>
          <cell r="K833">
            <v>103320</v>
          </cell>
          <cell r="L833">
            <v>45474</v>
          </cell>
        </row>
        <row r="834">
          <cell r="C834" t="str">
            <v>S03</v>
          </cell>
          <cell r="F834">
            <v>2354</v>
          </cell>
          <cell r="I834">
            <v>35592.480000000003</v>
          </cell>
          <cell r="J834">
            <v>22880.880000000001</v>
          </cell>
          <cell r="K834">
            <v>42372</v>
          </cell>
          <cell r="L834">
            <v>45474</v>
          </cell>
        </row>
        <row r="835">
          <cell r="C835" t="str">
            <v>S03</v>
          </cell>
          <cell r="F835">
            <v>2917</v>
          </cell>
          <cell r="I835">
            <v>75258.600000000006</v>
          </cell>
          <cell r="J835">
            <v>44105.04</v>
          </cell>
          <cell r="K835">
            <v>87510</v>
          </cell>
          <cell r="L835">
            <v>45474</v>
          </cell>
        </row>
        <row r="836">
          <cell r="C836" t="str">
            <v>S03</v>
          </cell>
          <cell r="F836">
            <v>1478</v>
          </cell>
          <cell r="I836">
            <v>49660.800000000003</v>
          </cell>
          <cell r="J836">
            <v>31924.799999999999</v>
          </cell>
          <cell r="K836">
            <v>59120</v>
          </cell>
          <cell r="L836">
            <v>45474</v>
          </cell>
        </row>
        <row r="837">
          <cell r="C837" t="str">
            <v>S03</v>
          </cell>
          <cell r="F837">
            <v>1513</v>
          </cell>
          <cell r="I837">
            <v>13314.4</v>
          </cell>
          <cell r="J837">
            <v>6536.16</v>
          </cell>
          <cell r="K837">
            <v>15130</v>
          </cell>
          <cell r="L837">
            <v>45474</v>
          </cell>
        </row>
        <row r="838">
          <cell r="C838" t="str">
            <v>S03</v>
          </cell>
          <cell r="F838">
            <v>1518</v>
          </cell>
          <cell r="I838">
            <v>28386.6</v>
          </cell>
          <cell r="J838">
            <v>16394.400000000001</v>
          </cell>
          <cell r="K838">
            <v>33396</v>
          </cell>
          <cell r="L838">
            <v>45474</v>
          </cell>
        </row>
        <row r="839">
          <cell r="C839" t="str">
            <v>S04</v>
          </cell>
          <cell r="F839">
            <v>2019</v>
          </cell>
          <cell r="I839">
            <v>40218.480000000003</v>
          </cell>
          <cell r="J839">
            <v>26166.240000000002</v>
          </cell>
          <cell r="K839">
            <v>48456</v>
          </cell>
          <cell r="L839">
            <v>45474</v>
          </cell>
        </row>
        <row r="840">
          <cell r="C840" t="str">
            <v>S04</v>
          </cell>
          <cell r="F840">
            <v>2248</v>
          </cell>
          <cell r="I840">
            <v>97788</v>
          </cell>
          <cell r="J840">
            <v>67979.520000000004</v>
          </cell>
          <cell r="K840">
            <v>112400</v>
          </cell>
          <cell r="L840">
            <v>45474</v>
          </cell>
        </row>
        <row r="841">
          <cell r="C841" t="str">
            <v>S04</v>
          </cell>
          <cell r="F841">
            <v>2305</v>
          </cell>
          <cell r="I841">
            <v>54859</v>
          </cell>
          <cell r="J841">
            <v>37341</v>
          </cell>
          <cell r="K841">
            <v>64540</v>
          </cell>
          <cell r="L841">
            <v>45474</v>
          </cell>
        </row>
        <row r="842">
          <cell r="C842" t="str">
            <v>S04</v>
          </cell>
          <cell r="F842">
            <v>2138</v>
          </cell>
          <cell r="I842">
            <v>62857.2</v>
          </cell>
          <cell r="J842">
            <v>41562.720000000001</v>
          </cell>
          <cell r="K842">
            <v>74830</v>
          </cell>
          <cell r="L842">
            <v>45474</v>
          </cell>
        </row>
        <row r="843">
          <cell r="C843" t="str">
            <v>S04</v>
          </cell>
          <cell r="F843">
            <v>2173</v>
          </cell>
          <cell r="I843">
            <v>34420.32</v>
          </cell>
          <cell r="J843">
            <v>21121.56</v>
          </cell>
          <cell r="K843">
            <v>39114</v>
          </cell>
          <cell r="L843">
            <v>45474</v>
          </cell>
        </row>
        <row r="844">
          <cell r="C844" t="str">
            <v>S04</v>
          </cell>
          <cell r="F844">
            <v>1843</v>
          </cell>
          <cell r="I844">
            <v>48102.3</v>
          </cell>
          <cell r="J844">
            <v>27866.16</v>
          </cell>
          <cell r="K844">
            <v>55290</v>
          </cell>
          <cell r="L844">
            <v>45474</v>
          </cell>
        </row>
        <row r="845">
          <cell r="C845" t="str">
            <v>S04</v>
          </cell>
          <cell r="F845">
            <v>1795</v>
          </cell>
          <cell r="I845">
            <v>61748</v>
          </cell>
          <cell r="J845">
            <v>38772</v>
          </cell>
          <cell r="K845">
            <v>71800</v>
          </cell>
          <cell r="L845">
            <v>45474</v>
          </cell>
        </row>
        <row r="846">
          <cell r="C846" t="str">
            <v>S04</v>
          </cell>
          <cell r="F846">
            <v>2477</v>
          </cell>
          <cell r="I846">
            <v>21054.5</v>
          </cell>
          <cell r="J846">
            <v>10700.64</v>
          </cell>
          <cell r="K846">
            <v>24770</v>
          </cell>
          <cell r="L846">
            <v>45474</v>
          </cell>
        </row>
        <row r="847">
          <cell r="C847" t="str">
            <v>S04</v>
          </cell>
          <cell r="F847">
            <v>3036</v>
          </cell>
          <cell r="I847">
            <v>58776.959999999999</v>
          </cell>
          <cell r="J847">
            <v>32788.800000000003</v>
          </cell>
          <cell r="K847">
            <v>66792</v>
          </cell>
          <cell r="L847">
            <v>45474</v>
          </cell>
        </row>
        <row r="848">
          <cell r="C848" t="str">
            <v>S05</v>
          </cell>
          <cell r="F848">
            <v>1790</v>
          </cell>
          <cell r="I848">
            <v>36945.599999999999</v>
          </cell>
          <cell r="J848">
            <v>23198.400000000001</v>
          </cell>
          <cell r="K848">
            <v>42960</v>
          </cell>
          <cell r="L848">
            <v>45474</v>
          </cell>
        </row>
        <row r="849">
          <cell r="C849" t="str">
            <v>S05</v>
          </cell>
          <cell r="F849">
            <v>1412</v>
          </cell>
          <cell r="I849">
            <v>59304</v>
          </cell>
          <cell r="J849">
            <v>42698.879999999997</v>
          </cell>
          <cell r="K849">
            <v>70600</v>
          </cell>
          <cell r="L849">
            <v>45474</v>
          </cell>
        </row>
        <row r="850">
          <cell r="C850" t="str">
            <v>S05</v>
          </cell>
          <cell r="F850">
            <v>2063</v>
          </cell>
          <cell r="I850">
            <v>49677.04</v>
          </cell>
          <cell r="J850">
            <v>33420.6</v>
          </cell>
          <cell r="K850">
            <v>57764</v>
          </cell>
          <cell r="L850">
            <v>45474</v>
          </cell>
        </row>
        <row r="851">
          <cell r="C851" t="str">
            <v>S05</v>
          </cell>
          <cell r="F851">
            <v>2186</v>
          </cell>
          <cell r="I851">
            <v>63503.3</v>
          </cell>
          <cell r="J851">
            <v>42495.839999999997</v>
          </cell>
          <cell r="K851">
            <v>76510</v>
          </cell>
          <cell r="L851">
            <v>45474</v>
          </cell>
        </row>
        <row r="852">
          <cell r="C852" t="str">
            <v>S05</v>
          </cell>
          <cell r="F852">
            <v>1469</v>
          </cell>
          <cell r="I852">
            <v>22740.12</v>
          </cell>
          <cell r="J852">
            <v>14278.68</v>
          </cell>
          <cell r="K852">
            <v>26442</v>
          </cell>
          <cell r="L852">
            <v>45474</v>
          </cell>
        </row>
        <row r="853">
          <cell r="C853" t="str">
            <v>S05</v>
          </cell>
          <cell r="F853">
            <v>2574</v>
          </cell>
          <cell r="I853">
            <v>67953.600000000006</v>
          </cell>
          <cell r="J853">
            <v>38918.879999999997</v>
          </cell>
          <cell r="K853">
            <v>77220</v>
          </cell>
          <cell r="L853">
            <v>45474</v>
          </cell>
        </row>
        <row r="854">
          <cell r="C854" t="str">
            <v>S05</v>
          </cell>
          <cell r="F854">
            <v>1416</v>
          </cell>
          <cell r="I854">
            <v>49843.199999999997</v>
          </cell>
          <cell r="J854">
            <v>30585.599999999999</v>
          </cell>
          <cell r="K854">
            <v>56640</v>
          </cell>
          <cell r="L854">
            <v>45474</v>
          </cell>
        </row>
        <row r="855">
          <cell r="C855" t="str">
            <v>S05</v>
          </cell>
          <cell r="F855">
            <v>1641</v>
          </cell>
          <cell r="I855">
            <v>14276.7</v>
          </cell>
          <cell r="J855">
            <v>7089.12</v>
          </cell>
          <cell r="K855">
            <v>16410</v>
          </cell>
          <cell r="L855">
            <v>45474</v>
          </cell>
        </row>
        <row r="856">
          <cell r="C856" t="str">
            <v>S05</v>
          </cell>
          <cell r="F856">
            <v>2389</v>
          </cell>
          <cell r="I856">
            <v>46251.040000000001</v>
          </cell>
          <cell r="J856">
            <v>25801.200000000001</v>
          </cell>
          <cell r="K856">
            <v>52558</v>
          </cell>
          <cell r="L856">
            <v>45474</v>
          </cell>
        </row>
        <row r="857">
          <cell r="C857" t="str">
            <v>S01</v>
          </cell>
          <cell r="F857">
            <v>1975</v>
          </cell>
          <cell r="I857">
            <v>39816</v>
          </cell>
          <cell r="J857">
            <v>25596</v>
          </cell>
          <cell r="K857">
            <v>47400</v>
          </cell>
          <cell r="L857">
            <v>45505</v>
          </cell>
        </row>
        <row r="858">
          <cell r="C858" t="str">
            <v>S01</v>
          </cell>
          <cell r="F858">
            <v>2714</v>
          </cell>
          <cell r="I858">
            <v>115345</v>
          </cell>
          <cell r="J858">
            <v>82071.360000000001</v>
          </cell>
          <cell r="K858">
            <v>135700</v>
          </cell>
          <cell r="L858">
            <v>45505</v>
          </cell>
        </row>
        <row r="859">
          <cell r="C859" t="str">
            <v>S01</v>
          </cell>
          <cell r="F859">
            <v>2050</v>
          </cell>
          <cell r="I859">
            <v>48790</v>
          </cell>
          <cell r="J859">
            <v>33210</v>
          </cell>
          <cell r="K859">
            <v>57400</v>
          </cell>
          <cell r="L859">
            <v>45505</v>
          </cell>
        </row>
        <row r="860">
          <cell r="C860" t="str">
            <v>S01</v>
          </cell>
          <cell r="F860">
            <v>3062</v>
          </cell>
          <cell r="I860">
            <v>91094.5</v>
          </cell>
          <cell r="J860">
            <v>59525.279999999999</v>
          </cell>
          <cell r="K860">
            <v>107170</v>
          </cell>
          <cell r="L860">
            <v>45505</v>
          </cell>
        </row>
        <row r="861">
          <cell r="C861" t="str">
            <v>S01</v>
          </cell>
          <cell r="F861">
            <v>1381</v>
          </cell>
          <cell r="I861">
            <v>20880.72</v>
          </cell>
          <cell r="J861">
            <v>13423.32</v>
          </cell>
          <cell r="K861">
            <v>24858</v>
          </cell>
          <cell r="L861">
            <v>45505</v>
          </cell>
        </row>
        <row r="862">
          <cell r="C862" t="str">
            <v>S01</v>
          </cell>
          <cell r="F862">
            <v>2442</v>
          </cell>
          <cell r="I862">
            <v>63003.6</v>
          </cell>
          <cell r="J862">
            <v>36923.040000000001</v>
          </cell>
          <cell r="K862">
            <v>73260</v>
          </cell>
          <cell r="L862">
            <v>45505</v>
          </cell>
        </row>
        <row r="863">
          <cell r="C863" t="str">
            <v>S01</v>
          </cell>
          <cell r="F863">
            <v>2116</v>
          </cell>
          <cell r="I863">
            <v>71097.600000000006</v>
          </cell>
          <cell r="J863">
            <v>45705.599999999999</v>
          </cell>
          <cell r="K863">
            <v>84640</v>
          </cell>
          <cell r="L863">
            <v>45505</v>
          </cell>
        </row>
        <row r="864">
          <cell r="C864" t="str">
            <v>S01</v>
          </cell>
          <cell r="F864">
            <v>1878</v>
          </cell>
          <cell r="I864">
            <v>15775.2</v>
          </cell>
          <cell r="J864">
            <v>8112.96</v>
          </cell>
          <cell r="K864">
            <v>18780</v>
          </cell>
          <cell r="L864">
            <v>45505</v>
          </cell>
        </row>
        <row r="865">
          <cell r="C865" t="str">
            <v>S01</v>
          </cell>
          <cell r="F865">
            <v>2574</v>
          </cell>
          <cell r="I865">
            <v>47567.519999999997</v>
          </cell>
          <cell r="J865">
            <v>27799.200000000001</v>
          </cell>
          <cell r="K865">
            <v>56628</v>
          </cell>
          <cell r="L865">
            <v>45505</v>
          </cell>
        </row>
        <row r="866">
          <cell r="C866" t="str">
            <v>S02</v>
          </cell>
          <cell r="F866">
            <v>2371</v>
          </cell>
          <cell r="I866">
            <v>48368.4</v>
          </cell>
          <cell r="J866">
            <v>30728.16</v>
          </cell>
          <cell r="K866">
            <v>56904</v>
          </cell>
          <cell r="L866">
            <v>45505</v>
          </cell>
        </row>
        <row r="867">
          <cell r="C867" t="str">
            <v>S02</v>
          </cell>
          <cell r="F867">
            <v>2248</v>
          </cell>
          <cell r="I867">
            <v>97788</v>
          </cell>
          <cell r="J867">
            <v>67979.520000000004</v>
          </cell>
          <cell r="K867">
            <v>112400</v>
          </cell>
          <cell r="L867">
            <v>45505</v>
          </cell>
        </row>
        <row r="868">
          <cell r="C868" t="str">
            <v>S02</v>
          </cell>
          <cell r="F868">
            <v>2424</v>
          </cell>
          <cell r="I868">
            <v>59727.360000000001</v>
          </cell>
          <cell r="J868">
            <v>39268.800000000003</v>
          </cell>
          <cell r="K868">
            <v>67872</v>
          </cell>
          <cell r="L868">
            <v>45505</v>
          </cell>
        </row>
        <row r="869">
          <cell r="C869" t="str">
            <v>S02</v>
          </cell>
          <cell r="F869">
            <v>1575</v>
          </cell>
          <cell r="I869">
            <v>47958.75</v>
          </cell>
          <cell r="J869">
            <v>30618</v>
          </cell>
          <cell r="K869">
            <v>55125</v>
          </cell>
          <cell r="L869">
            <v>45505</v>
          </cell>
        </row>
        <row r="870">
          <cell r="C870" t="str">
            <v>S02</v>
          </cell>
          <cell r="F870">
            <v>1372</v>
          </cell>
          <cell r="I870">
            <v>20744.64</v>
          </cell>
          <cell r="J870">
            <v>13335.84</v>
          </cell>
          <cell r="K870">
            <v>24696</v>
          </cell>
          <cell r="L870">
            <v>45505</v>
          </cell>
        </row>
        <row r="871">
          <cell r="C871" t="str">
            <v>S02</v>
          </cell>
          <cell r="F871">
            <v>2239</v>
          </cell>
          <cell r="I871">
            <v>57094.5</v>
          </cell>
          <cell r="J871">
            <v>33853.68</v>
          </cell>
          <cell r="K871">
            <v>67170</v>
          </cell>
          <cell r="L871">
            <v>45505</v>
          </cell>
        </row>
        <row r="872">
          <cell r="C872" t="str">
            <v>S02</v>
          </cell>
          <cell r="F872">
            <v>2173</v>
          </cell>
          <cell r="I872">
            <v>74751.199999999997</v>
          </cell>
          <cell r="J872">
            <v>46936.800000000003</v>
          </cell>
          <cell r="K872">
            <v>86920</v>
          </cell>
          <cell r="L872">
            <v>45505</v>
          </cell>
        </row>
        <row r="873">
          <cell r="C873" t="str">
            <v>S02</v>
          </cell>
          <cell r="F873">
            <v>1764</v>
          </cell>
          <cell r="I873">
            <v>14817.6</v>
          </cell>
          <cell r="J873">
            <v>7620.48</v>
          </cell>
          <cell r="K873">
            <v>17640</v>
          </cell>
          <cell r="L873">
            <v>45505</v>
          </cell>
        </row>
        <row r="874">
          <cell r="C874" t="str">
            <v>S02</v>
          </cell>
          <cell r="F874">
            <v>1962</v>
          </cell>
          <cell r="I874">
            <v>37552.68</v>
          </cell>
          <cell r="J874">
            <v>21189.599999999999</v>
          </cell>
          <cell r="K874">
            <v>43164</v>
          </cell>
          <cell r="L874">
            <v>45505</v>
          </cell>
        </row>
        <row r="875">
          <cell r="C875" t="str">
            <v>S03</v>
          </cell>
          <cell r="F875">
            <v>2499</v>
          </cell>
          <cell r="I875">
            <v>51579.360000000001</v>
          </cell>
          <cell r="J875">
            <v>32387.040000000001</v>
          </cell>
          <cell r="K875">
            <v>59976</v>
          </cell>
          <cell r="L875">
            <v>45505</v>
          </cell>
        </row>
        <row r="876">
          <cell r="C876" t="str">
            <v>S03</v>
          </cell>
          <cell r="F876">
            <v>2257</v>
          </cell>
          <cell r="I876">
            <v>97051</v>
          </cell>
          <cell r="J876">
            <v>68251.679999999993</v>
          </cell>
          <cell r="K876">
            <v>112850</v>
          </cell>
          <cell r="L876">
            <v>45505</v>
          </cell>
        </row>
        <row r="877">
          <cell r="C877" t="str">
            <v>S03</v>
          </cell>
          <cell r="F877">
            <v>1496</v>
          </cell>
          <cell r="I877">
            <v>35604.800000000003</v>
          </cell>
          <cell r="J877">
            <v>24235.200000000001</v>
          </cell>
          <cell r="K877">
            <v>41888</v>
          </cell>
          <cell r="L877">
            <v>45505</v>
          </cell>
        </row>
        <row r="878">
          <cell r="C878" t="str">
            <v>S03</v>
          </cell>
          <cell r="F878">
            <v>2833</v>
          </cell>
          <cell r="I878">
            <v>83290.2</v>
          </cell>
          <cell r="J878">
            <v>55073.52</v>
          </cell>
          <cell r="K878">
            <v>99155</v>
          </cell>
          <cell r="L878">
            <v>45505</v>
          </cell>
        </row>
        <row r="879">
          <cell r="C879" t="str">
            <v>S03</v>
          </cell>
          <cell r="F879">
            <v>1614</v>
          </cell>
          <cell r="I879">
            <v>24113.16</v>
          </cell>
          <cell r="J879">
            <v>15688.08</v>
          </cell>
          <cell r="K879">
            <v>29052</v>
          </cell>
          <cell r="L879">
            <v>45505</v>
          </cell>
        </row>
        <row r="880">
          <cell r="C880" t="str">
            <v>S03</v>
          </cell>
          <cell r="F880">
            <v>2838</v>
          </cell>
          <cell r="I880">
            <v>72369</v>
          </cell>
          <cell r="J880">
            <v>42910.559999999998</v>
          </cell>
          <cell r="K880">
            <v>85140</v>
          </cell>
          <cell r="L880">
            <v>45505</v>
          </cell>
        </row>
        <row r="881">
          <cell r="C881" t="str">
            <v>S03</v>
          </cell>
          <cell r="F881">
            <v>1610</v>
          </cell>
          <cell r="I881">
            <v>55384</v>
          </cell>
          <cell r="J881">
            <v>34776</v>
          </cell>
          <cell r="K881">
            <v>64400</v>
          </cell>
          <cell r="L881">
            <v>45505</v>
          </cell>
        </row>
        <row r="882">
          <cell r="C882" t="str">
            <v>S03</v>
          </cell>
          <cell r="F882">
            <v>2921</v>
          </cell>
          <cell r="I882">
            <v>24828.5</v>
          </cell>
          <cell r="J882">
            <v>12618.72</v>
          </cell>
          <cell r="K882">
            <v>29210</v>
          </cell>
          <cell r="L882">
            <v>45505</v>
          </cell>
        </row>
        <row r="883">
          <cell r="C883" t="str">
            <v>S03</v>
          </cell>
          <cell r="F883">
            <v>3031</v>
          </cell>
          <cell r="I883">
            <v>58013.34</v>
          </cell>
          <cell r="J883">
            <v>32734.799999999999</v>
          </cell>
          <cell r="K883">
            <v>66682</v>
          </cell>
          <cell r="L883">
            <v>45505</v>
          </cell>
        </row>
        <row r="884">
          <cell r="C884" t="str">
            <v>S04</v>
          </cell>
          <cell r="F884">
            <v>1782</v>
          </cell>
          <cell r="I884">
            <v>36352.800000000003</v>
          </cell>
          <cell r="J884">
            <v>23094.720000000001</v>
          </cell>
          <cell r="K884">
            <v>42768</v>
          </cell>
          <cell r="L884">
            <v>45505</v>
          </cell>
        </row>
        <row r="885">
          <cell r="C885" t="str">
            <v>S04</v>
          </cell>
          <cell r="F885">
            <v>2521</v>
          </cell>
          <cell r="I885">
            <v>108403</v>
          </cell>
          <cell r="J885">
            <v>76235.039999999994</v>
          </cell>
          <cell r="K885">
            <v>126050</v>
          </cell>
          <cell r="L885">
            <v>45505</v>
          </cell>
        </row>
        <row r="886">
          <cell r="C886" t="str">
            <v>S04</v>
          </cell>
          <cell r="F886">
            <v>3062</v>
          </cell>
          <cell r="I886">
            <v>72875.600000000006</v>
          </cell>
          <cell r="J886">
            <v>49604.4</v>
          </cell>
          <cell r="K886">
            <v>85736</v>
          </cell>
          <cell r="L886">
            <v>45505</v>
          </cell>
        </row>
        <row r="887">
          <cell r="C887" t="str">
            <v>S04</v>
          </cell>
          <cell r="F887">
            <v>2002</v>
          </cell>
          <cell r="I887">
            <v>60260.2</v>
          </cell>
          <cell r="J887">
            <v>38918.879999999997</v>
          </cell>
          <cell r="K887">
            <v>70070</v>
          </cell>
          <cell r="L887">
            <v>45505</v>
          </cell>
        </row>
        <row r="888">
          <cell r="C888" t="str">
            <v>S04</v>
          </cell>
          <cell r="F888">
            <v>2635</v>
          </cell>
          <cell r="I888">
            <v>41738.400000000001</v>
          </cell>
          <cell r="J888">
            <v>25612.2</v>
          </cell>
          <cell r="K888">
            <v>47430</v>
          </cell>
          <cell r="L888">
            <v>45505</v>
          </cell>
        </row>
        <row r="889">
          <cell r="C889" t="str">
            <v>S04</v>
          </cell>
          <cell r="F889">
            <v>1940</v>
          </cell>
          <cell r="I889">
            <v>51216</v>
          </cell>
          <cell r="J889">
            <v>29332.799999999999</v>
          </cell>
          <cell r="K889">
            <v>58200</v>
          </cell>
          <cell r="L889">
            <v>45505</v>
          </cell>
        </row>
        <row r="890">
          <cell r="C890" t="str">
            <v>S04</v>
          </cell>
          <cell r="F890">
            <v>2068</v>
          </cell>
          <cell r="I890">
            <v>69484.800000000003</v>
          </cell>
          <cell r="J890">
            <v>44668.800000000003</v>
          </cell>
          <cell r="K890">
            <v>82720</v>
          </cell>
          <cell r="L890">
            <v>45505</v>
          </cell>
        </row>
        <row r="891">
          <cell r="C891" t="str">
            <v>S04</v>
          </cell>
          <cell r="F891">
            <v>1342</v>
          </cell>
          <cell r="I891">
            <v>11809.6</v>
          </cell>
          <cell r="J891">
            <v>5797.44</v>
          </cell>
          <cell r="K891">
            <v>13420</v>
          </cell>
          <cell r="L891">
            <v>45505</v>
          </cell>
        </row>
        <row r="892">
          <cell r="C892" t="str">
            <v>S04</v>
          </cell>
          <cell r="F892">
            <v>2024</v>
          </cell>
          <cell r="I892">
            <v>37403.519999999997</v>
          </cell>
          <cell r="J892">
            <v>21859.200000000001</v>
          </cell>
          <cell r="K892">
            <v>44528</v>
          </cell>
          <cell r="L892">
            <v>45505</v>
          </cell>
        </row>
        <row r="893">
          <cell r="C893" t="str">
            <v>S05</v>
          </cell>
          <cell r="F893">
            <v>1425</v>
          </cell>
          <cell r="I893">
            <v>30096</v>
          </cell>
          <cell r="J893">
            <v>18468</v>
          </cell>
          <cell r="K893">
            <v>34200</v>
          </cell>
          <cell r="L893">
            <v>45505</v>
          </cell>
        </row>
        <row r="894">
          <cell r="C894" t="str">
            <v>S05</v>
          </cell>
          <cell r="F894">
            <v>1755</v>
          </cell>
          <cell r="I894">
            <v>74587.5</v>
          </cell>
          <cell r="J894">
            <v>53071.199999999997</v>
          </cell>
          <cell r="K894">
            <v>87750</v>
          </cell>
          <cell r="L894">
            <v>45505</v>
          </cell>
        </row>
        <row r="895">
          <cell r="C895" t="str">
            <v>S05</v>
          </cell>
          <cell r="F895">
            <v>2002</v>
          </cell>
          <cell r="I895">
            <v>48768.72</v>
          </cell>
          <cell r="J895">
            <v>32432.400000000001</v>
          </cell>
          <cell r="K895">
            <v>56056</v>
          </cell>
          <cell r="L895">
            <v>45505</v>
          </cell>
        </row>
        <row r="896">
          <cell r="C896" t="str">
            <v>S05</v>
          </cell>
          <cell r="F896">
            <v>1482</v>
          </cell>
          <cell r="I896">
            <v>44089.5</v>
          </cell>
          <cell r="J896">
            <v>28810.080000000002</v>
          </cell>
          <cell r="K896">
            <v>51870</v>
          </cell>
          <cell r="L896">
            <v>45505</v>
          </cell>
        </row>
        <row r="897">
          <cell r="C897" t="str">
            <v>S05</v>
          </cell>
          <cell r="F897">
            <v>2525</v>
          </cell>
          <cell r="I897">
            <v>39541.5</v>
          </cell>
          <cell r="J897">
            <v>24543</v>
          </cell>
          <cell r="K897">
            <v>45450</v>
          </cell>
          <cell r="L897">
            <v>45505</v>
          </cell>
        </row>
        <row r="898">
          <cell r="C898" t="str">
            <v>S05</v>
          </cell>
          <cell r="F898">
            <v>1918</v>
          </cell>
          <cell r="I898">
            <v>50059.8</v>
          </cell>
          <cell r="J898">
            <v>29000.16</v>
          </cell>
          <cell r="K898">
            <v>57540</v>
          </cell>
          <cell r="L898">
            <v>45505</v>
          </cell>
        </row>
        <row r="899">
          <cell r="C899" t="str">
            <v>S05</v>
          </cell>
          <cell r="F899">
            <v>1522</v>
          </cell>
          <cell r="I899">
            <v>51748</v>
          </cell>
          <cell r="J899">
            <v>32875.199999999997</v>
          </cell>
          <cell r="K899">
            <v>60880</v>
          </cell>
          <cell r="L899">
            <v>45505</v>
          </cell>
        </row>
        <row r="900">
          <cell r="C900" t="str">
            <v>S05</v>
          </cell>
          <cell r="F900">
            <v>2886</v>
          </cell>
          <cell r="I900">
            <v>24819.599999999999</v>
          </cell>
          <cell r="J900">
            <v>12467.52</v>
          </cell>
          <cell r="K900">
            <v>28860</v>
          </cell>
          <cell r="L900">
            <v>45505</v>
          </cell>
        </row>
        <row r="901">
          <cell r="C901" t="str">
            <v>S05</v>
          </cell>
          <cell r="F901">
            <v>2565</v>
          </cell>
          <cell r="I901">
            <v>49658.400000000001</v>
          </cell>
          <cell r="J901">
            <v>27702</v>
          </cell>
          <cell r="K901">
            <v>56430</v>
          </cell>
          <cell r="L901">
            <v>45505</v>
          </cell>
        </row>
        <row r="902">
          <cell r="C902" t="str">
            <v>S01</v>
          </cell>
          <cell r="F902">
            <v>2798</v>
          </cell>
          <cell r="I902">
            <v>58422.239999999998</v>
          </cell>
          <cell r="J902">
            <v>36262.080000000002</v>
          </cell>
          <cell r="K902">
            <v>67152</v>
          </cell>
          <cell r="L902">
            <v>45536</v>
          </cell>
        </row>
        <row r="903">
          <cell r="C903" t="str">
            <v>S01</v>
          </cell>
          <cell r="F903">
            <v>2125</v>
          </cell>
          <cell r="I903">
            <v>89250</v>
          </cell>
          <cell r="J903">
            <v>64260</v>
          </cell>
          <cell r="K903">
            <v>106250</v>
          </cell>
          <cell r="L903">
            <v>45536</v>
          </cell>
        </row>
        <row r="904">
          <cell r="C904" t="str">
            <v>S01</v>
          </cell>
          <cell r="F904">
            <v>2380</v>
          </cell>
          <cell r="I904">
            <v>57310.400000000001</v>
          </cell>
          <cell r="J904">
            <v>38556</v>
          </cell>
          <cell r="K904">
            <v>66640</v>
          </cell>
          <cell r="L904">
            <v>45536</v>
          </cell>
        </row>
        <row r="905">
          <cell r="C905" t="str">
            <v>S01</v>
          </cell>
          <cell r="F905">
            <v>2129</v>
          </cell>
          <cell r="I905">
            <v>62592.6</v>
          </cell>
          <cell r="J905">
            <v>41387.760000000002</v>
          </cell>
          <cell r="K905">
            <v>74515</v>
          </cell>
          <cell r="L905">
            <v>45536</v>
          </cell>
        </row>
        <row r="906">
          <cell r="C906" t="str">
            <v>S01</v>
          </cell>
          <cell r="F906">
            <v>1711</v>
          </cell>
          <cell r="I906">
            <v>27102.240000000002</v>
          </cell>
          <cell r="J906">
            <v>16630.919999999998</v>
          </cell>
          <cell r="K906">
            <v>30798</v>
          </cell>
          <cell r="L906">
            <v>45536</v>
          </cell>
        </row>
        <row r="907">
          <cell r="C907" t="str">
            <v>S01</v>
          </cell>
          <cell r="F907">
            <v>1562</v>
          </cell>
          <cell r="I907">
            <v>40299.599999999999</v>
          </cell>
          <cell r="J907">
            <v>23617.439999999999</v>
          </cell>
          <cell r="K907">
            <v>46860</v>
          </cell>
          <cell r="L907">
            <v>45536</v>
          </cell>
        </row>
        <row r="908">
          <cell r="C908" t="str">
            <v>S01</v>
          </cell>
          <cell r="F908">
            <v>2292</v>
          </cell>
          <cell r="I908">
            <v>77011.199999999997</v>
          </cell>
          <cell r="J908">
            <v>49507.199999999997</v>
          </cell>
          <cell r="K908">
            <v>91680</v>
          </cell>
          <cell r="L908">
            <v>45536</v>
          </cell>
        </row>
        <row r="909">
          <cell r="C909" t="str">
            <v>S01</v>
          </cell>
          <cell r="F909">
            <v>2930</v>
          </cell>
          <cell r="I909">
            <v>25198</v>
          </cell>
          <cell r="J909">
            <v>12657.6</v>
          </cell>
          <cell r="K909">
            <v>29300</v>
          </cell>
          <cell r="L909">
            <v>45536</v>
          </cell>
        </row>
        <row r="910">
          <cell r="C910" t="str">
            <v>S01</v>
          </cell>
          <cell r="F910">
            <v>2776</v>
          </cell>
          <cell r="I910">
            <v>53132.639999999999</v>
          </cell>
          <cell r="J910">
            <v>29980.799999999999</v>
          </cell>
          <cell r="K910">
            <v>61072</v>
          </cell>
          <cell r="L910">
            <v>45536</v>
          </cell>
        </row>
        <row r="911">
          <cell r="C911" t="str">
            <v>S02</v>
          </cell>
          <cell r="F911">
            <v>2965</v>
          </cell>
          <cell r="I911">
            <v>59774.400000000001</v>
          </cell>
          <cell r="J911">
            <v>38426.400000000001</v>
          </cell>
          <cell r="K911">
            <v>71160</v>
          </cell>
          <cell r="L911">
            <v>45536</v>
          </cell>
        </row>
        <row r="912">
          <cell r="C912" t="str">
            <v>S02</v>
          </cell>
          <cell r="F912">
            <v>1482</v>
          </cell>
          <cell r="I912">
            <v>65208</v>
          </cell>
          <cell r="J912">
            <v>44815.68</v>
          </cell>
          <cell r="K912">
            <v>74100</v>
          </cell>
          <cell r="L912">
            <v>45536</v>
          </cell>
        </row>
        <row r="913">
          <cell r="C913" t="str">
            <v>S02</v>
          </cell>
          <cell r="F913">
            <v>2626</v>
          </cell>
          <cell r="I913">
            <v>63234.080000000002</v>
          </cell>
          <cell r="J913">
            <v>42541.2</v>
          </cell>
          <cell r="K913">
            <v>73528</v>
          </cell>
          <cell r="L913">
            <v>45536</v>
          </cell>
        </row>
        <row r="914">
          <cell r="C914" t="str">
            <v>S02</v>
          </cell>
          <cell r="F914">
            <v>2565</v>
          </cell>
          <cell r="I914">
            <v>77206.5</v>
          </cell>
          <cell r="J914">
            <v>49863.6</v>
          </cell>
          <cell r="K914">
            <v>89775</v>
          </cell>
          <cell r="L914">
            <v>45536</v>
          </cell>
        </row>
        <row r="915">
          <cell r="C915" t="str">
            <v>S02</v>
          </cell>
          <cell r="F915">
            <v>3018</v>
          </cell>
          <cell r="I915">
            <v>46175.4</v>
          </cell>
          <cell r="J915">
            <v>29334.959999999999</v>
          </cell>
          <cell r="K915">
            <v>54324</v>
          </cell>
          <cell r="L915">
            <v>45536</v>
          </cell>
        </row>
        <row r="916">
          <cell r="C916" t="str">
            <v>S02</v>
          </cell>
          <cell r="F916">
            <v>1408</v>
          </cell>
          <cell r="I916">
            <v>37171.199999999997</v>
          </cell>
          <cell r="J916">
            <v>21288.959999999999</v>
          </cell>
          <cell r="K916">
            <v>42240</v>
          </cell>
          <cell r="L916">
            <v>45536</v>
          </cell>
        </row>
        <row r="917">
          <cell r="C917" t="str">
            <v>S02</v>
          </cell>
          <cell r="F917">
            <v>2543</v>
          </cell>
          <cell r="I917">
            <v>87479.2</v>
          </cell>
          <cell r="J917">
            <v>54928.800000000003</v>
          </cell>
          <cell r="K917">
            <v>101720</v>
          </cell>
          <cell r="L917">
            <v>45536</v>
          </cell>
        </row>
        <row r="918">
          <cell r="C918" t="str">
            <v>S02</v>
          </cell>
          <cell r="F918">
            <v>1808</v>
          </cell>
          <cell r="I918">
            <v>15729.6</v>
          </cell>
          <cell r="J918">
            <v>7810.56</v>
          </cell>
          <cell r="K918">
            <v>18080</v>
          </cell>
          <cell r="L918">
            <v>45536</v>
          </cell>
        </row>
        <row r="919">
          <cell r="C919" t="str">
            <v>S02</v>
          </cell>
          <cell r="F919">
            <v>2912</v>
          </cell>
          <cell r="I919">
            <v>53173.120000000003</v>
          </cell>
          <cell r="J919">
            <v>31449.599999999999</v>
          </cell>
          <cell r="K919">
            <v>64064</v>
          </cell>
          <cell r="L919">
            <v>45536</v>
          </cell>
        </row>
        <row r="920">
          <cell r="C920" t="str">
            <v>S03</v>
          </cell>
          <cell r="F920">
            <v>2032</v>
          </cell>
          <cell r="I920">
            <v>42428.160000000003</v>
          </cell>
          <cell r="J920">
            <v>26334.720000000001</v>
          </cell>
          <cell r="K920">
            <v>48768</v>
          </cell>
          <cell r="L920">
            <v>45536</v>
          </cell>
        </row>
        <row r="921">
          <cell r="C921" t="str">
            <v>S03</v>
          </cell>
          <cell r="F921">
            <v>2591</v>
          </cell>
          <cell r="I921">
            <v>112708.5</v>
          </cell>
          <cell r="J921">
            <v>78351.839999999997</v>
          </cell>
          <cell r="K921">
            <v>129550</v>
          </cell>
          <cell r="L921">
            <v>45536</v>
          </cell>
        </row>
        <row r="922">
          <cell r="C922" t="str">
            <v>S03</v>
          </cell>
          <cell r="F922">
            <v>2829</v>
          </cell>
          <cell r="I922">
            <v>65745.960000000006</v>
          </cell>
          <cell r="J922">
            <v>45829.8</v>
          </cell>
          <cell r="K922">
            <v>79212</v>
          </cell>
          <cell r="L922">
            <v>45536</v>
          </cell>
        </row>
        <row r="923">
          <cell r="C923" t="str">
            <v>S03</v>
          </cell>
          <cell r="F923">
            <v>1821</v>
          </cell>
          <cell r="I923">
            <v>55449.45</v>
          </cell>
          <cell r="J923">
            <v>35400.239999999998</v>
          </cell>
          <cell r="K923">
            <v>63735</v>
          </cell>
          <cell r="L923">
            <v>45536</v>
          </cell>
        </row>
        <row r="924">
          <cell r="C924" t="str">
            <v>S03</v>
          </cell>
          <cell r="F924">
            <v>1619</v>
          </cell>
          <cell r="I924">
            <v>24770.7</v>
          </cell>
          <cell r="J924">
            <v>15736.68</v>
          </cell>
          <cell r="K924">
            <v>29142</v>
          </cell>
          <cell r="L924">
            <v>45536</v>
          </cell>
        </row>
        <row r="925">
          <cell r="C925" t="str">
            <v>S03</v>
          </cell>
          <cell r="F925">
            <v>1566</v>
          </cell>
          <cell r="I925">
            <v>39933</v>
          </cell>
          <cell r="J925">
            <v>23677.919999999998</v>
          </cell>
          <cell r="K925">
            <v>46980</v>
          </cell>
          <cell r="L925">
            <v>45536</v>
          </cell>
        </row>
        <row r="926">
          <cell r="C926" t="str">
            <v>S03</v>
          </cell>
          <cell r="F926">
            <v>1337</v>
          </cell>
          <cell r="I926">
            <v>47062.400000000001</v>
          </cell>
          <cell r="J926">
            <v>28879.200000000001</v>
          </cell>
          <cell r="K926">
            <v>53480</v>
          </cell>
          <cell r="L926">
            <v>45536</v>
          </cell>
        </row>
        <row r="927">
          <cell r="C927" t="str">
            <v>S03</v>
          </cell>
          <cell r="F927">
            <v>2719</v>
          </cell>
          <cell r="I927">
            <v>22839.599999999999</v>
          </cell>
          <cell r="J927">
            <v>11746.08</v>
          </cell>
          <cell r="K927">
            <v>27190</v>
          </cell>
          <cell r="L927">
            <v>45536</v>
          </cell>
        </row>
        <row r="928">
          <cell r="C928" t="str">
            <v>S03</v>
          </cell>
          <cell r="F928">
            <v>2679</v>
          </cell>
          <cell r="I928">
            <v>50097.3</v>
          </cell>
          <cell r="J928">
            <v>28933.200000000001</v>
          </cell>
          <cell r="K928">
            <v>58938</v>
          </cell>
          <cell r="L928">
            <v>45536</v>
          </cell>
        </row>
        <row r="929">
          <cell r="C929" t="str">
            <v>S04</v>
          </cell>
          <cell r="F929">
            <v>2578</v>
          </cell>
          <cell r="I929">
            <v>53209.919999999998</v>
          </cell>
          <cell r="J929">
            <v>33410.879999999997</v>
          </cell>
          <cell r="K929">
            <v>61872</v>
          </cell>
          <cell r="L929">
            <v>45536</v>
          </cell>
        </row>
        <row r="930">
          <cell r="C930" t="str">
            <v>S04</v>
          </cell>
          <cell r="F930">
            <v>1711</v>
          </cell>
          <cell r="I930">
            <v>72717.5</v>
          </cell>
          <cell r="J930">
            <v>51740.639999999999</v>
          </cell>
          <cell r="K930">
            <v>85550</v>
          </cell>
          <cell r="L930">
            <v>45536</v>
          </cell>
        </row>
        <row r="931">
          <cell r="C931" t="str">
            <v>S04</v>
          </cell>
          <cell r="F931">
            <v>1949</v>
          </cell>
          <cell r="I931">
            <v>46931.92</v>
          </cell>
          <cell r="J931">
            <v>31573.8</v>
          </cell>
          <cell r="K931">
            <v>54572</v>
          </cell>
          <cell r="L931">
            <v>45536</v>
          </cell>
        </row>
        <row r="932">
          <cell r="C932" t="str">
            <v>S04</v>
          </cell>
          <cell r="F932">
            <v>1465</v>
          </cell>
          <cell r="I932">
            <v>43583.75</v>
          </cell>
          <cell r="J932">
            <v>28479.599999999999</v>
          </cell>
          <cell r="K932">
            <v>51275</v>
          </cell>
          <cell r="L932">
            <v>45536</v>
          </cell>
        </row>
        <row r="933">
          <cell r="C933" t="str">
            <v>S04</v>
          </cell>
          <cell r="F933">
            <v>2653</v>
          </cell>
          <cell r="I933">
            <v>40590.9</v>
          </cell>
          <cell r="J933">
            <v>25787.16</v>
          </cell>
          <cell r="K933">
            <v>47754</v>
          </cell>
          <cell r="L933">
            <v>45536</v>
          </cell>
        </row>
        <row r="934">
          <cell r="C934" t="str">
            <v>S04</v>
          </cell>
          <cell r="F934">
            <v>3080</v>
          </cell>
          <cell r="I934">
            <v>76692</v>
          </cell>
          <cell r="J934">
            <v>46569.599999999999</v>
          </cell>
          <cell r="K934">
            <v>92400</v>
          </cell>
          <cell r="L934">
            <v>45536</v>
          </cell>
        </row>
        <row r="935">
          <cell r="C935" t="str">
            <v>S04</v>
          </cell>
          <cell r="F935">
            <v>2296</v>
          </cell>
          <cell r="I935">
            <v>76227.199999999997</v>
          </cell>
          <cell r="J935">
            <v>49593.599999999999</v>
          </cell>
          <cell r="K935">
            <v>91840</v>
          </cell>
          <cell r="L935">
            <v>45536</v>
          </cell>
        </row>
        <row r="936">
          <cell r="C936" t="str">
            <v>S04</v>
          </cell>
          <cell r="F936">
            <v>2235</v>
          </cell>
          <cell r="I936">
            <v>18550.5</v>
          </cell>
          <cell r="J936">
            <v>9655.2000000000007</v>
          </cell>
          <cell r="K936">
            <v>22350</v>
          </cell>
          <cell r="L936">
            <v>45536</v>
          </cell>
        </row>
        <row r="937">
          <cell r="C937" t="str">
            <v>S04</v>
          </cell>
          <cell r="F937">
            <v>2213</v>
          </cell>
          <cell r="I937">
            <v>41869.96</v>
          </cell>
          <cell r="J937">
            <v>23900.400000000001</v>
          </cell>
          <cell r="K937">
            <v>48686</v>
          </cell>
          <cell r="L937">
            <v>45536</v>
          </cell>
        </row>
        <row r="938">
          <cell r="C938" t="str">
            <v>S05</v>
          </cell>
          <cell r="F938">
            <v>2318</v>
          </cell>
          <cell r="I938">
            <v>47287.199999999997</v>
          </cell>
          <cell r="J938">
            <v>30041.279999999999</v>
          </cell>
          <cell r="K938">
            <v>55632</v>
          </cell>
          <cell r="L938">
            <v>45536</v>
          </cell>
        </row>
        <row r="939">
          <cell r="C939" t="str">
            <v>S05</v>
          </cell>
          <cell r="F939">
            <v>1676</v>
          </cell>
          <cell r="I939">
            <v>71230</v>
          </cell>
          <cell r="J939">
            <v>50682.239999999998</v>
          </cell>
          <cell r="K939">
            <v>83800</v>
          </cell>
          <cell r="L939">
            <v>45536</v>
          </cell>
        </row>
        <row r="940">
          <cell r="C940" t="str">
            <v>S05</v>
          </cell>
          <cell r="F940">
            <v>2807</v>
          </cell>
          <cell r="I940">
            <v>66806.600000000006</v>
          </cell>
          <cell r="J940">
            <v>45473.4</v>
          </cell>
          <cell r="K940">
            <v>78596</v>
          </cell>
          <cell r="L940">
            <v>45536</v>
          </cell>
        </row>
        <row r="941">
          <cell r="C941" t="str">
            <v>S05</v>
          </cell>
          <cell r="F941">
            <v>1350</v>
          </cell>
          <cell r="I941">
            <v>40635</v>
          </cell>
          <cell r="J941">
            <v>26244</v>
          </cell>
          <cell r="K941">
            <v>47250</v>
          </cell>
          <cell r="L941">
            <v>45536</v>
          </cell>
        </row>
        <row r="942">
          <cell r="C942" t="str">
            <v>S05</v>
          </cell>
          <cell r="F942">
            <v>2384</v>
          </cell>
          <cell r="I942">
            <v>36904.32</v>
          </cell>
          <cell r="J942">
            <v>23172.48</v>
          </cell>
          <cell r="K942">
            <v>42912</v>
          </cell>
          <cell r="L942">
            <v>45536</v>
          </cell>
        </row>
        <row r="943">
          <cell r="C943" t="str">
            <v>S05</v>
          </cell>
          <cell r="F943">
            <v>2728</v>
          </cell>
          <cell r="I943">
            <v>72019.199999999997</v>
          </cell>
          <cell r="J943">
            <v>41247.360000000001</v>
          </cell>
          <cell r="K943">
            <v>81840</v>
          </cell>
          <cell r="L943">
            <v>45536</v>
          </cell>
        </row>
        <row r="944">
          <cell r="C944" t="str">
            <v>S05</v>
          </cell>
          <cell r="F944">
            <v>1333</v>
          </cell>
          <cell r="I944">
            <v>45322</v>
          </cell>
          <cell r="J944">
            <v>28792.799999999999</v>
          </cell>
          <cell r="K944">
            <v>53320</v>
          </cell>
          <cell r="L944">
            <v>45536</v>
          </cell>
        </row>
        <row r="945">
          <cell r="C945" t="str">
            <v>S05</v>
          </cell>
          <cell r="F945">
            <v>3022</v>
          </cell>
          <cell r="I945">
            <v>25384.799999999999</v>
          </cell>
          <cell r="J945">
            <v>13055.04</v>
          </cell>
          <cell r="K945">
            <v>30220</v>
          </cell>
          <cell r="L945">
            <v>45536</v>
          </cell>
        </row>
        <row r="946">
          <cell r="C946" t="str">
            <v>S05</v>
          </cell>
          <cell r="F946">
            <v>2169</v>
          </cell>
          <cell r="I946">
            <v>40560.300000000003</v>
          </cell>
          <cell r="J946">
            <v>23425.200000000001</v>
          </cell>
          <cell r="K946">
            <v>47718</v>
          </cell>
          <cell r="L946">
            <v>45536</v>
          </cell>
        </row>
        <row r="947">
          <cell r="C947" t="str">
            <v>S01</v>
          </cell>
          <cell r="F947">
            <v>1707</v>
          </cell>
          <cell r="I947">
            <v>35232.480000000003</v>
          </cell>
          <cell r="J947">
            <v>22122.720000000001</v>
          </cell>
          <cell r="K947">
            <v>40968</v>
          </cell>
          <cell r="L947">
            <v>45566</v>
          </cell>
        </row>
        <row r="948">
          <cell r="C948" t="str">
            <v>S01</v>
          </cell>
          <cell r="F948">
            <v>1504</v>
          </cell>
          <cell r="I948">
            <v>63168</v>
          </cell>
          <cell r="J948">
            <v>45480.959999999999</v>
          </cell>
          <cell r="K948">
            <v>75200</v>
          </cell>
          <cell r="L948">
            <v>45566</v>
          </cell>
        </row>
        <row r="949">
          <cell r="C949" t="str">
            <v>S01</v>
          </cell>
          <cell r="F949">
            <v>2635</v>
          </cell>
          <cell r="I949">
            <v>63450.8</v>
          </cell>
          <cell r="J949">
            <v>42687</v>
          </cell>
          <cell r="K949">
            <v>73780</v>
          </cell>
          <cell r="L949">
            <v>45566</v>
          </cell>
        </row>
        <row r="950">
          <cell r="C950" t="str">
            <v>S01</v>
          </cell>
          <cell r="F950">
            <v>2063</v>
          </cell>
          <cell r="I950">
            <v>62818.35</v>
          </cell>
          <cell r="J950">
            <v>40104.720000000001</v>
          </cell>
          <cell r="K950">
            <v>72205</v>
          </cell>
          <cell r="L950">
            <v>45566</v>
          </cell>
        </row>
        <row r="951">
          <cell r="C951" t="str">
            <v>S01</v>
          </cell>
          <cell r="F951">
            <v>2978</v>
          </cell>
          <cell r="I951">
            <v>45027.360000000001</v>
          </cell>
          <cell r="J951">
            <v>28946.16</v>
          </cell>
          <cell r="K951">
            <v>53604</v>
          </cell>
          <cell r="L951">
            <v>45566</v>
          </cell>
        </row>
        <row r="952">
          <cell r="C952" t="str">
            <v>S01</v>
          </cell>
          <cell r="F952">
            <v>2917</v>
          </cell>
          <cell r="I952">
            <v>77008.800000000003</v>
          </cell>
          <cell r="J952">
            <v>44105.04</v>
          </cell>
          <cell r="K952">
            <v>87510</v>
          </cell>
          <cell r="L952">
            <v>45566</v>
          </cell>
        </row>
        <row r="953">
          <cell r="C953" t="str">
            <v>S01</v>
          </cell>
          <cell r="F953">
            <v>3058</v>
          </cell>
          <cell r="I953">
            <v>101525.6</v>
          </cell>
          <cell r="J953">
            <v>66052.800000000003</v>
          </cell>
          <cell r="K953">
            <v>122320</v>
          </cell>
          <cell r="L953">
            <v>45566</v>
          </cell>
        </row>
        <row r="954">
          <cell r="C954" t="str">
            <v>S01</v>
          </cell>
          <cell r="F954">
            <v>1566</v>
          </cell>
          <cell r="I954">
            <v>13780.8</v>
          </cell>
          <cell r="J954">
            <v>6765.12</v>
          </cell>
          <cell r="K954">
            <v>15660</v>
          </cell>
          <cell r="L954">
            <v>45566</v>
          </cell>
        </row>
        <row r="955">
          <cell r="C955" t="str">
            <v>S01</v>
          </cell>
          <cell r="F955">
            <v>3009</v>
          </cell>
          <cell r="I955">
            <v>57592.26</v>
          </cell>
          <cell r="J955">
            <v>32497.200000000001</v>
          </cell>
          <cell r="K955">
            <v>66198</v>
          </cell>
          <cell r="L955">
            <v>45566</v>
          </cell>
        </row>
        <row r="956">
          <cell r="C956" t="str">
            <v>S02</v>
          </cell>
          <cell r="F956">
            <v>2956</v>
          </cell>
          <cell r="I956">
            <v>59592.959999999999</v>
          </cell>
          <cell r="J956">
            <v>38309.760000000002</v>
          </cell>
          <cell r="K956">
            <v>70944</v>
          </cell>
          <cell r="L956">
            <v>45566</v>
          </cell>
        </row>
        <row r="957">
          <cell r="C957" t="str">
            <v>S02</v>
          </cell>
          <cell r="F957">
            <v>1430</v>
          </cell>
          <cell r="I957">
            <v>61490</v>
          </cell>
          <cell r="J957">
            <v>43243.199999999997</v>
          </cell>
          <cell r="K957">
            <v>71500</v>
          </cell>
          <cell r="L957">
            <v>45566</v>
          </cell>
        </row>
        <row r="958">
          <cell r="C958" t="str">
            <v>S02</v>
          </cell>
          <cell r="F958">
            <v>2156</v>
          </cell>
          <cell r="I958">
            <v>51312.800000000003</v>
          </cell>
          <cell r="J958">
            <v>34927.199999999997</v>
          </cell>
          <cell r="K958">
            <v>60368</v>
          </cell>
          <cell r="L958">
            <v>45566</v>
          </cell>
        </row>
        <row r="959">
          <cell r="C959" t="str">
            <v>S02</v>
          </cell>
          <cell r="F959">
            <v>1724</v>
          </cell>
          <cell r="I959">
            <v>52495.8</v>
          </cell>
          <cell r="J959">
            <v>33514.559999999998</v>
          </cell>
          <cell r="K959">
            <v>60340</v>
          </cell>
          <cell r="L959">
            <v>45566</v>
          </cell>
        </row>
        <row r="960">
          <cell r="C960" t="str">
            <v>S02</v>
          </cell>
          <cell r="F960">
            <v>2389</v>
          </cell>
          <cell r="I960">
            <v>37841.760000000002</v>
          </cell>
          <cell r="J960">
            <v>23221.08</v>
          </cell>
          <cell r="K960">
            <v>43002</v>
          </cell>
          <cell r="L960">
            <v>45566</v>
          </cell>
        </row>
        <row r="961">
          <cell r="C961" t="str">
            <v>S02</v>
          </cell>
          <cell r="F961">
            <v>3075</v>
          </cell>
          <cell r="I961">
            <v>78412.5</v>
          </cell>
          <cell r="J961">
            <v>46494</v>
          </cell>
          <cell r="K961">
            <v>92250</v>
          </cell>
          <cell r="L961">
            <v>45566</v>
          </cell>
        </row>
        <row r="962">
          <cell r="C962" t="str">
            <v>S02</v>
          </cell>
          <cell r="F962">
            <v>2846</v>
          </cell>
          <cell r="I962">
            <v>97902.399999999994</v>
          </cell>
          <cell r="J962">
            <v>61473.599999999999</v>
          </cell>
          <cell r="K962">
            <v>113840</v>
          </cell>
          <cell r="L962">
            <v>45566</v>
          </cell>
        </row>
        <row r="963">
          <cell r="C963" t="str">
            <v>S02</v>
          </cell>
          <cell r="F963">
            <v>2054</v>
          </cell>
          <cell r="I963">
            <v>17869.8</v>
          </cell>
          <cell r="J963">
            <v>8873.2800000000007</v>
          </cell>
          <cell r="K963">
            <v>20540</v>
          </cell>
          <cell r="L963">
            <v>45566</v>
          </cell>
        </row>
        <row r="964">
          <cell r="C964" t="str">
            <v>S02</v>
          </cell>
          <cell r="F964">
            <v>2670</v>
          </cell>
          <cell r="I964">
            <v>51103.8</v>
          </cell>
          <cell r="J964">
            <v>28836</v>
          </cell>
          <cell r="K964">
            <v>58740</v>
          </cell>
          <cell r="L964">
            <v>45566</v>
          </cell>
        </row>
        <row r="965">
          <cell r="C965" t="str">
            <v>S03</v>
          </cell>
          <cell r="F965">
            <v>2037</v>
          </cell>
          <cell r="I965">
            <v>42532.56</v>
          </cell>
          <cell r="J965">
            <v>26399.52</v>
          </cell>
          <cell r="K965">
            <v>48888</v>
          </cell>
          <cell r="L965">
            <v>45566</v>
          </cell>
        </row>
        <row r="966">
          <cell r="C966" t="str">
            <v>S03</v>
          </cell>
          <cell r="F966">
            <v>1918</v>
          </cell>
          <cell r="I966">
            <v>83433</v>
          </cell>
          <cell r="J966">
            <v>58000.32</v>
          </cell>
          <cell r="K966">
            <v>95900</v>
          </cell>
          <cell r="L966">
            <v>45566</v>
          </cell>
        </row>
        <row r="967">
          <cell r="C967" t="str">
            <v>S03</v>
          </cell>
          <cell r="F967">
            <v>1909</v>
          </cell>
          <cell r="I967">
            <v>45968.72</v>
          </cell>
          <cell r="J967">
            <v>30925.8</v>
          </cell>
          <cell r="K967">
            <v>53452</v>
          </cell>
          <cell r="L967">
            <v>45566</v>
          </cell>
        </row>
        <row r="968">
          <cell r="C968" t="str">
            <v>S03</v>
          </cell>
          <cell r="F968">
            <v>1676</v>
          </cell>
          <cell r="I968">
            <v>50447.6</v>
          </cell>
          <cell r="J968">
            <v>32581.439999999999</v>
          </cell>
          <cell r="K968">
            <v>58660</v>
          </cell>
          <cell r="L968">
            <v>45566</v>
          </cell>
        </row>
        <row r="969">
          <cell r="C969" t="str">
            <v>S03</v>
          </cell>
          <cell r="F969">
            <v>2987</v>
          </cell>
          <cell r="I969">
            <v>44625.78</v>
          </cell>
          <cell r="J969">
            <v>29033.64</v>
          </cell>
          <cell r="K969">
            <v>53766</v>
          </cell>
          <cell r="L969">
            <v>45566</v>
          </cell>
        </row>
        <row r="970">
          <cell r="C970" t="str">
            <v>S03</v>
          </cell>
          <cell r="F970">
            <v>1548</v>
          </cell>
          <cell r="I970">
            <v>40402.800000000003</v>
          </cell>
          <cell r="J970">
            <v>23405.759999999998</v>
          </cell>
          <cell r="K970">
            <v>46440</v>
          </cell>
          <cell r="L970">
            <v>45566</v>
          </cell>
        </row>
        <row r="971">
          <cell r="C971" t="str">
            <v>S03</v>
          </cell>
          <cell r="F971">
            <v>2138</v>
          </cell>
          <cell r="I971">
            <v>74402.399999999994</v>
          </cell>
          <cell r="J971">
            <v>46180.800000000003</v>
          </cell>
          <cell r="K971">
            <v>85520</v>
          </cell>
          <cell r="L971">
            <v>45566</v>
          </cell>
        </row>
        <row r="972">
          <cell r="C972" t="str">
            <v>S03</v>
          </cell>
          <cell r="F972">
            <v>2983</v>
          </cell>
          <cell r="I972">
            <v>25355.5</v>
          </cell>
          <cell r="J972">
            <v>12886.56</v>
          </cell>
          <cell r="K972">
            <v>29830</v>
          </cell>
          <cell r="L972">
            <v>45566</v>
          </cell>
        </row>
        <row r="973">
          <cell r="C973" t="str">
            <v>S03</v>
          </cell>
          <cell r="F973">
            <v>2939</v>
          </cell>
          <cell r="I973">
            <v>54312.72</v>
          </cell>
          <cell r="J973">
            <v>31741.200000000001</v>
          </cell>
          <cell r="K973">
            <v>64658</v>
          </cell>
          <cell r="L973">
            <v>45566</v>
          </cell>
        </row>
        <row r="974">
          <cell r="C974" t="str">
            <v>S04</v>
          </cell>
          <cell r="F974">
            <v>2670</v>
          </cell>
          <cell r="I974">
            <v>54468</v>
          </cell>
          <cell r="J974">
            <v>34603.199999999997</v>
          </cell>
          <cell r="K974">
            <v>64080</v>
          </cell>
          <cell r="L974">
            <v>45566</v>
          </cell>
        </row>
        <row r="975">
          <cell r="C975" t="str">
            <v>S04</v>
          </cell>
          <cell r="F975">
            <v>2464</v>
          </cell>
          <cell r="I975">
            <v>107184</v>
          </cell>
          <cell r="J975">
            <v>74511.360000000001</v>
          </cell>
          <cell r="K975">
            <v>123200</v>
          </cell>
          <cell r="L975">
            <v>45566</v>
          </cell>
        </row>
        <row r="976">
          <cell r="C976" t="str">
            <v>S04</v>
          </cell>
          <cell r="F976">
            <v>2644</v>
          </cell>
          <cell r="I976">
            <v>65148.160000000003</v>
          </cell>
          <cell r="J976">
            <v>42832.800000000003</v>
          </cell>
          <cell r="K976">
            <v>74032</v>
          </cell>
          <cell r="L976">
            <v>45566</v>
          </cell>
        </row>
        <row r="977">
          <cell r="C977" t="str">
            <v>S04</v>
          </cell>
          <cell r="F977">
            <v>1557</v>
          </cell>
          <cell r="I977">
            <v>46320.75</v>
          </cell>
          <cell r="J977">
            <v>30268.080000000002</v>
          </cell>
          <cell r="K977">
            <v>54495</v>
          </cell>
          <cell r="L977">
            <v>45566</v>
          </cell>
        </row>
        <row r="978">
          <cell r="C978" t="str">
            <v>S04</v>
          </cell>
          <cell r="F978">
            <v>2794</v>
          </cell>
          <cell r="I978">
            <v>43251.12</v>
          </cell>
          <cell r="J978">
            <v>27157.68</v>
          </cell>
          <cell r="K978">
            <v>50292</v>
          </cell>
          <cell r="L978">
            <v>45566</v>
          </cell>
        </row>
        <row r="979">
          <cell r="C979" t="str">
            <v>S04</v>
          </cell>
          <cell r="F979">
            <v>2851</v>
          </cell>
          <cell r="I979">
            <v>71845.2</v>
          </cell>
          <cell r="J979">
            <v>43107.12</v>
          </cell>
          <cell r="K979">
            <v>85530</v>
          </cell>
          <cell r="L979">
            <v>45566</v>
          </cell>
        </row>
        <row r="980">
          <cell r="C980" t="str">
            <v>S04</v>
          </cell>
          <cell r="F980">
            <v>2301</v>
          </cell>
          <cell r="I980">
            <v>77313.600000000006</v>
          </cell>
          <cell r="J980">
            <v>49701.599999999999</v>
          </cell>
          <cell r="K980">
            <v>92040</v>
          </cell>
          <cell r="L980">
            <v>45566</v>
          </cell>
        </row>
        <row r="981">
          <cell r="C981" t="str">
            <v>S04</v>
          </cell>
          <cell r="F981">
            <v>1364</v>
          </cell>
          <cell r="I981">
            <v>11730.4</v>
          </cell>
          <cell r="J981">
            <v>5892.48</v>
          </cell>
          <cell r="K981">
            <v>13640</v>
          </cell>
          <cell r="L981">
            <v>45566</v>
          </cell>
        </row>
        <row r="982">
          <cell r="C982" t="str">
            <v>S04</v>
          </cell>
          <cell r="F982">
            <v>1865</v>
          </cell>
          <cell r="I982">
            <v>34875.5</v>
          </cell>
          <cell r="J982">
            <v>20142</v>
          </cell>
          <cell r="K982">
            <v>41030</v>
          </cell>
          <cell r="L982">
            <v>45566</v>
          </cell>
        </row>
        <row r="983">
          <cell r="C983" t="str">
            <v>S05</v>
          </cell>
          <cell r="F983">
            <v>1658</v>
          </cell>
          <cell r="I983">
            <v>33425.279999999999</v>
          </cell>
          <cell r="J983">
            <v>21487.68</v>
          </cell>
          <cell r="K983">
            <v>39792</v>
          </cell>
          <cell r="L983">
            <v>45566</v>
          </cell>
        </row>
        <row r="984">
          <cell r="C984" t="str">
            <v>S05</v>
          </cell>
          <cell r="F984">
            <v>1874</v>
          </cell>
          <cell r="I984">
            <v>80582</v>
          </cell>
          <cell r="J984">
            <v>56669.760000000002</v>
          </cell>
          <cell r="K984">
            <v>93700</v>
          </cell>
          <cell r="L984">
            <v>45566</v>
          </cell>
        </row>
        <row r="985">
          <cell r="C985" t="str">
            <v>S05</v>
          </cell>
          <cell r="F985">
            <v>2433</v>
          </cell>
          <cell r="I985">
            <v>56542.92</v>
          </cell>
          <cell r="J985">
            <v>39414.6</v>
          </cell>
          <cell r="K985">
            <v>68124</v>
          </cell>
          <cell r="L985">
            <v>45566</v>
          </cell>
        </row>
        <row r="986">
          <cell r="C986" t="str">
            <v>S05</v>
          </cell>
          <cell r="F986">
            <v>2354</v>
          </cell>
          <cell r="I986">
            <v>69207.600000000006</v>
          </cell>
          <cell r="J986">
            <v>45761.760000000002</v>
          </cell>
          <cell r="K986">
            <v>82390</v>
          </cell>
          <cell r="L986">
            <v>45566</v>
          </cell>
        </row>
        <row r="987">
          <cell r="C987" t="str">
            <v>S05</v>
          </cell>
          <cell r="F987">
            <v>1702</v>
          </cell>
          <cell r="I987">
            <v>26346.959999999999</v>
          </cell>
          <cell r="J987">
            <v>16543.439999999999</v>
          </cell>
          <cell r="K987">
            <v>30636</v>
          </cell>
          <cell r="L987">
            <v>45566</v>
          </cell>
        </row>
        <row r="988">
          <cell r="C988" t="str">
            <v>S05</v>
          </cell>
          <cell r="F988">
            <v>1500</v>
          </cell>
          <cell r="I988">
            <v>37350</v>
          </cell>
          <cell r="J988">
            <v>22680</v>
          </cell>
          <cell r="K988">
            <v>45000</v>
          </cell>
          <cell r="L988">
            <v>45566</v>
          </cell>
        </row>
        <row r="989">
          <cell r="C989" t="str">
            <v>S05</v>
          </cell>
          <cell r="F989">
            <v>1905</v>
          </cell>
          <cell r="I989">
            <v>64770</v>
          </cell>
          <cell r="J989">
            <v>41148</v>
          </cell>
          <cell r="K989">
            <v>76200</v>
          </cell>
          <cell r="L989">
            <v>45566</v>
          </cell>
        </row>
        <row r="990">
          <cell r="C990" t="str">
            <v>S05</v>
          </cell>
          <cell r="F990">
            <v>1914</v>
          </cell>
          <cell r="I990">
            <v>16077.6</v>
          </cell>
          <cell r="J990">
            <v>8268.48</v>
          </cell>
          <cell r="K990">
            <v>19140</v>
          </cell>
          <cell r="L990">
            <v>45566</v>
          </cell>
        </row>
        <row r="991">
          <cell r="C991" t="str">
            <v>S05</v>
          </cell>
          <cell r="F991">
            <v>2741</v>
          </cell>
          <cell r="I991">
            <v>51859.72</v>
          </cell>
          <cell r="J991">
            <v>29602.799999999999</v>
          </cell>
          <cell r="K991">
            <v>60302</v>
          </cell>
          <cell r="L991">
            <v>45566</v>
          </cell>
        </row>
        <row r="992">
          <cell r="C992" t="str">
            <v>S01</v>
          </cell>
          <cell r="F992">
            <v>2376</v>
          </cell>
          <cell r="I992">
            <v>48470.400000000001</v>
          </cell>
          <cell r="J992">
            <v>30792.959999999999</v>
          </cell>
          <cell r="K992">
            <v>57024</v>
          </cell>
          <cell r="L992">
            <v>45597</v>
          </cell>
        </row>
        <row r="993">
          <cell r="C993" t="str">
            <v>S01</v>
          </cell>
          <cell r="F993">
            <v>2921</v>
          </cell>
          <cell r="I993">
            <v>127063.5</v>
          </cell>
          <cell r="J993">
            <v>88331.04</v>
          </cell>
          <cell r="K993">
            <v>146050</v>
          </cell>
          <cell r="L993">
            <v>45597</v>
          </cell>
        </row>
        <row r="994">
          <cell r="C994" t="str">
            <v>S01</v>
          </cell>
          <cell r="F994">
            <v>2992</v>
          </cell>
          <cell r="I994">
            <v>70371.839999999997</v>
          </cell>
          <cell r="J994">
            <v>48470.400000000001</v>
          </cell>
          <cell r="K994">
            <v>83776</v>
          </cell>
          <cell r="L994">
            <v>45597</v>
          </cell>
        </row>
        <row r="995">
          <cell r="C995" t="str">
            <v>S01</v>
          </cell>
          <cell r="F995">
            <v>1452</v>
          </cell>
          <cell r="I995">
            <v>42688.800000000003</v>
          </cell>
          <cell r="J995">
            <v>28226.880000000001</v>
          </cell>
          <cell r="K995">
            <v>50820</v>
          </cell>
          <cell r="L995">
            <v>45597</v>
          </cell>
        </row>
        <row r="996">
          <cell r="C996" t="str">
            <v>S01</v>
          </cell>
          <cell r="F996">
            <v>2666</v>
          </cell>
          <cell r="I996">
            <v>42229.440000000002</v>
          </cell>
          <cell r="J996">
            <v>25913.52</v>
          </cell>
          <cell r="K996">
            <v>47988</v>
          </cell>
          <cell r="L996">
            <v>45597</v>
          </cell>
        </row>
        <row r="997">
          <cell r="C997" t="str">
            <v>S01</v>
          </cell>
          <cell r="F997">
            <v>2494</v>
          </cell>
          <cell r="I997">
            <v>62100.6</v>
          </cell>
          <cell r="J997">
            <v>37709.279999999999</v>
          </cell>
          <cell r="K997">
            <v>74820</v>
          </cell>
          <cell r="L997">
            <v>45597</v>
          </cell>
        </row>
        <row r="998">
          <cell r="C998" t="str">
            <v>S01</v>
          </cell>
          <cell r="F998">
            <v>2151</v>
          </cell>
          <cell r="I998">
            <v>73994.399999999994</v>
          </cell>
          <cell r="J998">
            <v>46461.599999999999</v>
          </cell>
          <cell r="K998">
            <v>86040</v>
          </cell>
          <cell r="L998">
            <v>45597</v>
          </cell>
        </row>
        <row r="999">
          <cell r="C999" t="str">
            <v>S01</v>
          </cell>
          <cell r="F999">
            <v>2666</v>
          </cell>
          <cell r="I999">
            <v>23460.799999999999</v>
          </cell>
          <cell r="J999">
            <v>11517.12</v>
          </cell>
          <cell r="K999">
            <v>26660</v>
          </cell>
          <cell r="L999">
            <v>45597</v>
          </cell>
        </row>
        <row r="1000">
          <cell r="C1000" t="str">
            <v>S01</v>
          </cell>
          <cell r="F1000">
            <v>1522</v>
          </cell>
          <cell r="I1000">
            <v>28126.560000000001</v>
          </cell>
          <cell r="J1000">
            <v>16437.599999999999</v>
          </cell>
          <cell r="K1000">
            <v>33484</v>
          </cell>
          <cell r="L1000">
            <v>45597</v>
          </cell>
        </row>
        <row r="1001">
          <cell r="C1001" t="str">
            <v>S02</v>
          </cell>
          <cell r="F1001">
            <v>1980</v>
          </cell>
          <cell r="I1001">
            <v>39916.800000000003</v>
          </cell>
          <cell r="J1001">
            <v>25660.799999999999</v>
          </cell>
          <cell r="K1001">
            <v>47520</v>
          </cell>
          <cell r="L1001">
            <v>45597</v>
          </cell>
        </row>
        <row r="1002">
          <cell r="C1002" t="str">
            <v>S02</v>
          </cell>
          <cell r="F1002">
            <v>2279</v>
          </cell>
          <cell r="I1002">
            <v>94578.5</v>
          </cell>
          <cell r="J1002">
            <v>68916.960000000006</v>
          </cell>
          <cell r="K1002">
            <v>113950</v>
          </cell>
          <cell r="L1002">
            <v>45597</v>
          </cell>
        </row>
        <row r="1003">
          <cell r="C1003" t="str">
            <v>S02</v>
          </cell>
          <cell r="F1003">
            <v>3018</v>
          </cell>
          <cell r="I1003">
            <v>72673.440000000002</v>
          </cell>
          <cell r="J1003">
            <v>48891.6</v>
          </cell>
          <cell r="K1003">
            <v>84504</v>
          </cell>
          <cell r="L1003">
            <v>45597</v>
          </cell>
        </row>
        <row r="1004">
          <cell r="C1004" t="str">
            <v>S02</v>
          </cell>
          <cell r="F1004">
            <v>2789</v>
          </cell>
          <cell r="I1004">
            <v>84925.05</v>
          </cell>
          <cell r="J1004">
            <v>54218.16</v>
          </cell>
          <cell r="K1004">
            <v>97615</v>
          </cell>
          <cell r="L1004">
            <v>45597</v>
          </cell>
        </row>
        <row r="1005">
          <cell r="C1005" t="str">
            <v>S02</v>
          </cell>
          <cell r="F1005">
            <v>3058</v>
          </cell>
          <cell r="I1005">
            <v>45686.52</v>
          </cell>
          <cell r="J1005">
            <v>29723.759999999998</v>
          </cell>
          <cell r="K1005">
            <v>55044</v>
          </cell>
          <cell r="L1005">
            <v>45597</v>
          </cell>
        </row>
        <row r="1006">
          <cell r="C1006" t="str">
            <v>S02</v>
          </cell>
          <cell r="F1006">
            <v>1826</v>
          </cell>
          <cell r="I1006">
            <v>45467.4</v>
          </cell>
          <cell r="J1006">
            <v>27609.119999999999</v>
          </cell>
          <cell r="K1006">
            <v>54780</v>
          </cell>
          <cell r="L1006">
            <v>45597</v>
          </cell>
        </row>
        <row r="1007">
          <cell r="C1007" t="str">
            <v>S02</v>
          </cell>
          <cell r="F1007">
            <v>1350</v>
          </cell>
          <cell r="I1007">
            <v>46980</v>
          </cell>
          <cell r="J1007">
            <v>29160</v>
          </cell>
          <cell r="K1007">
            <v>54000</v>
          </cell>
          <cell r="L1007">
            <v>45597</v>
          </cell>
        </row>
        <row r="1008">
          <cell r="C1008" t="str">
            <v>S02</v>
          </cell>
          <cell r="F1008">
            <v>2173</v>
          </cell>
          <cell r="I1008">
            <v>18687.8</v>
          </cell>
          <cell r="J1008">
            <v>9387.36</v>
          </cell>
          <cell r="K1008">
            <v>21730</v>
          </cell>
          <cell r="L1008">
            <v>45597</v>
          </cell>
        </row>
        <row r="1009">
          <cell r="C1009" t="str">
            <v>S02</v>
          </cell>
          <cell r="F1009">
            <v>1658</v>
          </cell>
          <cell r="I1009">
            <v>31004.6</v>
          </cell>
          <cell r="J1009">
            <v>17906.400000000001</v>
          </cell>
          <cell r="K1009">
            <v>36476</v>
          </cell>
          <cell r="L1009">
            <v>45597</v>
          </cell>
        </row>
        <row r="1010">
          <cell r="C1010" t="str">
            <v>S03</v>
          </cell>
          <cell r="F1010">
            <v>2934</v>
          </cell>
          <cell r="I1010">
            <v>59853.599999999999</v>
          </cell>
          <cell r="J1010">
            <v>38024.639999999999</v>
          </cell>
          <cell r="K1010">
            <v>70416</v>
          </cell>
          <cell r="L1010">
            <v>45597</v>
          </cell>
        </row>
        <row r="1011">
          <cell r="C1011" t="str">
            <v>S03</v>
          </cell>
          <cell r="F1011">
            <v>3053</v>
          </cell>
          <cell r="I1011">
            <v>134332</v>
          </cell>
          <cell r="J1011">
            <v>92322.72</v>
          </cell>
          <cell r="K1011">
            <v>152650</v>
          </cell>
          <cell r="L1011">
            <v>45597</v>
          </cell>
        </row>
        <row r="1012">
          <cell r="C1012" t="str">
            <v>S03</v>
          </cell>
          <cell r="F1012">
            <v>2094</v>
          </cell>
          <cell r="I1012">
            <v>49250.879999999997</v>
          </cell>
          <cell r="J1012">
            <v>33922.800000000003</v>
          </cell>
          <cell r="K1012">
            <v>58632</v>
          </cell>
          <cell r="L1012">
            <v>45597</v>
          </cell>
        </row>
        <row r="1013">
          <cell r="C1013" t="str">
            <v>S03</v>
          </cell>
          <cell r="F1013">
            <v>3062</v>
          </cell>
          <cell r="I1013">
            <v>90022.8</v>
          </cell>
          <cell r="J1013">
            <v>59525.279999999999</v>
          </cell>
          <cell r="K1013">
            <v>107170</v>
          </cell>
          <cell r="L1013">
            <v>45597</v>
          </cell>
        </row>
        <row r="1014">
          <cell r="C1014" t="str">
            <v>S03</v>
          </cell>
          <cell r="F1014">
            <v>1531</v>
          </cell>
          <cell r="I1014">
            <v>23424.3</v>
          </cell>
          <cell r="J1014">
            <v>14881.32</v>
          </cell>
          <cell r="K1014">
            <v>27558</v>
          </cell>
          <cell r="L1014">
            <v>45597</v>
          </cell>
        </row>
        <row r="1015">
          <cell r="C1015" t="str">
            <v>S03</v>
          </cell>
          <cell r="F1015">
            <v>1579</v>
          </cell>
          <cell r="I1015">
            <v>41211.9</v>
          </cell>
          <cell r="J1015">
            <v>23874.48</v>
          </cell>
          <cell r="K1015">
            <v>47370</v>
          </cell>
          <cell r="L1015">
            <v>45597</v>
          </cell>
        </row>
        <row r="1016">
          <cell r="C1016" t="str">
            <v>S03</v>
          </cell>
          <cell r="F1016">
            <v>2222</v>
          </cell>
          <cell r="I1016">
            <v>76436.800000000003</v>
          </cell>
          <cell r="J1016">
            <v>47995.199999999997</v>
          </cell>
          <cell r="K1016">
            <v>88880</v>
          </cell>
          <cell r="L1016">
            <v>45597</v>
          </cell>
        </row>
        <row r="1017">
          <cell r="C1017" t="str">
            <v>S03</v>
          </cell>
          <cell r="F1017">
            <v>1526</v>
          </cell>
          <cell r="I1017">
            <v>12971</v>
          </cell>
          <cell r="J1017">
            <v>6592.32</v>
          </cell>
          <cell r="K1017">
            <v>15260</v>
          </cell>
          <cell r="L1017">
            <v>45597</v>
          </cell>
        </row>
        <row r="1018">
          <cell r="C1018" t="str">
            <v>S03</v>
          </cell>
          <cell r="F1018">
            <v>1993</v>
          </cell>
          <cell r="I1018">
            <v>37707.56</v>
          </cell>
          <cell r="J1018">
            <v>21524.400000000001</v>
          </cell>
          <cell r="K1018">
            <v>43846</v>
          </cell>
          <cell r="L1018">
            <v>45597</v>
          </cell>
        </row>
        <row r="1019">
          <cell r="C1019" t="str">
            <v>S04</v>
          </cell>
          <cell r="F1019">
            <v>1795</v>
          </cell>
          <cell r="I1019">
            <v>37910.400000000001</v>
          </cell>
          <cell r="J1019">
            <v>23263.200000000001</v>
          </cell>
          <cell r="K1019">
            <v>43080</v>
          </cell>
          <cell r="L1019">
            <v>45597</v>
          </cell>
        </row>
        <row r="1020">
          <cell r="C1020" t="str">
            <v>S04</v>
          </cell>
          <cell r="F1020">
            <v>2886</v>
          </cell>
          <cell r="I1020">
            <v>125541</v>
          </cell>
          <cell r="J1020">
            <v>87272.639999999999</v>
          </cell>
          <cell r="K1020">
            <v>144300</v>
          </cell>
          <cell r="L1020">
            <v>45597</v>
          </cell>
        </row>
        <row r="1021">
          <cell r="C1021" t="str">
            <v>S04</v>
          </cell>
          <cell r="F1021">
            <v>2468</v>
          </cell>
          <cell r="I1021">
            <v>58738.400000000001</v>
          </cell>
          <cell r="J1021">
            <v>39981.599999999999</v>
          </cell>
          <cell r="K1021">
            <v>69104</v>
          </cell>
          <cell r="L1021">
            <v>45597</v>
          </cell>
        </row>
        <row r="1022">
          <cell r="C1022" t="str">
            <v>S04</v>
          </cell>
          <cell r="F1022">
            <v>1518</v>
          </cell>
          <cell r="I1022">
            <v>45160.5</v>
          </cell>
          <cell r="J1022">
            <v>29509.919999999998</v>
          </cell>
          <cell r="K1022">
            <v>53130</v>
          </cell>
          <cell r="L1022">
            <v>45597</v>
          </cell>
        </row>
        <row r="1023">
          <cell r="C1023" t="str">
            <v>S04</v>
          </cell>
          <cell r="F1023">
            <v>3071</v>
          </cell>
          <cell r="I1023">
            <v>47539.08</v>
          </cell>
          <cell r="J1023">
            <v>29850.12</v>
          </cell>
          <cell r="K1023">
            <v>55278</v>
          </cell>
          <cell r="L1023">
            <v>45597</v>
          </cell>
        </row>
        <row r="1024">
          <cell r="C1024" t="str">
            <v>S04</v>
          </cell>
          <cell r="F1024">
            <v>1755</v>
          </cell>
          <cell r="I1024">
            <v>44226</v>
          </cell>
          <cell r="J1024">
            <v>26535.599999999999</v>
          </cell>
          <cell r="K1024">
            <v>52650</v>
          </cell>
          <cell r="L1024">
            <v>45597</v>
          </cell>
        </row>
        <row r="1025">
          <cell r="C1025" t="str">
            <v>S04</v>
          </cell>
          <cell r="F1025">
            <v>2112</v>
          </cell>
          <cell r="I1025">
            <v>72652.800000000003</v>
          </cell>
          <cell r="J1025">
            <v>45619.199999999997</v>
          </cell>
          <cell r="K1025">
            <v>84480</v>
          </cell>
          <cell r="L1025">
            <v>45597</v>
          </cell>
        </row>
        <row r="1026">
          <cell r="C1026" t="str">
            <v>S04</v>
          </cell>
          <cell r="F1026">
            <v>1474</v>
          </cell>
          <cell r="I1026">
            <v>12676.4</v>
          </cell>
          <cell r="J1026">
            <v>6367.68</v>
          </cell>
          <cell r="K1026">
            <v>14740</v>
          </cell>
          <cell r="L1026">
            <v>45597</v>
          </cell>
        </row>
        <row r="1027">
          <cell r="C1027" t="str">
            <v>S04</v>
          </cell>
          <cell r="F1027">
            <v>2978</v>
          </cell>
          <cell r="I1027">
            <v>56998.92</v>
          </cell>
          <cell r="J1027">
            <v>32162.400000000001</v>
          </cell>
          <cell r="K1027">
            <v>65516</v>
          </cell>
          <cell r="L1027">
            <v>45597</v>
          </cell>
        </row>
        <row r="1028">
          <cell r="C1028" t="str">
            <v>S05</v>
          </cell>
          <cell r="F1028">
            <v>2992</v>
          </cell>
          <cell r="I1028">
            <v>61754.879999999997</v>
          </cell>
          <cell r="J1028">
            <v>38776.32</v>
          </cell>
          <cell r="K1028">
            <v>71808</v>
          </cell>
          <cell r="L1028">
            <v>45597</v>
          </cell>
        </row>
        <row r="1029">
          <cell r="C1029" t="str">
            <v>S05</v>
          </cell>
          <cell r="F1029">
            <v>2604</v>
          </cell>
          <cell r="I1029">
            <v>111972</v>
          </cell>
          <cell r="J1029">
            <v>78744.960000000006</v>
          </cell>
          <cell r="K1029">
            <v>130200</v>
          </cell>
          <cell r="L1029">
            <v>45597</v>
          </cell>
        </row>
        <row r="1030">
          <cell r="C1030" t="str">
            <v>S05</v>
          </cell>
          <cell r="F1030">
            <v>2050</v>
          </cell>
          <cell r="I1030">
            <v>50512</v>
          </cell>
          <cell r="J1030">
            <v>33210</v>
          </cell>
          <cell r="K1030">
            <v>57400</v>
          </cell>
          <cell r="L1030">
            <v>45597</v>
          </cell>
        </row>
        <row r="1031">
          <cell r="C1031" t="str">
            <v>S05</v>
          </cell>
          <cell r="F1031">
            <v>2252</v>
          </cell>
          <cell r="I1031">
            <v>66997</v>
          </cell>
          <cell r="J1031">
            <v>43778.879999999997</v>
          </cell>
          <cell r="K1031">
            <v>78820</v>
          </cell>
          <cell r="L1031">
            <v>45597</v>
          </cell>
        </row>
        <row r="1032">
          <cell r="C1032" t="str">
            <v>S05</v>
          </cell>
          <cell r="F1032">
            <v>2090</v>
          </cell>
          <cell r="I1032">
            <v>31600.799999999999</v>
          </cell>
          <cell r="J1032">
            <v>20314.8</v>
          </cell>
          <cell r="K1032">
            <v>37620</v>
          </cell>
          <cell r="L1032">
            <v>45597</v>
          </cell>
        </row>
        <row r="1033">
          <cell r="C1033" t="str">
            <v>S05</v>
          </cell>
          <cell r="F1033">
            <v>1421</v>
          </cell>
          <cell r="I1033">
            <v>36235.5</v>
          </cell>
          <cell r="J1033">
            <v>21485.52</v>
          </cell>
          <cell r="K1033">
            <v>42630</v>
          </cell>
          <cell r="L1033">
            <v>45597</v>
          </cell>
        </row>
        <row r="1034">
          <cell r="C1034" t="str">
            <v>S05</v>
          </cell>
          <cell r="F1034">
            <v>2864</v>
          </cell>
          <cell r="I1034">
            <v>96230.399999999994</v>
          </cell>
          <cell r="J1034">
            <v>61862.400000000001</v>
          </cell>
          <cell r="K1034">
            <v>114560</v>
          </cell>
          <cell r="L1034">
            <v>45597</v>
          </cell>
        </row>
        <row r="1035">
          <cell r="C1035" t="str">
            <v>S05</v>
          </cell>
          <cell r="F1035">
            <v>1579</v>
          </cell>
          <cell r="I1035">
            <v>13737.3</v>
          </cell>
          <cell r="J1035">
            <v>6821.28</v>
          </cell>
          <cell r="K1035">
            <v>15790</v>
          </cell>
          <cell r="L1035">
            <v>45597</v>
          </cell>
        </row>
        <row r="1036">
          <cell r="C1036" t="str">
            <v>S05</v>
          </cell>
          <cell r="F1036">
            <v>2402</v>
          </cell>
          <cell r="I1036">
            <v>44388.959999999999</v>
          </cell>
          <cell r="J1036">
            <v>25941.599999999999</v>
          </cell>
          <cell r="K1036">
            <v>52844</v>
          </cell>
          <cell r="L1036">
            <v>45597</v>
          </cell>
        </row>
        <row r="1037">
          <cell r="C1037" t="str">
            <v>S01</v>
          </cell>
          <cell r="F1037">
            <v>2820</v>
          </cell>
          <cell r="I1037">
            <v>57528</v>
          </cell>
          <cell r="J1037">
            <v>36547.199999999997</v>
          </cell>
          <cell r="K1037">
            <v>67680</v>
          </cell>
          <cell r="L1037">
            <v>45627</v>
          </cell>
        </row>
        <row r="1038">
          <cell r="C1038" t="str">
            <v>S01</v>
          </cell>
          <cell r="F1038">
            <v>2204</v>
          </cell>
          <cell r="I1038">
            <v>92568</v>
          </cell>
          <cell r="J1038">
            <v>66648.960000000006</v>
          </cell>
          <cell r="K1038">
            <v>110200</v>
          </cell>
          <cell r="L1038">
            <v>45627</v>
          </cell>
        </row>
        <row r="1039">
          <cell r="C1039" t="str">
            <v>S01</v>
          </cell>
          <cell r="F1039">
            <v>2802</v>
          </cell>
          <cell r="I1039">
            <v>65903.039999999994</v>
          </cell>
          <cell r="J1039">
            <v>45392.4</v>
          </cell>
          <cell r="K1039">
            <v>78456</v>
          </cell>
          <cell r="L1039">
            <v>45627</v>
          </cell>
        </row>
        <row r="1040">
          <cell r="C1040" t="str">
            <v>S01</v>
          </cell>
          <cell r="F1040">
            <v>2371</v>
          </cell>
          <cell r="I1040">
            <v>68877.55</v>
          </cell>
          <cell r="J1040">
            <v>46092.24</v>
          </cell>
          <cell r="K1040">
            <v>82985</v>
          </cell>
          <cell r="L1040">
            <v>45627</v>
          </cell>
        </row>
        <row r="1041">
          <cell r="C1041" t="str">
            <v>S01</v>
          </cell>
          <cell r="F1041">
            <v>1628</v>
          </cell>
          <cell r="I1041">
            <v>24908.400000000001</v>
          </cell>
          <cell r="J1041">
            <v>15824.16</v>
          </cell>
          <cell r="K1041">
            <v>29304</v>
          </cell>
          <cell r="L1041">
            <v>45627</v>
          </cell>
        </row>
        <row r="1042">
          <cell r="C1042" t="str">
            <v>S01</v>
          </cell>
          <cell r="F1042">
            <v>1874</v>
          </cell>
          <cell r="I1042">
            <v>49473.599999999999</v>
          </cell>
          <cell r="J1042">
            <v>28334.880000000001</v>
          </cell>
          <cell r="K1042">
            <v>56220</v>
          </cell>
          <cell r="L1042">
            <v>45627</v>
          </cell>
        </row>
        <row r="1043">
          <cell r="C1043" t="str">
            <v>S01</v>
          </cell>
          <cell r="F1043">
            <v>3036</v>
          </cell>
          <cell r="I1043">
            <v>104438.39999999999</v>
          </cell>
          <cell r="J1043">
            <v>65577.600000000006</v>
          </cell>
          <cell r="K1043">
            <v>121440</v>
          </cell>
          <cell r="L1043">
            <v>45627</v>
          </cell>
        </row>
        <row r="1044">
          <cell r="C1044" t="str">
            <v>S01</v>
          </cell>
          <cell r="F1044">
            <v>1328</v>
          </cell>
          <cell r="I1044">
            <v>11553.6</v>
          </cell>
          <cell r="J1044">
            <v>5736.96</v>
          </cell>
          <cell r="K1044">
            <v>13280</v>
          </cell>
          <cell r="L1044">
            <v>45627</v>
          </cell>
        </row>
        <row r="1045">
          <cell r="C1045" t="str">
            <v>S01</v>
          </cell>
          <cell r="F1045">
            <v>2138</v>
          </cell>
          <cell r="I1045">
            <v>39980.6</v>
          </cell>
          <cell r="J1045">
            <v>23090.400000000001</v>
          </cell>
          <cell r="K1045">
            <v>47036</v>
          </cell>
          <cell r="L1045">
            <v>45627</v>
          </cell>
        </row>
        <row r="1046">
          <cell r="C1046" t="str">
            <v>S02</v>
          </cell>
          <cell r="F1046">
            <v>2631</v>
          </cell>
          <cell r="I1046">
            <v>53672.4</v>
          </cell>
          <cell r="J1046">
            <v>34097.760000000002</v>
          </cell>
          <cell r="K1046">
            <v>63144</v>
          </cell>
          <cell r="L1046">
            <v>45627</v>
          </cell>
        </row>
        <row r="1047">
          <cell r="C1047" t="str">
            <v>S02</v>
          </cell>
          <cell r="F1047">
            <v>1377</v>
          </cell>
          <cell r="I1047">
            <v>58522.5</v>
          </cell>
          <cell r="J1047">
            <v>41640.480000000003</v>
          </cell>
          <cell r="K1047">
            <v>68850</v>
          </cell>
          <cell r="L1047">
            <v>45627</v>
          </cell>
        </row>
        <row r="1048">
          <cell r="C1048" t="str">
            <v>S02</v>
          </cell>
          <cell r="F1048">
            <v>1716</v>
          </cell>
          <cell r="I1048">
            <v>41801.760000000002</v>
          </cell>
          <cell r="J1048">
            <v>27799.200000000001</v>
          </cell>
          <cell r="K1048">
            <v>48048</v>
          </cell>
          <cell r="L1048">
            <v>45627</v>
          </cell>
        </row>
        <row r="1049">
          <cell r="C1049" t="str">
            <v>S02</v>
          </cell>
          <cell r="F1049">
            <v>3014</v>
          </cell>
          <cell r="I1049">
            <v>87556.7</v>
          </cell>
          <cell r="J1049">
            <v>58592.160000000003</v>
          </cell>
          <cell r="K1049">
            <v>105490</v>
          </cell>
          <cell r="L1049">
            <v>45627</v>
          </cell>
        </row>
        <row r="1050">
          <cell r="C1050" t="str">
            <v>S02</v>
          </cell>
          <cell r="F1050">
            <v>2129</v>
          </cell>
          <cell r="I1050">
            <v>32956.92</v>
          </cell>
          <cell r="J1050">
            <v>20693.88</v>
          </cell>
          <cell r="K1050">
            <v>38322</v>
          </cell>
          <cell r="L1050">
            <v>45627</v>
          </cell>
        </row>
        <row r="1051">
          <cell r="C1051" t="str">
            <v>S02</v>
          </cell>
          <cell r="F1051">
            <v>2046</v>
          </cell>
          <cell r="I1051">
            <v>53400.6</v>
          </cell>
          <cell r="J1051">
            <v>30935.52</v>
          </cell>
          <cell r="K1051">
            <v>61380</v>
          </cell>
          <cell r="L1051">
            <v>45627</v>
          </cell>
        </row>
        <row r="1052">
          <cell r="C1052" t="str">
            <v>S02</v>
          </cell>
          <cell r="F1052">
            <v>1751</v>
          </cell>
          <cell r="I1052">
            <v>58833.599999999999</v>
          </cell>
          <cell r="J1052">
            <v>37821.599999999999</v>
          </cell>
          <cell r="K1052">
            <v>70040</v>
          </cell>
          <cell r="L1052">
            <v>45627</v>
          </cell>
        </row>
        <row r="1053">
          <cell r="C1053" t="str">
            <v>S02</v>
          </cell>
          <cell r="F1053">
            <v>2494</v>
          </cell>
          <cell r="I1053">
            <v>21697.8</v>
          </cell>
          <cell r="J1053">
            <v>10774.08</v>
          </cell>
          <cell r="K1053">
            <v>24940</v>
          </cell>
          <cell r="L1053">
            <v>45627</v>
          </cell>
        </row>
        <row r="1054">
          <cell r="C1054" t="str">
            <v>S02</v>
          </cell>
          <cell r="F1054">
            <v>2059</v>
          </cell>
          <cell r="I1054">
            <v>37597.339999999997</v>
          </cell>
          <cell r="J1054">
            <v>22237.200000000001</v>
          </cell>
          <cell r="K1054">
            <v>45298</v>
          </cell>
          <cell r="L1054">
            <v>45627</v>
          </cell>
        </row>
        <row r="1055">
          <cell r="C1055" t="str">
            <v>S03</v>
          </cell>
          <cell r="F1055">
            <v>2838</v>
          </cell>
          <cell r="I1055">
            <v>59938.559999999998</v>
          </cell>
          <cell r="J1055">
            <v>36780.480000000003</v>
          </cell>
          <cell r="K1055">
            <v>68112</v>
          </cell>
          <cell r="L1055">
            <v>45627</v>
          </cell>
        </row>
        <row r="1056">
          <cell r="C1056" t="str">
            <v>S03</v>
          </cell>
          <cell r="F1056">
            <v>1518</v>
          </cell>
          <cell r="I1056">
            <v>64515</v>
          </cell>
          <cell r="J1056">
            <v>45904.32</v>
          </cell>
          <cell r="K1056">
            <v>75900</v>
          </cell>
          <cell r="L1056">
            <v>45627</v>
          </cell>
        </row>
        <row r="1057">
          <cell r="C1057" t="str">
            <v>S03</v>
          </cell>
          <cell r="F1057">
            <v>1870</v>
          </cell>
          <cell r="I1057">
            <v>43982.400000000001</v>
          </cell>
          <cell r="J1057">
            <v>30294</v>
          </cell>
          <cell r="K1057">
            <v>52360</v>
          </cell>
          <cell r="L1057">
            <v>45627</v>
          </cell>
        </row>
        <row r="1058">
          <cell r="C1058" t="str">
            <v>S03</v>
          </cell>
          <cell r="F1058">
            <v>3049</v>
          </cell>
          <cell r="I1058">
            <v>92842.05</v>
          </cell>
          <cell r="J1058">
            <v>59272.56</v>
          </cell>
          <cell r="K1058">
            <v>106715</v>
          </cell>
          <cell r="L1058">
            <v>45627</v>
          </cell>
        </row>
        <row r="1059">
          <cell r="C1059" t="str">
            <v>S03</v>
          </cell>
          <cell r="F1059">
            <v>2635</v>
          </cell>
          <cell r="I1059">
            <v>41738.400000000001</v>
          </cell>
          <cell r="J1059">
            <v>25612.2</v>
          </cell>
          <cell r="K1059">
            <v>47430</v>
          </cell>
          <cell r="L1059">
            <v>45627</v>
          </cell>
        </row>
        <row r="1060">
          <cell r="C1060" t="str">
            <v>S03</v>
          </cell>
          <cell r="F1060">
            <v>1628</v>
          </cell>
          <cell r="I1060">
            <v>41025.599999999999</v>
          </cell>
          <cell r="J1060">
            <v>24615.360000000001</v>
          </cell>
          <cell r="K1060">
            <v>48840</v>
          </cell>
          <cell r="L1060">
            <v>45627</v>
          </cell>
        </row>
        <row r="1061">
          <cell r="C1061" t="str">
            <v>S03</v>
          </cell>
          <cell r="F1061">
            <v>1799</v>
          </cell>
          <cell r="I1061">
            <v>63324.800000000003</v>
          </cell>
          <cell r="J1061">
            <v>38858.400000000001</v>
          </cell>
          <cell r="K1061">
            <v>71960</v>
          </cell>
          <cell r="L1061">
            <v>45627</v>
          </cell>
        </row>
        <row r="1062">
          <cell r="C1062" t="str">
            <v>S03</v>
          </cell>
          <cell r="F1062">
            <v>1474</v>
          </cell>
          <cell r="I1062">
            <v>12823.8</v>
          </cell>
          <cell r="J1062">
            <v>6367.68</v>
          </cell>
          <cell r="K1062">
            <v>14740</v>
          </cell>
          <cell r="L1062">
            <v>45627</v>
          </cell>
        </row>
        <row r="1063">
          <cell r="C1063" t="str">
            <v>S03</v>
          </cell>
          <cell r="F1063">
            <v>2675</v>
          </cell>
          <cell r="I1063">
            <v>51199.5</v>
          </cell>
          <cell r="J1063">
            <v>28890</v>
          </cell>
          <cell r="K1063">
            <v>58850</v>
          </cell>
          <cell r="L1063">
            <v>45627</v>
          </cell>
        </row>
        <row r="1064">
          <cell r="C1064" t="str">
            <v>S04</v>
          </cell>
          <cell r="F1064">
            <v>2565</v>
          </cell>
          <cell r="I1064">
            <v>52326</v>
          </cell>
          <cell r="J1064">
            <v>33242.400000000001</v>
          </cell>
          <cell r="K1064">
            <v>61560</v>
          </cell>
          <cell r="L1064">
            <v>45627</v>
          </cell>
        </row>
        <row r="1065">
          <cell r="C1065" t="str">
            <v>S04</v>
          </cell>
          <cell r="F1065">
            <v>2864</v>
          </cell>
          <cell r="I1065">
            <v>123152</v>
          </cell>
          <cell r="J1065">
            <v>86607.360000000001</v>
          </cell>
          <cell r="K1065">
            <v>143200</v>
          </cell>
          <cell r="L1065">
            <v>45627</v>
          </cell>
        </row>
        <row r="1066">
          <cell r="C1066" t="str">
            <v>S04</v>
          </cell>
          <cell r="F1066">
            <v>2846</v>
          </cell>
          <cell r="I1066">
            <v>67734.8</v>
          </cell>
          <cell r="J1066">
            <v>46105.2</v>
          </cell>
          <cell r="K1066">
            <v>79688</v>
          </cell>
          <cell r="L1066">
            <v>45627</v>
          </cell>
        </row>
        <row r="1067">
          <cell r="C1067" t="str">
            <v>S04</v>
          </cell>
          <cell r="F1067">
            <v>2446</v>
          </cell>
          <cell r="I1067">
            <v>71912.399999999994</v>
          </cell>
          <cell r="J1067">
            <v>47550.239999999998</v>
          </cell>
          <cell r="K1067">
            <v>85610</v>
          </cell>
          <cell r="L1067">
            <v>45627</v>
          </cell>
        </row>
        <row r="1068">
          <cell r="C1068" t="str">
            <v>S04</v>
          </cell>
          <cell r="F1068">
            <v>2908</v>
          </cell>
          <cell r="I1068">
            <v>45539.28</v>
          </cell>
          <cell r="J1068">
            <v>28265.759999999998</v>
          </cell>
          <cell r="K1068">
            <v>52344</v>
          </cell>
          <cell r="L1068">
            <v>45627</v>
          </cell>
        </row>
        <row r="1069">
          <cell r="C1069" t="str">
            <v>S04</v>
          </cell>
          <cell r="F1069">
            <v>1729</v>
          </cell>
          <cell r="I1069">
            <v>45126.9</v>
          </cell>
          <cell r="J1069">
            <v>26142.48</v>
          </cell>
          <cell r="K1069">
            <v>51870</v>
          </cell>
          <cell r="L1069">
            <v>45627</v>
          </cell>
        </row>
        <row r="1070">
          <cell r="C1070" t="str">
            <v>S04</v>
          </cell>
          <cell r="F1070">
            <v>1386</v>
          </cell>
          <cell r="I1070">
            <v>48232.800000000003</v>
          </cell>
          <cell r="J1070">
            <v>29937.599999999999</v>
          </cell>
          <cell r="K1070">
            <v>55440</v>
          </cell>
          <cell r="L1070">
            <v>45627</v>
          </cell>
        </row>
        <row r="1071">
          <cell r="C1071" t="str">
            <v>S04</v>
          </cell>
          <cell r="F1071">
            <v>1438</v>
          </cell>
          <cell r="I1071">
            <v>12510.6</v>
          </cell>
          <cell r="J1071">
            <v>6212.16</v>
          </cell>
          <cell r="K1071">
            <v>14380</v>
          </cell>
          <cell r="L1071">
            <v>45627</v>
          </cell>
        </row>
        <row r="1072">
          <cell r="C1072" t="str">
            <v>S04</v>
          </cell>
          <cell r="F1072">
            <v>2692</v>
          </cell>
          <cell r="I1072">
            <v>51524.88</v>
          </cell>
          <cell r="J1072">
            <v>29073.599999999999</v>
          </cell>
          <cell r="K1072">
            <v>59224</v>
          </cell>
          <cell r="L1072">
            <v>45627</v>
          </cell>
        </row>
        <row r="1073">
          <cell r="C1073" t="str">
            <v>S05</v>
          </cell>
          <cell r="F1073">
            <v>1958</v>
          </cell>
          <cell r="I1073">
            <v>40413.120000000003</v>
          </cell>
          <cell r="J1073">
            <v>25375.68</v>
          </cell>
          <cell r="K1073">
            <v>46992</v>
          </cell>
          <cell r="L1073">
            <v>45627</v>
          </cell>
        </row>
        <row r="1074">
          <cell r="C1074" t="str">
            <v>S05</v>
          </cell>
          <cell r="F1074">
            <v>2714</v>
          </cell>
          <cell r="I1074">
            <v>112631</v>
          </cell>
          <cell r="J1074">
            <v>82071.360000000001</v>
          </cell>
          <cell r="K1074">
            <v>135700</v>
          </cell>
          <cell r="L1074">
            <v>45627</v>
          </cell>
        </row>
        <row r="1075">
          <cell r="C1075" t="str">
            <v>S05</v>
          </cell>
          <cell r="F1075">
            <v>2072</v>
          </cell>
          <cell r="I1075">
            <v>48733.440000000002</v>
          </cell>
          <cell r="J1075">
            <v>33566.400000000001</v>
          </cell>
          <cell r="K1075">
            <v>58016</v>
          </cell>
          <cell r="L1075">
            <v>45627</v>
          </cell>
        </row>
        <row r="1076">
          <cell r="C1076" t="str">
            <v>S05</v>
          </cell>
          <cell r="F1076">
            <v>2204</v>
          </cell>
          <cell r="I1076">
            <v>65569</v>
          </cell>
          <cell r="J1076">
            <v>42845.760000000002</v>
          </cell>
          <cell r="K1076">
            <v>77140</v>
          </cell>
          <cell r="L1076">
            <v>45627</v>
          </cell>
        </row>
        <row r="1077">
          <cell r="C1077" t="str">
            <v>S05</v>
          </cell>
          <cell r="F1077">
            <v>1808</v>
          </cell>
          <cell r="I1077">
            <v>27336.959999999999</v>
          </cell>
          <cell r="J1077">
            <v>17573.759999999998</v>
          </cell>
          <cell r="K1077">
            <v>32544</v>
          </cell>
          <cell r="L1077">
            <v>45627</v>
          </cell>
        </row>
        <row r="1078">
          <cell r="C1078" t="str">
            <v>S05</v>
          </cell>
          <cell r="F1078">
            <v>2987</v>
          </cell>
          <cell r="I1078">
            <v>74376.3</v>
          </cell>
          <cell r="J1078">
            <v>45163.44</v>
          </cell>
          <cell r="K1078">
            <v>89610</v>
          </cell>
          <cell r="L1078">
            <v>45627</v>
          </cell>
        </row>
        <row r="1079">
          <cell r="C1079" t="str">
            <v>S05</v>
          </cell>
          <cell r="F1079">
            <v>2305</v>
          </cell>
          <cell r="I1079">
            <v>79292</v>
          </cell>
          <cell r="J1079">
            <v>49788</v>
          </cell>
          <cell r="K1079">
            <v>92200</v>
          </cell>
          <cell r="L1079">
            <v>45627</v>
          </cell>
        </row>
        <row r="1080">
          <cell r="C1080" t="str">
            <v>S05</v>
          </cell>
          <cell r="F1080">
            <v>1980</v>
          </cell>
          <cell r="I1080">
            <v>17226</v>
          </cell>
          <cell r="J1080">
            <v>8553.6</v>
          </cell>
          <cell r="K1080">
            <v>19800</v>
          </cell>
          <cell r="L1080">
            <v>45627</v>
          </cell>
        </row>
        <row r="1081">
          <cell r="C1081" t="str">
            <v>S05</v>
          </cell>
          <cell r="F1081">
            <v>2068</v>
          </cell>
          <cell r="I1081">
            <v>39126.559999999998</v>
          </cell>
          <cell r="J1081">
            <v>22334.400000000001</v>
          </cell>
          <cell r="K1081">
            <v>45496</v>
          </cell>
          <cell r="L1081">
            <v>45627</v>
          </cell>
        </row>
      </sheetData>
      <sheetData sheetId="10">
        <row r="2">
          <cell r="B2" t="str">
            <v>S01</v>
          </cell>
          <cell r="C2">
            <v>49556</v>
          </cell>
          <cell r="D2">
            <v>22977</v>
          </cell>
          <cell r="E2">
            <v>6952</v>
          </cell>
          <cell r="F2">
            <v>11166</v>
          </cell>
          <cell r="G2">
            <v>6944</v>
          </cell>
          <cell r="H2">
            <v>97595</v>
          </cell>
          <cell r="I2">
            <v>44927</v>
          </cell>
        </row>
        <row r="3">
          <cell r="B3" t="str">
            <v>S02</v>
          </cell>
          <cell r="C3">
            <v>48918</v>
          </cell>
          <cell r="D3">
            <v>24375</v>
          </cell>
          <cell r="E3">
            <v>6245</v>
          </cell>
          <cell r="F3">
            <v>10253</v>
          </cell>
          <cell r="G3">
            <v>6718</v>
          </cell>
          <cell r="H3">
            <v>96509</v>
          </cell>
          <cell r="I3">
            <v>44927</v>
          </cell>
        </row>
        <row r="4">
          <cell r="B4" t="str">
            <v>S03</v>
          </cell>
          <cell r="C4">
            <v>50943</v>
          </cell>
          <cell r="D4">
            <v>25866</v>
          </cell>
          <cell r="E4">
            <v>8761</v>
          </cell>
          <cell r="F4">
            <v>14338</v>
          </cell>
          <cell r="G4">
            <v>7727</v>
          </cell>
          <cell r="H4">
            <v>107635</v>
          </cell>
          <cell r="I4">
            <v>44927</v>
          </cell>
        </row>
        <row r="5">
          <cell r="B5" t="str">
            <v>S04</v>
          </cell>
          <cell r="C5">
            <v>52403</v>
          </cell>
          <cell r="D5">
            <v>24200</v>
          </cell>
          <cell r="E5">
            <v>6080</v>
          </cell>
          <cell r="F5">
            <v>14308</v>
          </cell>
          <cell r="G5">
            <v>6828</v>
          </cell>
          <cell r="H5">
            <v>103819</v>
          </cell>
          <cell r="I5">
            <v>44927</v>
          </cell>
        </row>
        <row r="6">
          <cell r="B6" t="str">
            <v>S05</v>
          </cell>
          <cell r="C6">
            <v>47852</v>
          </cell>
          <cell r="D6">
            <v>23881</v>
          </cell>
          <cell r="E6">
            <v>6316</v>
          </cell>
          <cell r="F6">
            <v>16578</v>
          </cell>
          <cell r="G6">
            <v>7316</v>
          </cell>
          <cell r="H6">
            <v>101943</v>
          </cell>
          <cell r="I6">
            <v>44927</v>
          </cell>
        </row>
        <row r="7">
          <cell r="B7" t="str">
            <v>S01</v>
          </cell>
          <cell r="C7">
            <v>50135</v>
          </cell>
          <cell r="D7">
            <v>23054</v>
          </cell>
          <cell r="E7">
            <v>7989</v>
          </cell>
          <cell r="F7">
            <v>17832</v>
          </cell>
          <cell r="G7">
            <v>8168</v>
          </cell>
          <cell r="H7">
            <v>107178</v>
          </cell>
          <cell r="I7">
            <v>44958</v>
          </cell>
        </row>
        <row r="8">
          <cell r="B8" t="str">
            <v>S02</v>
          </cell>
          <cell r="C8">
            <v>47556</v>
          </cell>
          <cell r="D8">
            <v>23785</v>
          </cell>
          <cell r="E8">
            <v>7732</v>
          </cell>
          <cell r="F8">
            <v>17782</v>
          </cell>
          <cell r="G8">
            <v>8955</v>
          </cell>
          <cell r="H8">
            <v>105810</v>
          </cell>
          <cell r="I8">
            <v>44958</v>
          </cell>
        </row>
        <row r="9">
          <cell r="B9" t="str">
            <v>S03</v>
          </cell>
          <cell r="C9">
            <v>50457</v>
          </cell>
          <cell r="D9">
            <v>22269</v>
          </cell>
          <cell r="E9">
            <v>7578</v>
          </cell>
          <cell r="F9">
            <v>10161</v>
          </cell>
          <cell r="G9">
            <v>8894</v>
          </cell>
          <cell r="H9">
            <v>99359</v>
          </cell>
          <cell r="I9">
            <v>44958</v>
          </cell>
        </row>
        <row r="10">
          <cell r="B10" t="str">
            <v>S04</v>
          </cell>
          <cell r="C10">
            <v>45241</v>
          </cell>
          <cell r="D10">
            <v>24849</v>
          </cell>
          <cell r="E10">
            <v>8458</v>
          </cell>
          <cell r="F10">
            <v>13454</v>
          </cell>
          <cell r="G10">
            <v>6665</v>
          </cell>
          <cell r="H10">
            <v>98667</v>
          </cell>
          <cell r="I10">
            <v>44958</v>
          </cell>
        </row>
        <row r="11">
          <cell r="B11" t="str">
            <v>S05</v>
          </cell>
          <cell r="C11">
            <v>46072</v>
          </cell>
          <cell r="D11">
            <v>22356</v>
          </cell>
          <cell r="E11">
            <v>6222</v>
          </cell>
          <cell r="F11">
            <v>12909</v>
          </cell>
          <cell r="G11">
            <v>8455</v>
          </cell>
          <cell r="H11">
            <v>96014</v>
          </cell>
          <cell r="I11">
            <v>44958</v>
          </cell>
        </row>
        <row r="12">
          <cell r="B12" t="str">
            <v>S01</v>
          </cell>
          <cell r="C12">
            <v>50867</v>
          </cell>
          <cell r="D12">
            <v>24097</v>
          </cell>
          <cell r="E12">
            <v>8057</v>
          </cell>
          <cell r="F12">
            <v>11308</v>
          </cell>
          <cell r="G12">
            <v>7777</v>
          </cell>
          <cell r="H12">
            <v>102106</v>
          </cell>
          <cell r="I12">
            <v>44986</v>
          </cell>
        </row>
        <row r="13">
          <cell r="B13" t="str">
            <v>S02</v>
          </cell>
          <cell r="C13">
            <v>49895</v>
          </cell>
          <cell r="D13">
            <v>25533</v>
          </cell>
          <cell r="E13">
            <v>7687</v>
          </cell>
          <cell r="F13">
            <v>12068</v>
          </cell>
          <cell r="G13">
            <v>8882</v>
          </cell>
          <cell r="H13">
            <v>104065</v>
          </cell>
          <cell r="I13">
            <v>44986</v>
          </cell>
        </row>
        <row r="14">
          <cell r="B14" t="str">
            <v>S03</v>
          </cell>
          <cell r="C14">
            <v>50804</v>
          </cell>
          <cell r="D14">
            <v>24333</v>
          </cell>
          <cell r="E14">
            <v>7378</v>
          </cell>
          <cell r="F14">
            <v>12769</v>
          </cell>
          <cell r="G14">
            <v>7035</v>
          </cell>
          <cell r="H14">
            <v>102319</v>
          </cell>
          <cell r="I14">
            <v>44986</v>
          </cell>
        </row>
        <row r="15">
          <cell r="B15" t="str">
            <v>S04</v>
          </cell>
          <cell r="C15">
            <v>46129</v>
          </cell>
          <cell r="D15">
            <v>25829</v>
          </cell>
          <cell r="E15">
            <v>6114</v>
          </cell>
          <cell r="F15">
            <v>10929</v>
          </cell>
          <cell r="G15">
            <v>6692</v>
          </cell>
          <cell r="H15">
            <v>95693</v>
          </cell>
          <cell r="I15">
            <v>44986</v>
          </cell>
        </row>
        <row r="16">
          <cell r="B16" t="str">
            <v>S05</v>
          </cell>
          <cell r="C16">
            <v>46913</v>
          </cell>
          <cell r="D16">
            <v>23925</v>
          </cell>
          <cell r="E16">
            <v>6889</v>
          </cell>
          <cell r="F16">
            <v>12646</v>
          </cell>
          <cell r="G16">
            <v>7905</v>
          </cell>
          <cell r="H16">
            <v>98278</v>
          </cell>
          <cell r="I16">
            <v>44986</v>
          </cell>
        </row>
        <row r="17">
          <cell r="B17" t="str">
            <v>S01</v>
          </cell>
          <cell r="C17">
            <v>47267</v>
          </cell>
          <cell r="D17">
            <v>24201</v>
          </cell>
          <cell r="E17">
            <v>6294</v>
          </cell>
          <cell r="F17">
            <v>10777</v>
          </cell>
          <cell r="G17">
            <v>6720</v>
          </cell>
          <cell r="H17">
            <v>95259</v>
          </cell>
          <cell r="I17">
            <v>45017</v>
          </cell>
        </row>
        <row r="18">
          <cell r="B18" t="str">
            <v>S02</v>
          </cell>
          <cell r="C18">
            <v>51283</v>
          </cell>
          <cell r="D18">
            <v>23233</v>
          </cell>
          <cell r="E18">
            <v>6921</v>
          </cell>
          <cell r="F18">
            <v>12538</v>
          </cell>
          <cell r="G18">
            <v>6674</v>
          </cell>
          <cell r="H18">
            <v>100649</v>
          </cell>
          <cell r="I18">
            <v>45017</v>
          </cell>
        </row>
        <row r="19">
          <cell r="B19" t="str">
            <v>S03</v>
          </cell>
          <cell r="C19">
            <v>54765</v>
          </cell>
          <cell r="D19">
            <v>23256</v>
          </cell>
          <cell r="E19">
            <v>6843</v>
          </cell>
          <cell r="F19">
            <v>17876</v>
          </cell>
          <cell r="G19">
            <v>6618</v>
          </cell>
          <cell r="H19">
            <v>109358</v>
          </cell>
          <cell r="I19">
            <v>45017</v>
          </cell>
        </row>
        <row r="20">
          <cell r="B20" t="str">
            <v>S04</v>
          </cell>
          <cell r="C20">
            <v>54555</v>
          </cell>
          <cell r="D20">
            <v>23015</v>
          </cell>
          <cell r="E20">
            <v>7515</v>
          </cell>
          <cell r="F20">
            <v>15820</v>
          </cell>
          <cell r="G20">
            <v>7144</v>
          </cell>
          <cell r="H20">
            <v>108049</v>
          </cell>
          <cell r="I20">
            <v>45017</v>
          </cell>
        </row>
        <row r="21">
          <cell r="B21" t="str">
            <v>S05</v>
          </cell>
          <cell r="C21">
            <v>50308</v>
          </cell>
          <cell r="D21">
            <v>25636</v>
          </cell>
          <cell r="E21">
            <v>7184</v>
          </cell>
          <cell r="F21">
            <v>15814</v>
          </cell>
          <cell r="G21">
            <v>7088</v>
          </cell>
          <cell r="H21">
            <v>106030</v>
          </cell>
          <cell r="I21">
            <v>45017</v>
          </cell>
        </row>
        <row r="22">
          <cell r="B22" t="str">
            <v>S01</v>
          </cell>
          <cell r="C22">
            <v>50509</v>
          </cell>
          <cell r="D22">
            <v>25695</v>
          </cell>
          <cell r="E22">
            <v>6062</v>
          </cell>
          <cell r="F22">
            <v>10485</v>
          </cell>
          <cell r="G22">
            <v>7094</v>
          </cell>
          <cell r="H22">
            <v>99845</v>
          </cell>
          <cell r="I22">
            <v>45047</v>
          </cell>
        </row>
        <row r="23">
          <cell r="B23" t="str">
            <v>S02</v>
          </cell>
          <cell r="C23">
            <v>45206</v>
          </cell>
          <cell r="D23">
            <v>22549</v>
          </cell>
          <cell r="E23">
            <v>8913</v>
          </cell>
          <cell r="F23">
            <v>16805</v>
          </cell>
          <cell r="G23">
            <v>8718</v>
          </cell>
          <cell r="H23">
            <v>102191</v>
          </cell>
          <cell r="I23">
            <v>45047</v>
          </cell>
        </row>
        <row r="24">
          <cell r="B24" t="str">
            <v>S03</v>
          </cell>
          <cell r="C24">
            <v>50307</v>
          </cell>
          <cell r="D24">
            <v>22681</v>
          </cell>
          <cell r="E24">
            <v>7533</v>
          </cell>
          <cell r="F24">
            <v>15093</v>
          </cell>
          <cell r="G24">
            <v>7900</v>
          </cell>
          <cell r="H24">
            <v>103514</v>
          </cell>
          <cell r="I24">
            <v>45047</v>
          </cell>
        </row>
        <row r="25">
          <cell r="B25" t="str">
            <v>S04</v>
          </cell>
          <cell r="C25">
            <v>48288</v>
          </cell>
          <cell r="D25">
            <v>25950</v>
          </cell>
          <cell r="E25">
            <v>6680</v>
          </cell>
          <cell r="F25">
            <v>10702</v>
          </cell>
          <cell r="G25">
            <v>8027</v>
          </cell>
          <cell r="H25">
            <v>99647</v>
          </cell>
          <cell r="I25">
            <v>45047</v>
          </cell>
        </row>
        <row r="26">
          <cell r="B26" t="str">
            <v>S05</v>
          </cell>
          <cell r="C26">
            <v>47796</v>
          </cell>
          <cell r="D26">
            <v>25686</v>
          </cell>
          <cell r="E26">
            <v>7912</v>
          </cell>
          <cell r="F26">
            <v>12294</v>
          </cell>
          <cell r="G26">
            <v>6679</v>
          </cell>
          <cell r="H26">
            <v>100367</v>
          </cell>
          <cell r="I26">
            <v>45047</v>
          </cell>
        </row>
        <row r="27">
          <cell r="B27" t="str">
            <v>S01</v>
          </cell>
          <cell r="C27">
            <v>52896</v>
          </cell>
          <cell r="D27">
            <v>23001</v>
          </cell>
          <cell r="E27">
            <v>7835</v>
          </cell>
          <cell r="F27">
            <v>12553</v>
          </cell>
          <cell r="G27">
            <v>7436</v>
          </cell>
          <cell r="H27">
            <v>103721</v>
          </cell>
          <cell r="I27">
            <v>45078</v>
          </cell>
        </row>
        <row r="28">
          <cell r="B28" t="str">
            <v>S02</v>
          </cell>
          <cell r="C28">
            <v>48434</v>
          </cell>
          <cell r="D28">
            <v>25743</v>
          </cell>
          <cell r="E28">
            <v>6985</v>
          </cell>
          <cell r="F28">
            <v>10854</v>
          </cell>
          <cell r="G28">
            <v>8701</v>
          </cell>
          <cell r="H28">
            <v>100717</v>
          </cell>
          <cell r="I28">
            <v>45078</v>
          </cell>
        </row>
        <row r="29">
          <cell r="B29" t="str">
            <v>S03</v>
          </cell>
          <cell r="C29">
            <v>49382</v>
          </cell>
          <cell r="D29">
            <v>22438</v>
          </cell>
          <cell r="E29">
            <v>7993</v>
          </cell>
          <cell r="F29">
            <v>16331</v>
          </cell>
          <cell r="G29">
            <v>6942</v>
          </cell>
          <cell r="H29">
            <v>103086</v>
          </cell>
          <cell r="I29">
            <v>45078</v>
          </cell>
        </row>
        <row r="30">
          <cell r="B30" t="str">
            <v>S04</v>
          </cell>
          <cell r="C30">
            <v>53826</v>
          </cell>
          <cell r="D30">
            <v>22876</v>
          </cell>
          <cell r="E30">
            <v>7073</v>
          </cell>
          <cell r="F30">
            <v>15578</v>
          </cell>
          <cell r="G30">
            <v>7281</v>
          </cell>
          <cell r="H30">
            <v>106634</v>
          </cell>
          <cell r="I30">
            <v>45078</v>
          </cell>
        </row>
        <row r="31">
          <cell r="B31" t="str">
            <v>S05</v>
          </cell>
          <cell r="C31">
            <v>50170</v>
          </cell>
          <cell r="D31">
            <v>24010</v>
          </cell>
          <cell r="E31">
            <v>7202</v>
          </cell>
          <cell r="F31">
            <v>14898</v>
          </cell>
          <cell r="G31">
            <v>8948</v>
          </cell>
          <cell r="H31">
            <v>105228</v>
          </cell>
          <cell r="I31">
            <v>45078</v>
          </cell>
        </row>
        <row r="32">
          <cell r="B32" t="str">
            <v>S01</v>
          </cell>
          <cell r="C32">
            <v>47112</v>
          </cell>
          <cell r="D32">
            <v>24502</v>
          </cell>
          <cell r="E32">
            <v>7816</v>
          </cell>
          <cell r="F32">
            <v>17718</v>
          </cell>
          <cell r="G32">
            <v>7382</v>
          </cell>
          <cell r="H32">
            <v>104530</v>
          </cell>
          <cell r="I32">
            <v>45108</v>
          </cell>
        </row>
        <row r="33">
          <cell r="B33" t="str">
            <v>S02</v>
          </cell>
          <cell r="C33">
            <v>47385</v>
          </cell>
          <cell r="D33">
            <v>22601</v>
          </cell>
          <cell r="E33">
            <v>7771</v>
          </cell>
          <cell r="F33">
            <v>12167</v>
          </cell>
          <cell r="G33">
            <v>7434</v>
          </cell>
          <cell r="H33">
            <v>97358</v>
          </cell>
          <cell r="I33">
            <v>45108</v>
          </cell>
        </row>
        <row r="34">
          <cell r="B34" t="str">
            <v>S03</v>
          </cell>
          <cell r="C34">
            <v>51565</v>
          </cell>
          <cell r="D34">
            <v>22148</v>
          </cell>
          <cell r="E34">
            <v>6311</v>
          </cell>
          <cell r="F34">
            <v>17948</v>
          </cell>
          <cell r="G34">
            <v>8176</v>
          </cell>
          <cell r="H34">
            <v>106148</v>
          </cell>
          <cell r="I34">
            <v>45108</v>
          </cell>
        </row>
        <row r="35">
          <cell r="B35" t="str">
            <v>S04</v>
          </cell>
          <cell r="C35">
            <v>50420</v>
          </cell>
          <cell r="D35">
            <v>24339</v>
          </cell>
          <cell r="E35">
            <v>7061</v>
          </cell>
          <cell r="F35">
            <v>14572</v>
          </cell>
          <cell r="G35">
            <v>6660</v>
          </cell>
          <cell r="H35">
            <v>103052</v>
          </cell>
          <cell r="I35">
            <v>45108</v>
          </cell>
        </row>
        <row r="36">
          <cell r="B36" t="str">
            <v>S05</v>
          </cell>
          <cell r="C36">
            <v>49938</v>
          </cell>
          <cell r="D36">
            <v>24713</v>
          </cell>
          <cell r="E36">
            <v>7194</v>
          </cell>
          <cell r="F36">
            <v>12876</v>
          </cell>
          <cell r="G36">
            <v>6126</v>
          </cell>
          <cell r="H36">
            <v>100847</v>
          </cell>
          <cell r="I36">
            <v>45108</v>
          </cell>
        </row>
        <row r="37">
          <cell r="B37" t="str">
            <v>S01</v>
          </cell>
          <cell r="C37">
            <v>47539</v>
          </cell>
          <cell r="D37">
            <v>25288</v>
          </cell>
          <cell r="E37">
            <v>8899</v>
          </cell>
          <cell r="F37">
            <v>10611</v>
          </cell>
          <cell r="G37">
            <v>7256</v>
          </cell>
          <cell r="H37">
            <v>99593</v>
          </cell>
          <cell r="I37">
            <v>45139</v>
          </cell>
        </row>
        <row r="38">
          <cell r="B38" t="str">
            <v>S02</v>
          </cell>
          <cell r="C38">
            <v>50328</v>
          </cell>
          <cell r="D38">
            <v>24472</v>
          </cell>
          <cell r="E38">
            <v>8766</v>
          </cell>
          <cell r="F38">
            <v>14559</v>
          </cell>
          <cell r="G38">
            <v>8566</v>
          </cell>
          <cell r="H38">
            <v>106691</v>
          </cell>
          <cell r="I38">
            <v>45139</v>
          </cell>
        </row>
        <row r="39">
          <cell r="B39" t="str">
            <v>S03</v>
          </cell>
          <cell r="C39">
            <v>53806</v>
          </cell>
          <cell r="D39">
            <v>23136</v>
          </cell>
          <cell r="E39">
            <v>8974</v>
          </cell>
          <cell r="F39">
            <v>10570</v>
          </cell>
          <cell r="G39">
            <v>6113</v>
          </cell>
          <cell r="H39">
            <v>102599</v>
          </cell>
          <cell r="I39">
            <v>45139</v>
          </cell>
        </row>
        <row r="40">
          <cell r="B40" t="str">
            <v>S04</v>
          </cell>
          <cell r="C40">
            <v>54787</v>
          </cell>
          <cell r="D40">
            <v>25014</v>
          </cell>
          <cell r="E40">
            <v>6608</v>
          </cell>
          <cell r="F40">
            <v>10159</v>
          </cell>
          <cell r="G40">
            <v>8605</v>
          </cell>
          <cell r="H40">
            <v>105173</v>
          </cell>
          <cell r="I40">
            <v>45139</v>
          </cell>
        </row>
        <row r="41">
          <cell r="B41" t="str">
            <v>S05</v>
          </cell>
          <cell r="C41">
            <v>47708</v>
          </cell>
          <cell r="D41">
            <v>23128</v>
          </cell>
          <cell r="E41">
            <v>8221</v>
          </cell>
          <cell r="F41">
            <v>14874</v>
          </cell>
          <cell r="G41">
            <v>7125</v>
          </cell>
          <cell r="H41">
            <v>101056</v>
          </cell>
          <cell r="I41">
            <v>45139</v>
          </cell>
        </row>
        <row r="42">
          <cell r="B42" t="str">
            <v>S01</v>
          </cell>
          <cell r="C42">
            <v>51462</v>
          </cell>
          <cell r="D42">
            <v>25292</v>
          </cell>
          <cell r="E42">
            <v>6450</v>
          </cell>
          <cell r="F42">
            <v>11966</v>
          </cell>
          <cell r="G42">
            <v>8786</v>
          </cell>
          <cell r="H42">
            <v>103956</v>
          </cell>
          <cell r="I42">
            <v>45170</v>
          </cell>
        </row>
        <row r="43">
          <cell r="B43" t="str">
            <v>S02</v>
          </cell>
          <cell r="C43">
            <v>51948</v>
          </cell>
          <cell r="D43">
            <v>22230</v>
          </cell>
          <cell r="E43">
            <v>6522</v>
          </cell>
          <cell r="F43">
            <v>14790</v>
          </cell>
          <cell r="G43">
            <v>7864</v>
          </cell>
          <cell r="H43">
            <v>103354</v>
          </cell>
          <cell r="I43">
            <v>45170</v>
          </cell>
        </row>
        <row r="44">
          <cell r="B44" t="str">
            <v>S03</v>
          </cell>
          <cell r="C44">
            <v>50840</v>
          </cell>
          <cell r="D44">
            <v>25938</v>
          </cell>
          <cell r="E44">
            <v>6689</v>
          </cell>
          <cell r="F44">
            <v>14580</v>
          </cell>
          <cell r="G44">
            <v>7270</v>
          </cell>
          <cell r="H44">
            <v>105317</v>
          </cell>
          <cell r="I44">
            <v>45170</v>
          </cell>
        </row>
        <row r="45">
          <cell r="B45" t="str">
            <v>S04</v>
          </cell>
          <cell r="C45">
            <v>45217</v>
          </cell>
          <cell r="D45">
            <v>24855</v>
          </cell>
          <cell r="E45">
            <v>6341</v>
          </cell>
          <cell r="F45">
            <v>17608</v>
          </cell>
          <cell r="G45">
            <v>6048</v>
          </cell>
          <cell r="H45">
            <v>100069</v>
          </cell>
          <cell r="I45">
            <v>45170</v>
          </cell>
        </row>
        <row r="46">
          <cell r="B46" t="str">
            <v>S05</v>
          </cell>
          <cell r="C46">
            <v>47161</v>
          </cell>
          <cell r="D46">
            <v>24705</v>
          </cell>
          <cell r="E46">
            <v>6929</v>
          </cell>
          <cell r="F46">
            <v>10363</v>
          </cell>
          <cell r="G46">
            <v>7898</v>
          </cell>
          <cell r="H46">
            <v>97056</v>
          </cell>
          <cell r="I46">
            <v>45170</v>
          </cell>
        </row>
        <row r="47">
          <cell r="B47" t="str">
            <v>S01</v>
          </cell>
          <cell r="C47">
            <v>52893</v>
          </cell>
          <cell r="D47">
            <v>22392</v>
          </cell>
          <cell r="E47">
            <v>8880</v>
          </cell>
          <cell r="F47">
            <v>15914</v>
          </cell>
          <cell r="G47">
            <v>6245</v>
          </cell>
          <cell r="H47">
            <v>106324</v>
          </cell>
          <cell r="I47">
            <v>45200</v>
          </cell>
        </row>
        <row r="48">
          <cell r="B48" t="str">
            <v>S02</v>
          </cell>
          <cell r="C48">
            <v>49226</v>
          </cell>
          <cell r="D48">
            <v>24630</v>
          </cell>
          <cell r="E48">
            <v>7172</v>
          </cell>
          <cell r="F48">
            <v>16535</v>
          </cell>
          <cell r="G48">
            <v>6805</v>
          </cell>
          <cell r="H48">
            <v>104368</v>
          </cell>
          <cell r="I48">
            <v>45200</v>
          </cell>
        </row>
        <row r="49">
          <cell r="B49" t="str">
            <v>S03</v>
          </cell>
          <cell r="C49">
            <v>51868</v>
          </cell>
          <cell r="D49">
            <v>23242</v>
          </cell>
          <cell r="E49">
            <v>6541</v>
          </cell>
          <cell r="F49">
            <v>16558</v>
          </cell>
          <cell r="G49">
            <v>7031</v>
          </cell>
          <cell r="H49">
            <v>105240</v>
          </cell>
          <cell r="I49">
            <v>45200</v>
          </cell>
        </row>
        <row r="50">
          <cell r="B50" t="str">
            <v>S04</v>
          </cell>
          <cell r="C50">
            <v>48891</v>
          </cell>
          <cell r="D50">
            <v>24715</v>
          </cell>
          <cell r="E50">
            <v>7434</v>
          </cell>
          <cell r="F50">
            <v>14868</v>
          </cell>
          <cell r="G50">
            <v>8716</v>
          </cell>
          <cell r="H50">
            <v>104624</v>
          </cell>
          <cell r="I50">
            <v>45200</v>
          </cell>
        </row>
        <row r="51">
          <cell r="B51" t="str">
            <v>S05</v>
          </cell>
          <cell r="C51">
            <v>49523</v>
          </cell>
          <cell r="D51">
            <v>25131</v>
          </cell>
          <cell r="E51">
            <v>6466</v>
          </cell>
          <cell r="F51">
            <v>16160</v>
          </cell>
          <cell r="G51">
            <v>8816</v>
          </cell>
          <cell r="H51">
            <v>106096</v>
          </cell>
          <cell r="I51">
            <v>45200</v>
          </cell>
        </row>
        <row r="52">
          <cell r="B52" t="str">
            <v>S01</v>
          </cell>
          <cell r="C52">
            <v>51562</v>
          </cell>
          <cell r="D52">
            <v>22929</v>
          </cell>
          <cell r="E52">
            <v>7658</v>
          </cell>
          <cell r="F52">
            <v>14768</v>
          </cell>
          <cell r="G52">
            <v>7409</v>
          </cell>
          <cell r="H52">
            <v>104326</v>
          </cell>
          <cell r="I52">
            <v>45231</v>
          </cell>
        </row>
        <row r="53">
          <cell r="B53" t="str">
            <v>S02</v>
          </cell>
          <cell r="C53">
            <v>46172</v>
          </cell>
          <cell r="D53">
            <v>23734</v>
          </cell>
          <cell r="E53">
            <v>6452</v>
          </cell>
          <cell r="F53">
            <v>11679</v>
          </cell>
          <cell r="G53">
            <v>6449</v>
          </cell>
          <cell r="H53">
            <v>94486</v>
          </cell>
          <cell r="I53">
            <v>45231</v>
          </cell>
        </row>
        <row r="54">
          <cell r="B54" t="str">
            <v>S03</v>
          </cell>
          <cell r="C54">
            <v>47790</v>
          </cell>
          <cell r="D54">
            <v>22959</v>
          </cell>
          <cell r="E54">
            <v>7422</v>
          </cell>
          <cell r="F54">
            <v>10022</v>
          </cell>
          <cell r="G54">
            <v>8316</v>
          </cell>
          <cell r="H54">
            <v>96509</v>
          </cell>
          <cell r="I54">
            <v>45231</v>
          </cell>
        </row>
        <row r="55">
          <cell r="B55" t="str">
            <v>S04</v>
          </cell>
          <cell r="C55">
            <v>51523</v>
          </cell>
          <cell r="D55">
            <v>23239</v>
          </cell>
          <cell r="E55">
            <v>8526</v>
          </cell>
          <cell r="F55">
            <v>15466</v>
          </cell>
          <cell r="G55">
            <v>6442</v>
          </cell>
          <cell r="H55">
            <v>105196</v>
          </cell>
          <cell r="I55">
            <v>45231</v>
          </cell>
        </row>
        <row r="56">
          <cell r="B56" t="str">
            <v>S05</v>
          </cell>
          <cell r="C56">
            <v>51398</v>
          </cell>
          <cell r="D56">
            <v>24572</v>
          </cell>
          <cell r="E56">
            <v>8223</v>
          </cell>
          <cell r="F56">
            <v>11131</v>
          </cell>
          <cell r="G56">
            <v>7124</v>
          </cell>
          <cell r="H56">
            <v>102448</v>
          </cell>
          <cell r="I56">
            <v>45231</v>
          </cell>
        </row>
        <row r="57">
          <cell r="B57" t="str">
            <v>S01</v>
          </cell>
          <cell r="C57">
            <v>49978</v>
          </cell>
          <cell r="D57">
            <v>23550</v>
          </cell>
          <cell r="E57">
            <v>8522</v>
          </cell>
          <cell r="F57">
            <v>13180</v>
          </cell>
          <cell r="G57">
            <v>7293</v>
          </cell>
          <cell r="H57">
            <v>102523</v>
          </cell>
          <cell r="I57">
            <v>45261</v>
          </cell>
        </row>
        <row r="58">
          <cell r="B58" t="str">
            <v>S02</v>
          </cell>
          <cell r="C58">
            <v>45489</v>
          </cell>
          <cell r="D58">
            <v>25400</v>
          </cell>
          <cell r="E58">
            <v>7238</v>
          </cell>
          <cell r="F58">
            <v>14631</v>
          </cell>
          <cell r="G58">
            <v>7571</v>
          </cell>
          <cell r="H58">
            <v>100329</v>
          </cell>
          <cell r="I58">
            <v>45261</v>
          </cell>
        </row>
        <row r="59">
          <cell r="B59" t="str">
            <v>S03</v>
          </cell>
          <cell r="C59">
            <v>45702</v>
          </cell>
          <cell r="D59">
            <v>23141</v>
          </cell>
          <cell r="E59">
            <v>6010</v>
          </cell>
          <cell r="F59">
            <v>14625</v>
          </cell>
          <cell r="G59">
            <v>8233</v>
          </cell>
          <cell r="H59">
            <v>97711</v>
          </cell>
          <cell r="I59">
            <v>45261</v>
          </cell>
        </row>
        <row r="60">
          <cell r="B60" t="str">
            <v>S04</v>
          </cell>
          <cell r="C60">
            <v>48265</v>
          </cell>
          <cell r="D60">
            <v>24041</v>
          </cell>
          <cell r="E60">
            <v>8595</v>
          </cell>
          <cell r="F60">
            <v>16119</v>
          </cell>
          <cell r="G60">
            <v>7238</v>
          </cell>
          <cell r="H60">
            <v>104258</v>
          </cell>
          <cell r="I60">
            <v>45261</v>
          </cell>
        </row>
        <row r="61">
          <cell r="B61" t="str">
            <v>S05</v>
          </cell>
          <cell r="C61">
            <v>47521</v>
          </cell>
          <cell r="D61">
            <v>23605</v>
          </cell>
          <cell r="E61">
            <v>8907</v>
          </cell>
          <cell r="F61">
            <v>12623</v>
          </cell>
          <cell r="G61">
            <v>6215</v>
          </cell>
          <cell r="H61">
            <v>98871</v>
          </cell>
          <cell r="I61">
            <v>45261</v>
          </cell>
        </row>
        <row r="62">
          <cell r="B62" t="str">
            <v>S01</v>
          </cell>
          <cell r="C62">
            <v>57551</v>
          </cell>
          <cell r="D62">
            <v>23140</v>
          </cell>
          <cell r="E62">
            <v>10207</v>
          </cell>
          <cell r="F62">
            <v>12866</v>
          </cell>
          <cell r="G62">
            <v>9263</v>
          </cell>
          <cell r="H62">
            <v>113027</v>
          </cell>
          <cell r="I62">
            <v>45292</v>
          </cell>
        </row>
        <row r="63">
          <cell r="B63" t="str">
            <v>S02</v>
          </cell>
          <cell r="C63">
            <v>62849</v>
          </cell>
          <cell r="D63">
            <v>25561</v>
          </cell>
          <cell r="E63">
            <v>8523</v>
          </cell>
          <cell r="F63">
            <v>18768</v>
          </cell>
          <cell r="G63">
            <v>7078</v>
          </cell>
          <cell r="H63">
            <v>122779</v>
          </cell>
          <cell r="I63">
            <v>45292</v>
          </cell>
        </row>
        <row r="64">
          <cell r="B64" t="str">
            <v>S03</v>
          </cell>
          <cell r="C64">
            <v>53500</v>
          </cell>
          <cell r="D64">
            <v>22655</v>
          </cell>
          <cell r="E64">
            <v>10008</v>
          </cell>
          <cell r="F64">
            <v>13406</v>
          </cell>
          <cell r="G64">
            <v>9308</v>
          </cell>
          <cell r="H64">
            <v>108877</v>
          </cell>
          <cell r="I64">
            <v>45292</v>
          </cell>
        </row>
        <row r="65">
          <cell r="B65" t="str">
            <v>S04</v>
          </cell>
          <cell r="C65">
            <v>62390</v>
          </cell>
          <cell r="D65">
            <v>23927</v>
          </cell>
          <cell r="E65">
            <v>8521</v>
          </cell>
          <cell r="F65">
            <v>17482</v>
          </cell>
          <cell r="G65">
            <v>6933</v>
          </cell>
          <cell r="H65">
            <v>119253</v>
          </cell>
          <cell r="I65">
            <v>45292</v>
          </cell>
        </row>
        <row r="66">
          <cell r="B66" t="str">
            <v>S05</v>
          </cell>
          <cell r="C66">
            <v>57529</v>
          </cell>
          <cell r="D66">
            <v>25186</v>
          </cell>
          <cell r="E66">
            <v>9278</v>
          </cell>
          <cell r="F66">
            <v>19889</v>
          </cell>
          <cell r="G66">
            <v>9810</v>
          </cell>
          <cell r="H66">
            <v>121692</v>
          </cell>
          <cell r="I66">
            <v>45292</v>
          </cell>
        </row>
        <row r="67">
          <cell r="B67" t="str">
            <v>S01</v>
          </cell>
          <cell r="C67">
            <v>54719</v>
          </cell>
          <cell r="D67">
            <v>23457</v>
          </cell>
          <cell r="E67">
            <v>8131</v>
          </cell>
          <cell r="F67">
            <v>18670</v>
          </cell>
          <cell r="G67">
            <v>7547</v>
          </cell>
          <cell r="H67">
            <v>112524</v>
          </cell>
          <cell r="I67">
            <v>45323</v>
          </cell>
        </row>
        <row r="68">
          <cell r="B68" t="str">
            <v>S02</v>
          </cell>
          <cell r="C68">
            <v>59970</v>
          </cell>
          <cell r="D68">
            <v>22652</v>
          </cell>
          <cell r="E68">
            <v>10154</v>
          </cell>
          <cell r="F68">
            <v>18899</v>
          </cell>
          <cell r="G68">
            <v>9242</v>
          </cell>
          <cell r="H68">
            <v>120917</v>
          </cell>
          <cell r="I68">
            <v>45323</v>
          </cell>
        </row>
        <row r="69">
          <cell r="B69" t="str">
            <v>S03</v>
          </cell>
          <cell r="C69">
            <v>55809</v>
          </cell>
          <cell r="D69">
            <v>25413</v>
          </cell>
          <cell r="E69">
            <v>9602</v>
          </cell>
          <cell r="F69">
            <v>16032</v>
          </cell>
          <cell r="G69">
            <v>9664</v>
          </cell>
          <cell r="H69">
            <v>116520</v>
          </cell>
          <cell r="I69">
            <v>45323</v>
          </cell>
        </row>
        <row r="70">
          <cell r="B70" t="str">
            <v>S04</v>
          </cell>
          <cell r="C70">
            <v>60690</v>
          </cell>
          <cell r="D70">
            <v>25701</v>
          </cell>
          <cell r="E70">
            <v>9801</v>
          </cell>
          <cell r="F70">
            <v>16266</v>
          </cell>
          <cell r="G70">
            <v>10261</v>
          </cell>
          <cell r="H70">
            <v>122719</v>
          </cell>
          <cell r="I70">
            <v>45323</v>
          </cell>
        </row>
        <row r="71">
          <cell r="B71" t="str">
            <v>S05</v>
          </cell>
          <cell r="C71">
            <v>61283</v>
          </cell>
          <cell r="D71">
            <v>23938</v>
          </cell>
          <cell r="E71">
            <v>9182</v>
          </cell>
          <cell r="F71">
            <v>17829</v>
          </cell>
          <cell r="G71">
            <v>8418</v>
          </cell>
          <cell r="H71">
            <v>120650</v>
          </cell>
          <cell r="I71">
            <v>45323</v>
          </cell>
        </row>
        <row r="72">
          <cell r="B72" t="str">
            <v>S01</v>
          </cell>
          <cell r="C72">
            <v>53815</v>
          </cell>
          <cell r="D72">
            <v>22650</v>
          </cell>
          <cell r="E72">
            <v>7292</v>
          </cell>
          <cell r="F72">
            <v>13136</v>
          </cell>
          <cell r="G72">
            <v>8827</v>
          </cell>
          <cell r="H72">
            <v>105720</v>
          </cell>
          <cell r="I72">
            <v>45352</v>
          </cell>
        </row>
        <row r="73">
          <cell r="B73" t="str">
            <v>S02</v>
          </cell>
          <cell r="C73">
            <v>61976</v>
          </cell>
          <cell r="D73">
            <v>22155</v>
          </cell>
          <cell r="E73">
            <v>9766</v>
          </cell>
          <cell r="F73">
            <v>20052</v>
          </cell>
          <cell r="G73">
            <v>8177</v>
          </cell>
          <cell r="H73">
            <v>122126</v>
          </cell>
          <cell r="I73">
            <v>45352</v>
          </cell>
        </row>
        <row r="74">
          <cell r="B74" t="str">
            <v>S03</v>
          </cell>
          <cell r="C74">
            <v>59167</v>
          </cell>
          <cell r="D74">
            <v>24094</v>
          </cell>
          <cell r="E74">
            <v>8591</v>
          </cell>
          <cell r="F74">
            <v>16370</v>
          </cell>
          <cell r="G74">
            <v>8084</v>
          </cell>
          <cell r="H74">
            <v>116306</v>
          </cell>
          <cell r="I74">
            <v>45352</v>
          </cell>
        </row>
        <row r="75">
          <cell r="B75" t="str">
            <v>S04</v>
          </cell>
          <cell r="C75">
            <v>52053</v>
          </cell>
          <cell r="D75">
            <v>24375</v>
          </cell>
          <cell r="E75">
            <v>9624</v>
          </cell>
          <cell r="F75">
            <v>17336</v>
          </cell>
          <cell r="G75">
            <v>9589</v>
          </cell>
          <cell r="H75">
            <v>112977</v>
          </cell>
          <cell r="I75">
            <v>45352</v>
          </cell>
        </row>
        <row r="76">
          <cell r="B76" t="str">
            <v>S05</v>
          </cell>
          <cell r="C76">
            <v>55547</v>
          </cell>
          <cell r="D76">
            <v>22143</v>
          </cell>
          <cell r="E76">
            <v>9124</v>
          </cell>
          <cell r="F76">
            <v>12574</v>
          </cell>
          <cell r="G76">
            <v>9121</v>
          </cell>
          <cell r="H76">
            <v>108509</v>
          </cell>
          <cell r="I76">
            <v>45352</v>
          </cell>
        </row>
        <row r="77">
          <cell r="B77" t="str">
            <v>S01</v>
          </cell>
          <cell r="C77">
            <v>61190</v>
          </cell>
          <cell r="D77">
            <v>25846</v>
          </cell>
          <cell r="E77">
            <v>6922</v>
          </cell>
          <cell r="F77">
            <v>19942</v>
          </cell>
          <cell r="G77">
            <v>9723</v>
          </cell>
          <cell r="H77">
            <v>123623</v>
          </cell>
          <cell r="I77">
            <v>45383</v>
          </cell>
        </row>
        <row r="78">
          <cell r="B78" t="str">
            <v>S02</v>
          </cell>
          <cell r="C78">
            <v>56267</v>
          </cell>
          <cell r="D78">
            <v>24512</v>
          </cell>
          <cell r="E78">
            <v>7924</v>
          </cell>
          <cell r="F78">
            <v>14355</v>
          </cell>
          <cell r="G78">
            <v>7293</v>
          </cell>
          <cell r="H78">
            <v>110351</v>
          </cell>
          <cell r="I78">
            <v>45383</v>
          </cell>
        </row>
        <row r="79">
          <cell r="B79" t="str">
            <v>S03</v>
          </cell>
          <cell r="C79">
            <v>60296</v>
          </cell>
          <cell r="D79">
            <v>23474</v>
          </cell>
          <cell r="E79">
            <v>7964</v>
          </cell>
          <cell r="F79">
            <v>12386</v>
          </cell>
          <cell r="G79">
            <v>9929</v>
          </cell>
          <cell r="H79">
            <v>114049</v>
          </cell>
          <cell r="I79">
            <v>45383</v>
          </cell>
        </row>
        <row r="80">
          <cell r="B80" t="str">
            <v>S04</v>
          </cell>
          <cell r="C80">
            <v>57610</v>
          </cell>
          <cell r="D80">
            <v>25944</v>
          </cell>
          <cell r="E80">
            <v>7439</v>
          </cell>
          <cell r="F80">
            <v>14322</v>
          </cell>
          <cell r="G80">
            <v>7142</v>
          </cell>
          <cell r="H80">
            <v>112457</v>
          </cell>
          <cell r="I80">
            <v>45383</v>
          </cell>
        </row>
        <row r="81">
          <cell r="B81" t="str">
            <v>S05</v>
          </cell>
          <cell r="C81">
            <v>60744</v>
          </cell>
          <cell r="D81">
            <v>22738</v>
          </cell>
          <cell r="E81">
            <v>9231</v>
          </cell>
          <cell r="F81">
            <v>19780</v>
          </cell>
          <cell r="G81">
            <v>9425</v>
          </cell>
          <cell r="H81">
            <v>121918</v>
          </cell>
          <cell r="I81">
            <v>45383</v>
          </cell>
        </row>
        <row r="82">
          <cell r="B82" t="str">
            <v>S01</v>
          </cell>
          <cell r="C82">
            <v>54327</v>
          </cell>
          <cell r="D82">
            <v>22048</v>
          </cell>
          <cell r="E82">
            <v>8920</v>
          </cell>
          <cell r="F82">
            <v>18854</v>
          </cell>
          <cell r="G82">
            <v>7334</v>
          </cell>
          <cell r="H82">
            <v>111483</v>
          </cell>
          <cell r="I82">
            <v>45413</v>
          </cell>
        </row>
        <row r="83">
          <cell r="B83" t="str">
            <v>S02</v>
          </cell>
          <cell r="C83">
            <v>59382</v>
          </cell>
          <cell r="D83">
            <v>22967</v>
          </cell>
          <cell r="E83">
            <v>7405</v>
          </cell>
          <cell r="F83">
            <v>18426</v>
          </cell>
          <cell r="G83">
            <v>9625</v>
          </cell>
          <cell r="H83">
            <v>117805</v>
          </cell>
          <cell r="I83">
            <v>45413</v>
          </cell>
        </row>
        <row r="84">
          <cell r="B84" t="str">
            <v>S03</v>
          </cell>
          <cell r="C84">
            <v>55605</v>
          </cell>
          <cell r="D84">
            <v>22686</v>
          </cell>
          <cell r="E84">
            <v>7312</v>
          </cell>
          <cell r="F84">
            <v>13903</v>
          </cell>
          <cell r="G84">
            <v>10054</v>
          </cell>
          <cell r="H84">
            <v>109560</v>
          </cell>
          <cell r="I84">
            <v>45413</v>
          </cell>
        </row>
        <row r="85">
          <cell r="B85" t="str">
            <v>S04</v>
          </cell>
          <cell r="C85">
            <v>58822</v>
          </cell>
          <cell r="D85">
            <v>23254</v>
          </cell>
          <cell r="E85">
            <v>9126</v>
          </cell>
          <cell r="F85">
            <v>20127</v>
          </cell>
          <cell r="G85">
            <v>8512</v>
          </cell>
          <cell r="H85">
            <v>119841</v>
          </cell>
          <cell r="I85">
            <v>45413</v>
          </cell>
        </row>
        <row r="86">
          <cell r="B86" t="str">
            <v>S05</v>
          </cell>
          <cell r="C86">
            <v>53929</v>
          </cell>
          <cell r="D86">
            <v>23116</v>
          </cell>
          <cell r="E86">
            <v>8327</v>
          </cell>
          <cell r="F86">
            <v>12870</v>
          </cell>
          <cell r="G86">
            <v>9711</v>
          </cell>
          <cell r="H86">
            <v>107953</v>
          </cell>
          <cell r="I86">
            <v>45413</v>
          </cell>
        </row>
        <row r="87">
          <cell r="B87" t="str">
            <v>S01</v>
          </cell>
          <cell r="C87">
            <v>56866</v>
          </cell>
          <cell r="D87">
            <v>24397</v>
          </cell>
          <cell r="E87">
            <v>7112</v>
          </cell>
          <cell r="F87">
            <v>17057</v>
          </cell>
          <cell r="G87">
            <v>9672</v>
          </cell>
          <cell r="H87">
            <v>115104</v>
          </cell>
          <cell r="I87">
            <v>45444</v>
          </cell>
        </row>
        <row r="88">
          <cell r="B88" t="str">
            <v>S02</v>
          </cell>
          <cell r="C88">
            <v>61084</v>
          </cell>
          <cell r="D88">
            <v>22975</v>
          </cell>
          <cell r="E88">
            <v>9104</v>
          </cell>
          <cell r="F88">
            <v>20624</v>
          </cell>
          <cell r="G88">
            <v>10037</v>
          </cell>
          <cell r="H88">
            <v>123824</v>
          </cell>
          <cell r="I88">
            <v>45444</v>
          </cell>
        </row>
        <row r="89">
          <cell r="B89" t="str">
            <v>S03</v>
          </cell>
          <cell r="C89">
            <v>53732</v>
          </cell>
          <cell r="D89">
            <v>22981</v>
          </cell>
          <cell r="E89">
            <v>9139</v>
          </cell>
          <cell r="F89">
            <v>12073</v>
          </cell>
          <cell r="G89">
            <v>9392</v>
          </cell>
          <cell r="H89">
            <v>107317</v>
          </cell>
          <cell r="I89">
            <v>45444</v>
          </cell>
        </row>
        <row r="90">
          <cell r="B90" t="str">
            <v>S04</v>
          </cell>
          <cell r="C90">
            <v>62267</v>
          </cell>
          <cell r="D90">
            <v>24766</v>
          </cell>
          <cell r="E90">
            <v>10185</v>
          </cell>
          <cell r="F90">
            <v>11949</v>
          </cell>
          <cell r="G90">
            <v>8104</v>
          </cell>
          <cell r="H90">
            <v>117271</v>
          </cell>
          <cell r="I90">
            <v>45444</v>
          </cell>
        </row>
        <row r="91">
          <cell r="B91" t="str">
            <v>S05</v>
          </cell>
          <cell r="C91">
            <v>56563</v>
          </cell>
          <cell r="D91">
            <v>23246</v>
          </cell>
          <cell r="E91">
            <v>9306</v>
          </cell>
          <cell r="F91">
            <v>13256</v>
          </cell>
          <cell r="G91">
            <v>10302</v>
          </cell>
          <cell r="H91">
            <v>112673</v>
          </cell>
          <cell r="I91">
            <v>45444</v>
          </cell>
        </row>
        <row r="92">
          <cell r="B92" t="str">
            <v>S01</v>
          </cell>
          <cell r="C92">
            <v>54276</v>
          </cell>
          <cell r="D92">
            <v>25120</v>
          </cell>
          <cell r="E92">
            <v>6921</v>
          </cell>
          <cell r="F92">
            <v>16875</v>
          </cell>
          <cell r="G92">
            <v>9777</v>
          </cell>
          <cell r="H92">
            <v>112969</v>
          </cell>
          <cell r="I92">
            <v>45474</v>
          </cell>
        </row>
        <row r="93">
          <cell r="B93" t="str">
            <v>S02</v>
          </cell>
          <cell r="C93">
            <v>59006</v>
          </cell>
          <cell r="D93">
            <v>25876</v>
          </cell>
          <cell r="E93">
            <v>9347</v>
          </cell>
          <cell r="F93">
            <v>15997</v>
          </cell>
          <cell r="G93">
            <v>6906</v>
          </cell>
          <cell r="H93">
            <v>117132</v>
          </cell>
          <cell r="I93">
            <v>45474</v>
          </cell>
        </row>
        <row r="94">
          <cell r="B94" t="str">
            <v>S03</v>
          </cell>
          <cell r="C94">
            <v>58063</v>
          </cell>
          <cell r="D94">
            <v>25678</v>
          </cell>
          <cell r="E94">
            <v>10237</v>
          </cell>
          <cell r="F94">
            <v>20422</v>
          </cell>
          <cell r="G94">
            <v>10192</v>
          </cell>
          <cell r="H94">
            <v>124592</v>
          </cell>
          <cell r="I94">
            <v>45474</v>
          </cell>
        </row>
        <row r="95">
          <cell r="B95" t="str">
            <v>S04</v>
          </cell>
          <cell r="C95">
            <v>56727</v>
          </cell>
          <cell r="D95">
            <v>25350</v>
          </cell>
          <cell r="E95">
            <v>8855</v>
          </cell>
          <cell r="F95">
            <v>15697</v>
          </cell>
          <cell r="G95">
            <v>9697</v>
          </cell>
          <cell r="H95">
            <v>116326</v>
          </cell>
          <cell r="I95">
            <v>45474</v>
          </cell>
        </row>
        <row r="96">
          <cell r="B96" t="str">
            <v>S05</v>
          </cell>
          <cell r="C96">
            <v>62317</v>
          </cell>
          <cell r="D96">
            <v>25431</v>
          </cell>
          <cell r="E96">
            <v>7148</v>
          </cell>
          <cell r="F96">
            <v>14377</v>
          </cell>
          <cell r="G96">
            <v>7861</v>
          </cell>
          <cell r="H96">
            <v>117134</v>
          </cell>
          <cell r="I96">
            <v>45474</v>
          </cell>
        </row>
        <row r="97">
          <cell r="B97" t="str">
            <v>S01</v>
          </cell>
          <cell r="C97">
            <v>54766</v>
          </cell>
          <cell r="D97">
            <v>25959</v>
          </cell>
          <cell r="E97">
            <v>8506</v>
          </cell>
          <cell r="F97">
            <v>20442</v>
          </cell>
          <cell r="G97">
            <v>9303</v>
          </cell>
          <cell r="H97">
            <v>118976</v>
          </cell>
          <cell r="I97">
            <v>45505</v>
          </cell>
        </row>
        <row r="98">
          <cell r="B98" t="str">
            <v>S02</v>
          </cell>
          <cell r="C98">
            <v>55211</v>
          </cell>
          <cell r="D98">
            <v>22231</v>
          </cell>
          <cell r="E98">
            <v>6942</v>
          </cell>
          <cell r="F98">
            <v>15044</v>
          </cell>
          <cell r="G98">
            <v>7317</v>
          </cell>
          <cell r="H98">
            <v>106745</v>
          </cell>
          <cell r="I98">
            <v>45505</v>
          </cell>
        </row>
        <row r="99">
          <cell r="B99" t="str">
            <v>S03</v>
          </cell>
          <cell r="C99">
            <v>62112</v>
          </cell>
          <cell r="D99">
            <v>23035</v>
          </cell>
          <cell r="E99">
            <v>7831</v>
          </cell>
          <cell r="F99">
            <v>12031</v>
          </cell>
          <cell r="G99">
            <v>8774</v>
          </cell>
          <cell r="H99">
            <v>113783</v>
          </cell>
          <cell r="I99">
            <v>45505</v>
          </cell>
        </row>
        <row r="100">
          <cell r="B100" t="str">
            <v>S04</v>
          </cell>
          <cell r="C100">
            <v>60592</v>
          </cell>
          <cell r="D100">
            <v>25800</v>
          </cell>
          <cell r="E100">
            <v>8616</v>
          </cell>
          <cell r="F100">
            <v>16757</v>
          </cell>
          <cell r="G100">
            <v>7285</v>
          </cell>
          <cell r="H100">
            <v>119050</v>
          </cell>
          <cell r="I100">
            <v>45505</v>
          </cell>
        </row>
        <row r="101">
          <cell r="B101" t="str">
            <v>S05</v>
          </cell>
          <cell r="C101">
            <v>61384</v>
          </cell>
          <cell r="D101">
            <v>22444</v>
          </cell>
          <cell r="E101">
            <v>9530</v>
          </cell>
          <cell r="F101">
            <v>12967</v>
          </cell>
          <cell r="G101">
            <v>8740</v>
          </cell>
          <cell r="H101">
            <v>115065</v>
          </cell>
          <cell r="I101">
            <v>45505</v>
          </cell>
        </row>
        <row r="102">
          <cell r="B102" t="str">
            <v>S01</v>
          </cell>
          <cell r="C102">
            <v>59020</v>
          </cell>
          <cell r="D102">
            <v>24395</v>
          </cell>
          <cell r="E102">
            <v>9150</v>
          </cell>
          <cell r="F102">
            <v>19976</v>
          </cell>
          <cell r="G102">
            <v>8976</v>
          </cell>
          <cell r="H102">
            <v>121517</v>
          </cell>
          <cell r="I102">
            <v>45536</v>
          </cell>
        </row>
        <row r="103">
          <cell r="B103" t="str">
            <v>S02</v>
          </cell>
          <cell r="C103">
            <v>60251</v>
          </cell>
          <cell r="D103">
            <v>25865</v>
          </cell>
          <cell r="E103">
            <v>9204</v>
          </cell>
          <cell r="F103">
            <v>15858</v>
          </cell>
          <cell r="G103">
            <v>8629</v>
          </cell>
          <cell r="H103">
            <v>119807</v>
          </cell>
          <cell r="I103">
            <v>45536</v>
          </cell>
        </row>
        <row r="104">
          <cell r="B104" t="str">
            <v>S03</v>
          </cell>
          <cell r="C104">
            <v>56209</v>
          </cell>
          <cell r="D104">
            <v>23973</v>
          </cell>
          <cell r="E104">
            <v>7607</v>
          </cell>
          <cell r="F104">
            <v>15715</v>
          </cell>
          <cell r="G104">
            <v>8842</v>
          </cell>
          <cell r="H104">
            <v>112346</v>
          </cell>
          <cell r="I104">
            <v>45536</v>
          </cell>
        </row>
        <row r="105">
          <cell r="B105" t="str">
            <v>S04</v>
          </cell>
          <cell r="C105">
            <v>51984</v>
          </cell>
          <cell r="D105">
            <v>25605</v>
          </cell>
          <cell r="E105">
            <v>7579</v>
          </cell>
          <cell r="F105">
            <v>15476</v>
          </cell>
          <cell r="G105">
            <v>7809</v>
          </cell>
          <cell r="H105">
            <v>108453</v>
          </cell>
          <cell r="I105">
            <v>45536</v>
          </cell>
        </row>
        <row r="106">
          <cell r="B106" t="str">
            <v>S05</v>
          </cell>
          <cell r="C106">
            <v>53755</v>
          </cell>
          <cell r="D106">
            <v>24787</v>
          </cell>
          <cell r="E106">
            <v>8932</v>
          </cell>
          <cell r="F106">
            <v>14400</v>
          </cell>
          <cell r="G106">
            <v>8215</v>
          </cell>
          <cell r="H106">
            <v>110089</v>
          </cell>
          <cell r="I106">
            <v>45536</v>
          </cell>
        </row>
        <row r="107">
          <cell r="B107" t="str">
            <v>S01</v>
          </cell>
          <cell r="C107">
            <v>52034</v>
          </cell>
          <cell r="D107">
            <v>23360</v>
          </cell>
          <cell r="E107">
            <v>8967</v>
          </cell>
          <cell r="F107">
            <v>14747</v>
          </cell>
          <cell r="G107">
            <v>7439</v>
          </cell>
          <cell r="H107">
            <v>106547</v>
          </cell>
          <cell r="I107">
            <v>45566</v>
          </cell>
        </row>
        <row r="108">
          <cell r="B108" t="str">
            <v>S02</v>
          </cell>
          <cell r="C108">
            <v>60558</v>
          </cell>
          <cell r="D108">
            <v>24731</v>
          </cell>
          <cell r="E108">
            <v>9045</v>
          </cell>
          <cell r="F108">
            <v>19992</v>
          </cell>
          <cell r="G108">
            <v>9574</v>
          </cell>
          <cell r="H108">
            <v>123900</v>
          </cell>
          <cell r="I108">
            <v>45566</v>
          </cell>
        </row>
        <row r="109">
          <cell r="B109" t="str">
            <v>S03</v>
          </cell>
          <cell r="C109">
            <v>52596</v>
          </cell>
          <cell r="D109">
            <v>23931</v>
          </cell>
          <cell r="E109">
            <v>8912</v>
          </cell>
          <cell r="F109">
            <v>17661</v>
          </cell>
          <cell r="G109">
            <v>8020</v>
          </cell>
          <cell r="H109">
            <v>111120</v>
          </cell>
          <cell r="I109">
            <v>45566</v>
          </cell>
        </row>
        <row r="110">
          <cell r="B110" t="str">
            <v>S04</v>
          </cell>
          <cell r="C110">
            <v>63065</v>
          </cell>
          <cell r="D110">
            <v>25389</v>
          </cell>
          <cell r="E110">
            <v>9601</v>
          </cell>
          <cell r="F110">
            <v>14694</v>
          </cell>
          <cell r="G110">
            <v>9216</v>
          </cell>
          <cell r="H110">
            <v>121965</v>
          </cell>
          <cell r="I110">
            <v>45566</v>
          </cell>
        </row>
        <row r="111">
          <cell r="B111" t="str">
            <v>S05</v>
          </cell>
          <cell r="C111">
            <v>63148</v>
          </cell>
          <cell r="D111">
            <v>25953</v>
          </cell>
          <cell r="E111">
            <v>8987</v>
          </cell>
          <cell r="F111">
            <v>18518</v>
          </cell>
          <cell r="G111">
            <v>7439</v>
          </cell>
          <cell r="H111">
            <v>124045</v>
          </cell>
          <cell r="I111">
            <v>45566</v>
          </cell>
        </row>
        <row r="112">
          <cell r="B112" t="str">
            <v>S01</v>
          </cell>
          <cell r="C112">
            <v>54890</v>
          </cell>
          <cell r="D112">
            <v>22668</v>
          </cell>
          <cell r="E112">
            <v>8875</v>
          </cell>
          <cell r="F112">
            <v>13017</v>
          </cell>
          <cell r="G112">
            <v>7472</v>
          </cell>
          <cell r="H112">
            <v>106922</v>
          </cell>
          <cell r="I112">
            <v>45597</v>
          </cell>
        </row>
        <row r="113">
          <cell r="B113" t="str">
            <v>S02</v>
          </cell>
          <cell r="C113">
            <v>53923</v>
          </cell>
          <cell r="D113">
            <v>24779</v>
          </cell>
          <cell r="E113">
            <v>10184</v>
          </cell>
          <cell r="F113">
            <v>17529</v>
          </cell>
          <cell r="G113">
            <v>8783</v>
          </cell>
          <cell r="H113">
            <v>115198</v>
          </cell>
          <cell r="I113">
            <v>45597</v>
          </cell>
        </row>
        <row r="114">
          <cell r="B114" t="str">
            <v>S03</v>
          </cell>
          <cell r="C114">
            <v>58330</v>
          </cell>
          <cell r="D114">
            <v>23083</v>
          </cell>
          <cell r="E114">
            <v>8140</v>
          </cell>
          <cell r="F114">
            <v>18713</v>
          </cell>
          <cell r="G114">
            <v>7409</v>
          </cell>
          <cell r="H114">
            <v>115675</v>
          </cell>
          <cell r="I114">
            <v>45597</v>
          </cell>
        </row>
        <row r="115">
          <cell r="B115" t="str">
            <v>S04</v>
          </cell>
          <cell r="C115">
            <v>53777</v>
          </cell>
          <cell r="D115">
            <v>23384</v>
          </cell>
          <cell r="E115">
            <v>7450</v>
          </cell>
          <cell r="F115">
            <v>11593</v>
          </cell>
          <cell r="G115">
            <v>7826</v>
          </cell>
          <cell r="H115">
            <v>104030</v>
          </cell>
          <cell r="I115">
            <v>45597</v>
          </cell>
        </row>
        <row r="116">
          <cell r="B116" t="str">
            <v>S05</v>
          </cell>
          <cell r="C116">
            <v>52169</v>
          </cell>
          <cell r="D116">
            <v>24236</v>
          </cell>
          <cell r="E116">
            <v>7339</v>
          </cell>
          <cell r="F116">
            <v>13396</v>
          </cell>
          <cell r="G116">
            <v>9476</v>
          </cell>
          <cell r="H116">
            <v>106616</v>
          </cell>
          <cell r="I116">
            <v>45597</v>
          </cell>
        </row>
        <row r="117">
          <cell r="B117" t="str">
            <v>S01</v>
          </cell>
          <cell r="C117">
            <v>54219</v>
          </cell>
          <cell r="D117">
            <v>23348</v>
          </cell>
          <cell r="E117">
            <v>10011</v>
          </cell>
          <cell r="F117">
            <v>15763</v>
          </cell>
          <cell r="G117">
            <v>7964</v>
          </cell>
          <cell r="H117">
            <v>111305</v>
          </cell>
          <cell r="I117">
            <v>45627</v>
          </cell>
        </row>
        <row r="118">
          <cell r="B118" t="str">
            <v>S02</v>
          </cell>
          <cell r="C118">
            <v>61340</v>
          </cell>
          <cell r="D118">
            <v>22419</v>
          </cell>
          <cell r="E118">
            <v>9489</v>
          </cell>
          <cell r="F118">
            <v>20067</v>
          </cell>
          <cell r="G118">
            <v>8991</v>
          </cell>
          <cell r="H118">
            <v>122306</v>
          </cell>
          <cell r="I118">
            <v>45627</v>
          </cell>
        </row>
        <row r="119">
          <cell r="B119" t="str">
            <v>S03</v>
          </cell>
          <cell r="C119">
            <v>53371</v>
          </cell>
          <cell r="D119">
            <v>22587</v>
          </cell>
          <cell r="E119">
            <v>10045</v>
          </cell>
          <cell r="F119">
            <v>15658</v>
          </cell>
          <cell r="G119">
            <v>7109</v>
          </cell>
          <cell r="H119">
            <v>108770</v>
          </cell>
          <cell r="I119">
            <v>45627</v>
          </cell>
        </row>
        <row r="120">
          <cell r="B120" t="str">
            <v>S04</v>
          </cell>
          <cell r="C120">
            <v>54092</v>
          </cell>
          <cell r="D120">
            <v>24941</v>
          </cell>
          <cell r="E120">
            <v>7627</v>
          </cell>
          <cell r="F120">
            <v>17406</v>
          </cell>
          <cell r="G120">
            <v>7230</v>
          </cell>
          <cell r="H120">
            <v>111296</v>
          </cell>
          <cell r="I120">
            <v>45627</v>
          </cell>
        </row>
        <row r="121">
          <cell r="B121" t="str">
            <v>S05</v>
          </cell>
          <cell r="C121">
            <v>52376</v>
          </cell>
          <cell r="D121">
            <v>25087</v>
          </cell>
          <cell r="E121">
            <v>8283</v>
          </cell>
          <cell r="F121">
            <v>17300</v>
          </cell>
          <cell r="G121">
            <v>9187</v>
          </cell>
          <cell r="H121">
            <v>112233</v>
          </cell>
          <cell r="I121">
            <v>45627</v>
          </cell>
        </row>
      </sheetData>
      <sheetData sheetId="11">
        <row r="1">
          <cell r="D1" t="str">
            <v>Total Net Revenue</v>
          </cell>
        </row>
        <row r="2">
          <cell r="B2" t="str">
            <v>Manchester</v>
          </cell>
          <cell r="D2">
            <v>11765610.340000002</v>
          </cell>
        </row>
        <row r="3">
          <cell r="B3" t="str">
            <v>Birmingham</v>
          </cell>
          <cell r="D3">
            <v>11294839.100000003</v>
          </cell>
        </row>
        <row r="4">
          <cell r="B4" t="str">
            <v>London Stratford</v>
          </cell>
          <cell r="D4">
            <v>11556377.500000009</v>
          </cell>
        </row>
        <row r="5">
          <cell r="B5" t="str">
            <v>Glasgow</v>
          </cell>
          <cell r="D5">
            <v>11541196.750000004</v>
          </cell>
        </row>
        <row r="6">
          <cell r="B6" t="str">
            <v>Leeds</v>
          </cell>
          <cell r="D6">
            <v>11374008.770000003</v>
          </cell>
        </row>
      </sheetData>
      <sheetData sheetId="12">
        <row r="2">
          <cell r="B2">
            <v>2329918.2399999998</v>
          </cell>
        </row>
        <row r="3">
          <cell r="B3">
            <v>2487689.44</v>
          </cell>
        </row>
        <row r="4">
          <cell r="B4">
            <v>2444790.6</v>
          </cell>
        </row>
        <row r="5">
          <cell r="B5">
            <v>2436376.56</v>
          </cell>
        </row>
        <row r="6">
          <cell r="B6">
            <v>2336372.2800000007</v>
          </cell>
        </row>
        <row r="7">
          <cell r="B7">
            <v>2423490.7999999998</v>
          </cell>
        </row>
        <row r="8">
          <cell r="B8">
            <v>2219220.1599999997</v>
          </cell>
        </row>
        <row r="9">
          <cell r="B9">
            <v>2450806.48</v>
          </cell>
        </row>
        <row r="10">
          <cell r="B10">
            <v>2400931.36</v>
          </cell>
        </row>
        <row r="11">
          <cell r="B11">
            <v>2284842.04</v>
          </cell>
        </row>
        <row r="12">
          <cell r="B12">
            <v>2279626.16</v>
          </cell>
        </row>
        <row r="13">
          <cell r="B13">
            <v>2491954.3599999994</v>
          </cell>
        </row>
        <row r="14">
          <cell r="B14">
            <v>2423695.8599999994</v>
          </cell>
        </row>
        <row r="15">
          <cell r="B15">
            <v>2357448.6500000004</v>
          </cell>
        </row>
        <row r="16">
          <cell r="B16">
            <v>2338098.14</v>
          </cell>
        </row>
        <row r="17">
          <cell r="B17">
            <v>2357454.1</v>
          </cell>
        </row>
        <row r="18">
          <cell r="B18">
            <v>2542740.06</v>
          </cell>
        </row>
        <row r="19">
          <cell r="B19">
            <v>2447755.63</v>
          </cell>
        </row>
        <row r="20">
          <cell r="B20">
            <v>2297132.6600000011</v>
          </cell>
        </row>
        <row r="21">
          <cell r="B21">
            <v>2377319.5699999998</v>
          </cell>
        </row>
        <row r="22">
          <cell r="B22">
            <v>2373028.5599999991</v>
          </cell>
        </row>
        <row r="23">
          <cell r="B23">
            <v>2437406.1600000006</v>
          </cell>
        </row>
        <row r="24">
          <cell r="B24">
            <v>2538509.6299999994</v>
          </cell>
        </row>
        <row r="25">
          <cell r="B25">
            <v>2455424.96</v>
          </cell>
        </row>
      </sheetData>
      <sheetData sheetId="13">
        <row r="2">
          <cell r="C2" t="str">
            <v>n/a</v>
          </cell>
        </row>
        <row r="3">
          <cell r="C3">
            <v>4.7569849968556281E-2</v>
          </cell>
        </row>
        <row r="4">
          <cell r="C4">
            <v>2.6585480897045582E-3</v>
          </cell>
        </row>
        <row r="5">
          <cell r="C5">
            <v>-1.5908993713381517E-2</v>
          </cell>
        </row>
        <row r="6">
          <cell r="C6">
            <v>-3.3549172135065836E-2</v>
          </cell>
        </row>
        <row r="7">
          <cell r="C7">
            <v>1.8436080759026936E-2</v>
          </cell>
        </row>
        <row r="8">
          <cell r="C8">
            <v>-7.4087156165835139E-2</v>
          </cell>
        </row>
        <row r="9">
          <cell r="C9">
            <v>0.11349005769872682</v>
          </cell>
        </row>
        <row r="10">
          <cell r="C10">
            <v>-4.5822448717399683E-2</v>
          </cell>
        </row>
        <row r="11">
          <cell r="C11">
            <v>-2.9846057178762174E-2</v>
          </cell>
        </row>
        <row r="12">
          <cell r="C12">
            <v>2.3732420429311622E-2</v>
          </cell>
        </row>
        <row r="13">
          <cell r="C13">
            <v>3.1768267883772426E-2</v>
          </cell>
        </row>
        <row r="14">
          <cell r="C14">
            <v>7.4205063069376312E-2</v>
          </cell>
        </row>
        <row r="15">
          <cell r="C15">
            <v>-1.6084807094439629E-2</v>
          </cell>
        </row>
        <row r="16">
          <cell r="C16">
            <v>-1.7414816579817045E-2</v>
          </cell>
        </row>
        <row r="17">
          <cell r="C17">
            <v>1.6721843831052442E-2</v>
          </cell>
        </row>
        <row r="18">
          <cell r="C18">
            <v>6.7840550854488132E-2</v>
          </cell>
        </row>
        <row r="19">
          <cell r="C19">
            <v>-5.5548002408374927E-3</v>
          </cell>
        </row>
        <row r="20">
          <cell r="C20">
            <v>-7.8377375441885902E-2</v>
          </cell>
        </row>
        <row r="21">
          <cell r="C21">
            <v>2.6479189624480801E-2</v>
          </cell>
        </row>
        <row r="22">
          <cell r="C22">
            <v>4.4541935483870969E-2</v>
          </cell>
        </row>
        <row r="23">
          <cell r="C23">
            <v>2.6978950489178772E-3</v>
          </cell>
        </row>
        <row r="24">
          <cell r="C24">
            <v>2.09928742497265E-3</v>
          </cell>
        </row>
        <row r="25">
          <cell r="C25">
            <v>-1.7722963137810299E-2</v>
          </cell>
        </row>
      </sheetData>
      <sheetData sheetId="14">
        <row r="1">
          <cell r="E1" t="str">
            <v>Gross Margin %</v>
          </cell>
          <cell r="M1" t="str">
            <v>Operating Margin %</v>
          </cell>
          <cell r="N1" t="str">
            <v>Revenue Growth % (MoM)</v>
          </cell>
          <cell r="O1" t="str">
            <v>Total Cost Growth % (MoM)</v>
          </cell>
        </row>
        <row r="2">
          <cell r="A2">
            <v>44927</v>
          </cell>
          <cell r="E2">
            <v>0.45399457450489761</v>
          </cell>
          <cell r="M2">
            <v>0.23617534321719366</v>
          </cell>
          <cell r="N2" t="str">
            <v>n/a</v>
          </cell>
          <cell r="O2" t="str">
            <v>n/a</v>
          </cell>
          <cell r="P2" t="str">
            <v>n/a</v>
          </cell>
          <cell r="Q2" t="str">
            <v>n/a</v>
          </cell>
          <cell r="R2" t="str">
            <v>n/a</v>
          </cell>
          <cell r="S2" t="str">
            <v>n/a</v>
          </cell>
          <cell r="T2" t="str">
            <v>n/a</v>
          </cell>
        </row>
        <row r="3">
          <cell r="A3">
            <v>44958</v>
          </cell>
          <cell r="E3">
            <v>0.45220011063760435</v>
          </cell>
          <cell r="M3">
            <v>0.24838528076076891</v>
          </cell>
          <cell r="N3">
            <v>6.7715337513302706E-2</v>
          </cell>
          <cell r="O3">
            <v>5.0647627706362323E-2</v>
          </cell>
          <cell r="P3">
            <v>1.7067709806940383E-2</v>
          </cell>
          <cell r="Q3">
            <v>-4.0897657726937743E-2</v>
          </cell>
          <cell r="R3">
            <v>0.15771254889820729</v>
          </cell>
          <cell r="S3">
            <v>-1.7944638672932611E-3</v>
          </cell>
          <cell r="T3">
            <v>1.2209937543575244E-2</v>
          </cell>
        </row>
        <row r="4">
          <cell r="A4">
            <v>44986</v>
          </cell>
          <cell r="E4">
            <v>0.45461995804466854</v>
          </cell>
          <cell r="M4">
            <v>0.24909683471459684</v>
          </cell>
          <cell r="N4">
            <v>-1.7244451542150634E-2</v>
          </cell>
          <cell r="O4">
            <v>-1.817482661098822E-2</v>
          </cell>
          <cell r="P4">
            <v>9.3037506883758558E-4</v>
          </cell>
          <cell r="Q4">
            <v>2.1494105511962281E-2</v>
          </cell>
          <cell r="R4">
            <v>-6.9183460145367914E-2</v>
          </cell>
          <cell r="S4">
            <v>2.4198474070641907E-3</v>
          </cell>
          <cell r="T4">
            <v>7.1155395382793696E-4</v>
          </cell>
        </row>
        <row r="5">
          <cell r="A5">
            <v>45017</v>
          </cell>
          <cell r="E5">
            <v>0.45241305391642744</v>
          </cell>
          <cell r="M5">
            <v>0.23925019209674223</v>
          </cell>
          <cell r="N5">
            <v>-3.4416199080608526E-3</v>
          </cell>
          <cell r="O5">
            <v>9.6263157063320049E-3</v>
          </cell>
          <cell r="P5">
            <v>-1.3067935614392857E-2</v>
          </cell>
          <cell r="Q5">
            <v>5.5476517530088962E-2</v>
          </cell>
          <cell r="R5">
            <v>-0.10569063226345617</v>
          </cell>
          <cell r="S5">
            <v>-2.2069041282410939E-3</v>
          </cell>
          <cell r="T5">
            <v>-9.8466426178546174E-3</v>
          </cell>
        </row>
        <row r="6">
          <cell r="A6">
            <v>45047</v>
          </cell>
          <cell r="E6">
            <v>0.45317105029169424</v>
          </cell>
          <cell r="M6">
            <v>0.23678259014440992</v>
          </cell>
          <cell r="N6">
            <v>-4.1046315106561086E-2</v>
          </cell>
          <cell r="O6">
            <v>-3.7935810233005823E-2</v>
          </cell>
          <cell r="P6">
            <v>-3.1105048735552629E-3</v>
          </cell>
          <cell r="Q6">
            <v>-6.2251624847973107E-2</v>
          </cell>
          <cell r="R6">
            <v>0.12188996612545264</v>
          </cell>
          <cell r="S6">
            <v>7.5799637526680064E-4</v>
          </cell>
          <cell r="T6">
            <v>-2.4676019523323101E-3</v>
          </cell>
        </row>
        <row r="7">
          <cell r="A7">
            <v>45078</v>
          </cell>
          <cell r="E7">
            <v>0.45064862635335767</v>
          </cell>
          <cell r="M7">
            <v>0.23633545462602948</v>
          </cell>
          <cell r="N7">
            <v>3.7287944539386102E-2</v>
          </cell>
          <cell r="O7">
            <v>3.7895645931941051E-2</v>
          </cell>
          <cell r="P7">
            <v>-6.0770139255494904E-4</v>
          </cell>
          <cell r="Q7">
            <v>5.2051580712580439E-2</v>
          </cell>
          <cell r="R7">
            <v>2.3166224165755634E-2</v>
          </cell>
          <cell r="S7">
            <v>-2.522423938336571E-3</v>
          </cell>
          <cell r="T7">
            <v>-4.4713551838043708E-4</v>
          </cell>
        </row>
        <row r="8">
          <cell r="A8">
            <v>45108</v>
          </cell>
          <cell r="E8">
            <v>0.45369818558245245</v>
          </cell>
          <cell r="M8">
            <v>0.22301580028905277</v>
          </cell>
          <cell r="N8">
            <v>-8.42877720022705E-2</v>
          </cell>
          <cell r="O8">
            <v>-6.8316138353755856E-2</v>
          </cell>
          <cell r="P8">
            <v>-1.5971633648514644E-2</v>
          </cell>
          <cell r="Q8">
            <v>-3.2539221382916907E-2</v>
          </cell>
          <cell r="R8">
            <v>-8.9803602320138398E-2</v>
          </cell>
          <cell r="S8">
            <v>3.0495592290947782E-3</v>
          </cell>
          <cell r="T8">
            <v>-1.3319654336976711E-2</v>
          </cell>
        </row>
        <row r="9">
          <cell r="A9">
            <v>45139</v>
          </cell>
          <cell r="E9">
            <v>0.45234190828481896</v>
          </cell>
          <cell r="M9">
            <v>0.24216129867585465</v>
          </cell>
          <cell r="N9">
            <v>0.10435481984806785</v>
          </cell>
          <cell r="O9">
            <v>7.7142653333325595E-2</v>
          </cell>
          <cell r="P9">
            <v>2.7212166514742259E-2</v>
          </cell>
          <cell r="Q9">
            <v>3.1442253063874687E-2</v>
          </cell>
          <cell r="R9">
            <v>5.2741908435351335E-2</v>
          </cell>
          <cell r="S9">
            <v>-1.3562772976334903E-3</v>
          </cell>
          <cell r="T9">
            <v>1.9145498386801879E-2</v>
          </cell>
        </row>
        <row r="10">
          <cell r="A10">
            <v>45170</v>
          </cell>
          <cell r="E10">
            <v>0.45483156169862343</v>
          </cell>
          <cell r="M10">
            <v>0.24251728712477641</v>
          </cell>
          <cell r="N10">
            <v>-2.0350492952834087E-2</v>
          </cell>
          <cell r="O10">
            <v>-2.0810675189359269E-2</v>
          </cell>
          <cell r="P10">
            <v>4.6018223652518134E-4</v>
          </cell>
          <cell r="Q10">
            <v>-2.9665418148626107E-2</v>
          </cell>
          <cell r="R10">
            <v>5.3365193150139391E-3</v>
          </cell>
          <cell r="S10">
            <v>2.4896534138044712E-3</v>
          </cell>
          <cell r="T10">
            <v>3.559884489217624E-4</v>
          </cell>
        </row>
        <row r="11">
          <cell r="A11">
            <v>45200</v>
          </cell>
          <cell r="E11">
            <v>0.45592387647069027</v>
          </cell>
          <cell r="M11">
            <v>0.22542566662507665</v>
          </cell>
          <cell r="N11">
            <v>-4.8351786283469526E-2</v>
          </cell>
          <cell r="O11">
            <v>-2.6879071670193065E-2</v>
          </cell>
          <cell r="P11">
            <v>-2.1472714613276461E-2</v>
          </cell>
          <cell r="Q11">
            <v>2.3407723372853042E-2</v>
          </cell>
          <cell r="R11">
            <v>-6.681455659430624E-3</v>
          </cell>
          <cell r="S11">
            <v>1.092314772066838E-3</v>
          </cell>
          <cell r="T11">
            <v>-1.7091620499699756E-2</v>
          </cell>
        </row>
        <row r="12">
          <cell r="A12">
            <v>45231</v>
          </cell>
          <cell r="E12">
            <v>0.4582480137883661</v>
          </cell>
          <cell r="M12">
            <v>0.23761315320227774</v>
          </cell>
          <cell r="N12">
            <v>-2.2828186407143876E-3</v>
          </cell>
          <cell r="O12">
            <v>-1.7981331012894258E-2</v>
          </cell>
          <cell r="P12">
            <v>1.5698512372179872E-2</v>
          </cell>
          <cell r="Q12">
            <v>-1.5673471975150653E-2</v>
          </cell>
          <cell r="R12">
            <v>-4.9796612873208732E-2</v>
          </cell>
          <cell r="S12">
            <v>2.324137317675834E-3</v>
          </cell>
          <cell r="T12">
            <v>1.218748657720109E-2</v>
          </cell>
        </row>
        <row r="13">
          <cell r="A13">
            <v>45261</v>
          </cell>
          <cell r="E13">
            <v>0.44958863532316046</v>
          </cell>
          <cell r="M13">
            <v>0.24746133793557903</v>
          </cell>
          <cell r="N13">
            <v>9.3141675475420599E-2</v>
          </cell>
          <cell r="O13">
            <v>7.9020942405364461E-2</v>
          </cell>
          <cell r="P13">
            <v>1.4120733070056138E-2</v>
          </cell>
          <cell r="Q13">
            <v>-4.6247660447986477E-2</v>
          </cell>
          <cell r="R13">
            <v>2.2663682148852827E-2</v>
          </cell>
          <cell r="S13">
            <v>-8.6593784652056471E-3</v>
          </cell>
          <cell r="T13">
            <v>9.8481847333012906E-3</v>
          </cell>
        </row>
        <row r="14">
          <cell r="A14">
            <v>45292</v>
          </cell>
          <cell r="E14">
            <v>0.35717498811917736</v>
          </cell>
          <cell r="M14">
            <v>0.11554896165891011</v>
          </cell>
          <cell r="N14">
            <v>-2.7391553029887761E-2</v>
          </cell>
          <cell r="O14">
            <v>0.14309681905537927</v>
          </cell>
          <cell r="P14">
            <v>-0.17048837208526704</v>
          </cell>
          <cell r="Q14">
            <v>0.23997805490493976</v>
          </cell>
          <cell r="R14">
            <v>0.1598358413132695</v>
          </cell>
          <cell r="S14">
            <v>-9.2413647203983096E-2</v>
          </cell>
          <cell r="T14">
            <v>-0.13191237627666891</v>
          </cell>
        </row>
        <row r="15">
          <cell r="A15">
            <v>45323</v>
          </cell>
          <cell r="E15">
            <v>0.36346322538138848</v>
          </cell>
          <cell r="M15">
            <v>0.11178011873132426</v>
          </cell>
          <cell r="N15">
            <v>-2.7333136592476191E-2</v>
          </cell>
          <cell r="O15">
            <v>-2.3188386380043481E-2</v>
          </cell>
          <cell r="P15">
            <v>-4.1447502124327094E-3</v>
          </cell>
          <cell r="Q15">
            <v>-4.5878585115326099E-3</v>
          </cell>
          <cell r="R15">
            <v>6.4634836761653144E-2</v>
          </cell>
          <cell r="S15">
            <v>6.288237262211116E-3</v>
          </cell>
          <cell r="T15">
            <v>-3.7688429275858498E-3</v>
          </cell>
        </row>
        <row r="16">
          <cell r="A16">
            <v>45352</v>
          </cell>
          <cell r="E16">
            <v>0.36171399546128558</v>
          </cell>
          <cell r="M16">
            <v>0.11979172952936881</v>
          </cell>
          <cell r="N16">
            <v>-8.2082424149515359E-3</v>
          </cell>
          <cell r="O16">
            <v>-1.7154056083443867E-2</v>
          </cell>
          <cell r="P16">
            <v>8.9458136684923313E-3</v>
          </cell>
          <cell r="Q16">
            <v>-3.3893958717274533E-2</v>
          </cell>
          <cell r="R16">
            <v>-2.9557741735354071E-2</v>
          </cell>
          <cell r="S16">
            <v>-1.7492299201029016E-3</v>
          </cell>
          <cell r="T16">
            <v>8.0116107980445495E-3</v>
          </cell>
        </row>
        <row r="17">
          <cell r="A17">
            <v>45383</v>
          </cell>
          <cell r="E17">
            <v>0.35762502438541638</v>
          </cell>
          <cell r="M17">
            <v>0.1105797054542864</v>
          </cell>
          <cell r="N17">
            <v>8.278506222155398E-3</v>
          </cell>
          <cell r="O17">
            <v>1.8830879092658362E-2</v>
          </cell>
          <cell r="P17">
            <v>-1.0552372870502964E-2</v>
          </cell>
          <cell r="Q17">
            <v>4.7951217095251242E-2</v>
          </cell>
          <cell r="R17">
            <v>-6.529978537832778E-3</v>
          </cell>
          <cell r="S17">
            <v>-4.0889710758691966E-3</v>
          </cell>
          <cell r="T17">
            <v>-9.2120240750824117E-3</v>
          </cell>
        </row>
        <row r="18">
          <cell r="A18">
            <v>45413</v>
          </cell>
          <cell r="E18">
            <v>0.36293958415867339</v>
          </cell>
          <cell r="M18">
            <v>0.14009258185832815</v>
          </cell>
          <cell r="N18">
            <v>7.8595786870251247E-2</v>
          </cell>
          <cell r="O18">
            <v>4.2805661163618072E-2</v>
          </cell>
          <cell r="P18">
            <v>3.5790125706633175E-2</v>
          </cell>
          <cell r="Q18">
            <v>-4.7422046760123876E-2</v>
          </cell>
          <cell r="R18">
            <v>3.962125390696819E-2</v>
          </cell>
          <cell r="S18">
            <v>5.3145597732570105E-3</v>
          </cell>
          <cell r="T18">
            <v>2.9512876404041752E-2</v>
          </cell>
        </row>
        <row r="19">
          <cell r="A19">
            <v>45444</v>
          </cell>
          <cell r="E19">
            <v>0.36655117815008365</v>
          </cell>
          <cell r="M19">
            <v>0.13115635648645213</v>
          </cell>
          <cell r="N19">
            <v>-3.7355147501785993E-2</v>
          </cell>
          <cell r="O19">
            <v>-2.7351266649599727E-2</v>
          </cell>
          <cell r="P19">
            <v>-1.0003880852186266E-2</v>
          </cell>
          <cell r="Q19">
            <v>2.9946998032368426E-2</v>
          </cell>
          <cell r="R19">
            <v>5.0203377840657884E-2</v>
          </cell>
          <cell r="S19">
            <v>3.6115939914102557E-3</v>
          </cell>
          <cell r="T19">
            <v>-8.9362253718760221E-3</v>
          </cell>
        </row>
        <row r="20">
          <cell r="A20">
            <v>45474</v>
          </cell>
          <cell r="E20">
            <v>0.36100649929377637</v>
          </cell>
          <cell r="M20">
            <v>0.10496860899622613</v>
          </cell>
          <cell r="N20">
            <v>-6.1535133717575727E-2</v>
          </cell>
          <cell r="O20">
            <v>-3.3248938462388238E-2</v>
          </cell>
          <cell r="P20">
            <v>-2.8286195255187489E-2</v>
          </cell>
          <cell r="Q20">
            <v>-4.2339042793413008E-4</v>
          </cell>
          <cell r="R20">
            <v>-6.4706253815227224E-2</v>
          </cell>
          <cell r="S20">
            <v>-5.5446788563072724E-3</v>
          </cell>
          <cell r="T20">
            <v>-2.6187747490225996E-2</v>
          </cell>
        </row>
        <row r="21">
          <cell r="A21">
            <v>45505</v>
          </cell>
          <cell r="E21">
            <v>0.36185849847692136</v>
          </cell>
          <cell r="M21">
            <v>0.12057036572495816</v>
          </cell>
          <cell r="N21">
            <v>3.490739189612093E-2</v>
          </cell>
          <cell r="O21">
            <v>1.6867383995368163E-2</v>
          </cell>
          <cell r="P21">
            <v>1.8040007900752768E-2</v>
          </cell>
          <cell r="Q21">
            <v>1.2658881706951709E-2</v>
          </cell>
          <cell r="R21">
            <v>-6.7832466860216503E-2</v>
          </cell>
          <cell r="S21">
            <v>8.5199918314499135E-4</v>
          </cell>
          <cell r="T21">
            <v>1.5601756728732027E-2</v>
          </cell>
        </row>
        <row r="22">
          <cell r="A22">
            <v>45536</v>
          </cell>
          <cell r="E22">
            <v>0.36323820729742895</v>
          </cell>
          <cell r="M22">
            <v>0.1221066804185446</v>
          </cell>
          <cell r="N22">
            <v>-1.8049782007223826E-3</v>
          </cell>
          <cell r="O22">
            <v>-3.5487694254964122E-3</v>
          </cell>
          <cell r="P22">
            <v>1.7437912247740296E-3</v>
          </cell>
          <cell r="Q22">
            <v>-4.3684219475286078E-2</v>
          </cell>
          <cell r="R22">
            <v>2.5398971486515851E-2</v>
          </cell>
          <cell r="S22">
            <v>1.3797088205075858E-3</v>
          </cell>
          <cell r="T22">
            <v>1.5363146935864352E-3</v>
          </cell>
        </row>
        <row r="23">
          <cell r="A23">
            <v>45566</v>
          </cell>
          <cell r="E23">
            <v>0.36465152775358545</v>
          </cell>
          <cell r="M23">
            <v>0.12358501629453512</v>
          </cell>
          <cell r="N23">
            <v>2.712887703298502E-2</v>
          </cell>
          <cell r="O23">
            <v>2.5399234678595471E-2</v>
          </cell>
          <cell r="P23">
            <v>1.7296423543895489E-3</v>
          </cell>
          <cell r="Q23">
            <v>3.6206657444909481E-2</v>
          </cell>
          <cell r="R23">
            <v>-1.8436109345200253E-2</v>
          </cell>
          <cell r="S23">
            <v>1.4133204561564972E-3</v>
          </cell>
          <cell r="T23">
            <v>1.4783358759905274E-3</v>
          </cell>
        </row>
        <row r="24">
          <cell r="A24">
            <v>45597</v>
          </cell>
          <cell r="E24">
            <v>0.35572596586919381</v>
          </cell>
          <cell r="M24">
            <v>0.13967754378776953</v>
          </cell>
          <cell r="N24">
            <v>4.1479943580678726E-2</v>
          </cell>
          <cell r="O24">
            <v>2.2356531798211048E-2</v>
          </cell>
          <cell r="P24">
            <v>1.9123411782467677E-2</v>
          </cell>
          <cell r="Q24">
            <v>-6.2841239391765988E-2</v>
          </cell>
          <cell r="R24">
            <v>-1.7319132604106696E-2</v>
          </cell>
          <cell r="S24">
            <v>-8.9255618843916418E-3</v>
          </cell>
          <cell r="T24">
            <v>1.6092527493234407E-2</v>
          </cell>
        </row>
        <row r="25">
          <cell r="A25">
            <v>45627</v>
          </cell>
          <cell r="E25">
            <v>0.35862797452380712</v>
          </cell>
          <cell r="M25">
            <v>0.12815463112340444</v>
          </cell>
          <cell r="N25">
            <v>-3.2729704476243994E-2</v>
          </cell>
          <cell r="O25">
            <v>-1.9774363071781858E-2</v>
          </cell>
          <cell r="P25">
            <v>-1.2955341404462136E-2</v>
          </cell>
          <cell r="Q25">
            <v>8.4551190271303488E-3</v>
          </cell>
          <cell r="R25">
            <v>-1.1839086071376263E-2</v>
          </cell>
          <cell r="S25">
            <v>2.9020086546133195E-3</v>
          </cell>
          <cell r="T25">
            <v>-1.1522912664365087E-2</v>
          </cell>
        </row>
      </sheetData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uwa Muhammed" refreshedDate="46261.720327083334" createdVersion="8" refreshedVersion="8" minRefreshableVersion="3" recordCount="1080" xr:uid="{896D309A-F191-48F4-97DC-9605BC688A71}">
  <cacheSource type="worksheet">
    <worksheetSource name="Table5"/>
  </cacheSource>
  <cacheFields count="22">
    <cacheField name="Transaction ID" numFmtId="0">
      <sharedItems/>
    </cacheField>
    <cacheField name="Date" numFmtId="0">
      <sharedItems count="24">
        <s v="2023-01-28"/>
        <s v="2023-02-28"/>
        <s v="2023-03-28"/>
        <s v="2023-04-28"/>
        <s v="2023-05-28"/>
        <s v="2023-06-28"/>
        <s v="2023-07-28"/>
        <s v="2023-08-28"/>
        <s v="2023-09-28"/>
        <s v="2023-10-28"/>
        <s v="2023-11-28"/>
        <s v="2023-12-28"/>
        <s v="2024-01-28"/>
        <s v="2024-02-28"/>
        <s v="2024-03-28"/>
        <s v="2024-04-28"/>
        <s v="2024-05-28"/>
        <s v="2024-06-28"/>
        <s v="2024-07-28"/>
        <s v="2024-08-28"/>
        <s v="2024-09-28"/>
        <s v="2024-10-28"/>
        <s v="2024-11-28"/>
        <s v="2024-12-28"/>
      </sharedItems>
    </cacheField>
    <cacheField name="Store ID" numFmtId="0">
      <sharedItems/>
    </cacheField>
    <cacheField name="Product ID" numFmtId="0">
      <sharedItems count="9">
        <s v="P01"/>
        <s v="P02"/>
        <s v="P03"/>
        <s v="P04"/>
        <s v="P05"/>
        <s v="P06"/>
        <s v="P07"/>
        <s v="P08"/>
        <s v="P09"/>
      </sharedItems>
    </cacheField>
    <cacheField name="Category" numFmtId="0">
      <sharedItems count="5">
        <s v="Womenswear"/>
        <s v="Menswear"/>
        <s v="Kidswear"/>
        <s v="Footwear"/>
        <s v="Accessories"/>
      </sharedItems>
    </cacheField>
    <cacheField name="Units Sold" numFmtId="0">
      <sharedItems containsSemiMixedTypes="0" containsString="0" containsNumber="1" containsInteger="1" minValue="1204" maxValue="3080"/>
    </cacheField>
    <cacheField name="Selling Price" numFmtId="164">
      <sharedItems containsSemiMixedTypes="0" containsString="0" containsNumber="1" containsInteger="1" minValue="10" maxValue="50"/>
    </cacheField>
    <cacheField name="Discount %" numFmtId="0">
      <sharedItems containsSemiMixedTypes="0" containsString="0" containsNumber="1" minValue="0.05" maxValue="0.17"/>
    </cacheField>
    <cacheField name="Net Sales Revenue" numFmtId="164">
      <sharedItems containsSemiMixedTypes="0" containsString="0" containsNumber="1" minValue="11113.6" maxValue="134332"/>
    </cacheField>
    <cacheField name="Cost of Sales" numFmtId="164">
      <sharedItems containsSemiMixedTypes="0" containsString="0" containsNumber="1" minValue="4832" maxValue="92322.72"/>
    </cacheField>
    <cacheField name="Total Revenue" numFmtId="164">
      <sharedItems containsSemiMixedTypes="0" containsString="0" containsNumber="1" containsInteger="1" minValue="12080" maxValue="152650"/>
    </cacheField>
    <cacheField name="month Key" numFmtId="0">
      <sharedItems/>
    </cacheField>
    <cacheField name="Store Location" numFmtId="0">
      <sharedItems count="5">
        <s v="Manchester"/>
        <s v="Birmingham"/>
        <s v="London Stratford"/>
        <s v="Glasgow"/>
        <s v="Leeds"/>
      </sharedItems>
    </cacheField>
    <cacheField name="Region" numFmtId="0">
      <sharedItems count="4">
        <s v="North"/>
        <s v="Midlands"/>
        <s v="South"/>
        <s v="Scotland"/>
      </sharedItems>
    </cacheField>
    <cacheField name="Supplier" numFmtId="0">
      <sharedItems count="6">
        <s v="Supplier A"/>
        <s v="Supplier B"/>
        <s v="Supplier C"/>
        <s v="Supplier D"/>
        <s v="Supplier E"/>
        <s v="Supplier F"/>
      </sharedItems>
    </cacheField>
    <cacheField name="Discount Amount" numFmtId="164">
      <sharedItems containsSemiMixedTypes="0" containsString="0" containsNumber="1" minValue="844.79999999999927" maxValue="24320"/>
    </cacheField>
    <cacheField name="Revemue per unit" numFmtId="164">
      <sharedItems containsSemiMixedTypes="0" containsString="0" containsNumber="1" minValue="8.2999999999999989" maxValue="47.5"/>
    </cacheField>
    <cacheField name="standard product cost per unit" numFmtId="0">
      <sharedItems containsSemiMixedTypes="0" containsString="0" containsNumber="1" containsInteger="1" minValue="4" maxValue="28"/>
    </cacheField>
    <cacheField name="Standard cost" numFmtId="164">
      <sharedItems containsSemiMixedTypes="0" containsString="0" containsNumber="1" containsInteger="1" minValue="4832" maxValue="85484"/>
    </cacheField>
    <cacheField name="Variance_x000a_Actual-Std COS" numFmtId="164">
      <sharedItems containsSemiMixedTypes="0" containsString="0" containsNumber="1" minValue="0" maxValue="6838.7200000000012"/>
    </cacheField>
    <cacheField name="GrossProfit" numFmtId="164">
      <sharedItems containsSemiMixedTypes="0" containsString="0" containsNumber="1" minValue="5816.64" maxValue="53200"/>
    </cacheField>
    <cacheField name="GP Margin" numFmtId="9">
      <sharedItems containsSemiMixedTypes="0" containsString="0" containsNumber="1" minValue="0.27132530120481924" maxValue="0.578947368421052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uwa Muhammed" refreshedDate="46261.75578738426" createdVersion="8" refreshedVersion="8" minRefreshableVersion="3" recordCount="120" xr:uid="{39461108-1299-47E9-8678-028B90A83E18}">
  <cacheSource type="worksheet">
    <worksheetSource name="Table2"/>
  </cacheSource>
  <cacheFields count="10">
    <cacheField name="Month" numFmtId="0">
      <sharedItems count="24">
        <s v="2023-01-28"/>
        <s v="2023-02-28"/>
        <s v="2023-03-28"/>
        <s v="2023-04-28"/>
        <s v="2023-05-28"/>
        <s v="2023-06-28"/>
        <s v="2023-07-28"/>
        <s v="2023-08-28"/>
        <s v="2023-09-28"/>
        <s v="2023-10-28"/>
        <s v="2023-11-28"/>
        <s v="2023-12-28"/>
        <s v="2024-01-28"/>
        <s v="2024-02-28"/>
        <s v="2024-03-28"/>
        <s v="2024-04-28"/>
        <s v="2024-05-28"/>
        <s v="2024-06-28"/>
        <s v="2024-07-28"/>
        <s v="2024-08-28"/>
        <s v="2024-09-28"/>
        <s v="2024-10-28"/>
        <s v="2024-11-28"/>
        <s v="2024-12-28"/>
      </sharedItems>
    </cacheField>
    <cacheField name="Store ID" numFmtId="0">
      <sharedItems/>
    </cacheField>
    <cacheField name="Staff Cost" numFmtId="164">
      <sharedItems containsSemiMixedTypes="0" containsString="0" containsNumber="1" containsInteger="1" minValue="45206" maxValue="63148"/>
    </cacheField>
    <cacheField name="Rent Expense" numFmtId="164">
      <sharedItems containsSemiMixedTypes="0" containsString="0" containsNumber="1" containsInteger="1" minValue="22048" maxValue="25959"/>
    </cacheField>
    <cacheField name="Utilities Expense" numFmtId="164">
      <sharedItems containsSemiMixedTypes="0" containsString="0" containsNumber="1" containsInteger="1" minValue="6010" maxValue="10237"/>
    </cacheField>
    <cacheField name="Marketing Expense" numFmtId="164">
      <sharedItems containsSemiMixedTypes="0" containsString="0" containsNumber="1" containsInteger="1" minValue="10022" maxValue="20624"/>
    </cacheField>
    <cacheField name="Logistics Cost" numFmtId="164">
      <sharedItems containsSemiMixedTypes="0" containsString="0" containsNumber="1" containsInteger="1" minValue="6048" maxValue="10302"/>
    </cacheField>
    <cacheField name="Total OPEX" numFmtId="164">
      <sharedItems containsSemiMixedTypes="0" containsString="0" containsNumber="1" containsInteger="1" minValue="94486" maxValue="124592"/>
    </cacheField>
    <cacheField name="Month_x000a_(Date)" numFmtId="14">
      <sharedItems containsDate="1" containsMixedTypes="1" minDate="2023-01-01T00:00:00" maxDate="2024-12-02T00:00:00" count="25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e v="#VALUE!"/>
      </sharedItems>
    </cacheField>
    <cacheField name="Storelocation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">
  <r>
    <s v="TX00001"/>
    <x v="0"/>
    <s v="S01"/>
    <x v="0"/>
    <x v="0"/>
    <n v="2680"/>
    <n v="24"/>
    <n v="0.1"/>
    <n v="57888"/>
    <n v="32160"/>
    <n v="64320"/>
    <s v="2023-01"/>
    <x v="0"/>
    <x v="0"/>
    <x v="0"/>
    <n v="6432"/>
    <n v="21.6"/>
    <n v="12"/>
    <n v="32160"/>
    <n v="0"/>
    <n v="25728"/>
    <n v="0.44444444444444442"/>
  </r>
  <r>
    <s v="TX00002"/>
    <x v="0"/>
    <s v="S01"/>
    <x v="1"/>
    <x v="0"/>
    <n v="2556"/>
    <n v="50"/>
    <n v="0.08"/>
    <n v="117576"/>
    <n v="71568"/>
    <n v="127800"/>
    <s v="2023-01"/>
    <x v="0"/>
    <x v="0"/>
    <x v="1"/>
    <n v="10224"/>
    <n v="46"/>
    <n v="28"/>
    <n v="71568"/>
    <n v="0"/>
    <n v="46008"/>
    <n v="0.39130434782608697"/>
  </r>
  <r>
    <s v="TX00003"/>
    <x v="0"/>
    <s v="S01"/>
    <x v="2"/>
    <x v="1"/>
    <n v="1448"/>
    <n v="28"/>
    <n v="0.09"/>
    <n v="36895.040000000001"/>
    <n v="21720"/>
    <n v="40544"/>
    <s v="2023-01"/>
    <x v="0"/>
    <x v="0"/>
    <x v="2"/>
    <n v="3648.9599999999991"/>
    <n v="25.48"/>
    <n v="15"/>
    <n v="21720"/>
    <n v="0"/>
    <n v="15175.04"/>
    <n v="0.41130298273155419"/>
  </r>
  <r>
    <s v="TX00004"/>
    <x v="0"/>
    <s v="S01"/>
    <x v="3"/>
    <x v="1"/>
    <n v="2328"/>
    <n v="35"/>
    <n v="7.0000000000000007E-2"/>
    <n v="75776.399999999994"/>
    <n v="41904"/>
    <n v="81480"/>
    <s v="2023-01"/>
    <x v="0"/>
    <x v="0"/>
    <x v="2"/>
    <n v="5703.6000000000058"/>
    <n v="32.549999999999997"/>
    <n v="18"/>
    <n v="41904"/>
    <n v="0"/>
    <n v="33872.399999999994"/>
    <n v="0.44700460829493083"/>
  </r>
  <r>
    <s v="TX00005"/>
    <x v="0"/>
    <s v="S01"/>
    <x v="4"/>
    <x v="2"/>
    <n v="1784"/>
    <n v="18"/>
    <n v="0.09"/>
    <n v="29221.919999999998"/>
    <n v="16056"/>
    <n v="32112"/>
    <s v="2023-01"/>
    <x v="0"/>
    <x v="0"/>
    <x v="3"/>
    <n v="2890.0800000000017"/>
    <n v="16.38"/>
    <n v="9"/>
    <n v="16056"/>
    <n v="0"/>
    <n v="13165.919999999998"/>
    <n v="0.4505494505494505"/>
  </r>
  <r>
    <s v="TX00006"/>
    <x v="0"/>
    <s v="S01"/>
    <x v="5"/>
    <x v="2"/>
    <n v="2352"/>
    <n v="30"/>
    <n v="0.06"/>
    <n v="66326.399999999994"/>
    <n v="32928"/>
    <n v="70560"/>
    <s v="2023-01"/>
    <x v="0"/>
    <x v="0"/>
    <x v="3"/>
    <n v="4233.6000000000058"/>
    <n v="28.2"/>
    <n v="14"/>
    <n v="32928"/>
    <n v="0"/>
    <n v="33398.399999999994"/>
    <n v="0.50354609929078009"/>
  </r>
  <r>
    <s v="TX00007"/>
    <x v="0"/>
    <s v="S01"/>
    <x v="6"/>
    <x v="3"/>
    <n v="1900"/>
    <n v="40"/>
    <n v="7.0000000000000007E-2"/>
    <n v="70680"/>
    <n v="38000"/>
    <n v="76000"/>
    <s v="2023-01"/>
    <x v="0"/>
    <x v="0"/>
    <x v="4"/>
    <n v="5320"/>
    <n v="37.200000000000003"/>
    <n v="20"/>
    <n v="38000"/>
    <n v="0"/>
    <n v="32680"/>
    <n v="0.46236559139784944"/>
  </r>
  <r>
    <s v="TX00008"/>
    <x v="0"/>
    <s v="S01"/>
    <x v="7"/>
    <x v="4"/>
    <n v="1888"/>
    <n v="10"/>
    <n v="7.0000000000000007E-2"/>
    <n v="17558.400000000001"/>
    <n v="7552"/>
    <n v="18880"/>
    <s v="2023-01"/>
    <x v="0"/>
    <x v="0"/>
    <x v="5"/>
    <n v="1321.5999999999985"/>
    <n v="9.3000000000000007"/>
    <n v="4"/>
    <n v="7552"/>
    <n v="0"/>
    <n v="10006.400000000001"/>
    <n v="0.56989247311827962"/>
  </r>
  <r>
    <s v="TX00009"/>
    <x v="0"/>
    <s v="S01"/>
    <x v="8"/>
    <x v="4"/>
    <n v="1264"/>
    <n v="22"/>
    <n v="0.09"/>
    <n v="25305.279999999999"/>
    <n v="12640"/>
    <n v="27808"/>
    <s v="2023-01"/>
    <x v="0"/>
    <x v="0"/>
    <x v="5"/>
    <n v="2502.7200000000012"/>
    <n v="20.02"/>
    <n v="10"/>
    <n v="12640"/>
    <n v="0"/>
    <n v="12665.279999999999"/>
    <n v="0.50049950049950043"/>
  </r>
  <r>
    <s v="TX00010"/>
    <x v="0"/>
    <s v="S02"/>
    <x v="0"/>
    <x v="0"/>
    <n v="1984"/>
    <n v="24"/>
    <n v="0.09"/>
    <n v="43330.559999999998"/>
    <n v="23808"/>
    <n v="47616"/>
    <s v="2023-01"/>
    <x v="1"/>
    <x v="1"/>
    <x v="0"/>
    <n v="4285.4400000000023"/>
    <n v="21.84"/>
    <n v="12"/>
    <n v="23808"/>
    <n v="0"/>
    <n v="19522.559999999998"/>
    <n v="0.4505494505494505"/>
  </r>
  <r>
    <s v="TX00011"/>
    <x v="0"/>
    <s v="S02"/>
    <x v="1"/>
    <x v="0"/>
    <n v="1692"/>
    <n v="50"/>
    <n v="7.0000000000000007E-2"/>
    <n v="78678"/>
    <n v="47376"/>
    <n v="84600"/>
    <s v="2023-01"/>
    <x v="1"/>
    <x v="1"/>
    <x v="1"/>
    <n v="5922"/>
    <n v="46.5"/>
    <n v="28"/>
    <n v="47376"/>
    <n v="0"/>
    <n v="31302"/>
    <n v="0.39784946236559138"/>
  </r>
  <r>
    <s v="TX00012"/>
    <x v="0"/>
    <s v="S02"/>
    <x v="2"/>
    <x v="1"/>
    <n v="2096"/>
    <n v="28"/>
    <n v="0.08"/>
    <n v="53992.959999999999"/>
    <n v="31440"/>
    <n v="58688"/>
    <s v="2023-01"/>
    <x v="1"/>
    <x v="1"/>
    <x v="2"/>
    <n v="4695.0400000000009"/>
    <n v="25.759999999999998"/>
    <n v="15"/>
    <n v="31440"/>
    <n v="0"/>
    <n v="22552.959999999999"/>
    <n v="0.41770186335403725"/>
  </r>
  <r>
    <s v="TX00013"/>
    <x v="0"/>
    <s v="S02"/>
    <x v="3"/>
    <x v="1"/>
    <n v="2600"/>
    <n v="35"/>
    <n v="7.0000000000000007E-2"/>
    <n v="84630"/>
    <n v="46800"/>
    <n v="91000"/>
    <s v="2023-01"/>
    <x v="1"/>
    <x v="1"/>
    <x v="2"/>
    <n v="6370"/>
    <n v="32.549999999999997"/>
    <n v="18"/>
    <n v="46800"/>
    <n v="0"/>
    <n v="37830"/>
    <n v="0.44700460829493088"/>
  </r>
  <r>
    <s v="TX00014"/>
    <x v="0"/>
    <s v="S02"/>
    <x v="4"/>
    <x v="2"/>
    <n v="1220"/>
    <n v="18"/>
    <n v="0.06"/>
    <n v="20642.400000000001"/>
    <n v="10980"/>
    <n v="21960"/>
    <s v="2023-01"/>
    <x v="1"/>
    <x v="1"/>
    <x v="3"/>
    <n v="1317.5999999999985"/>
    <n v="16.920000000000002"/>
    <n v="9"/>
    <n v="10980"/>
    <n v="0"/>
    <n v="9662.4000000000015"/>
    <n v="0.46808510638297879"/>
  </r>
  <r>
    <s v="TX00015"/>
    <x v="0"/>
    <s v="S02"/>
    <x v="5"/>
    <x v="2"/>
    <n v="1724"/>
    <n v="30"/>
    <n v="0.09"/>
    <n v="47065.2"/>
    <n v="24136"/>
    <n v="51720"/>
    <s v="2023-01"/>
    <x v="1"/>
    <x v="1"/>
    <x v="3"/>
    <n v="4654.8000000000029"/>
    <n v="27.299999999999997"/>
    <n v="14"/>
    <n v="24136"/>
    <n v="0"/>
    <n v="22929.199999999997"/>
    <n v="0.48717948717948717"/>
  </r>
  <r>
    <s v="TX00016"/>
    <x v="0"/>
    <s v="S02"/>
    <x v="6"/>
    <x v="3"/>
    <n v="1684"/>
    <n v="40"/>
    <n v="0.05"/>
    <n v="63992"/>
    <n v="33680"/>
    <n v="67360"/>
    <s v="2023-01"/>
    <x v="1"/>
    <x v="1"/>
    <x v="4"/>
    <n v="3368"/>
    <n v="38"/>
    <n v="20"/>
    <n v="33680"/>
    <n v="0"/>
    <n v="30312"/>
    <n v="0.47368421052631576"/>
  </r>
  <r>
    <s v="TX00017"/>
    <x v="0"/>
    <s v="S02"/>
    <x v="7"/>
    <x v="4"/>
    <n v="2168"/>
    <n v="10"/>
    <n v="0.09"/>
    <n v="19728.8"/>
    <n v="8672"/>
    <n v="21680"/>
    <s v="2023-01"/>
    <x v="1"/>
    <x v="1"/>
    <x v="5"/>
    <n v="1951.2000000000007"/>
    <n v="9.1"/>
    <n v="4"/>
    <n v="8672"/>
    <n v="0"/>
    <n v="11056.8"/>
    <n v="0.56043956043956045"/>
  </r>
  <r>
    <s v="TX00018"/>
    <x v="0"/>
    <s v="S02"/>
    <x v="8"/>
    <x v="4"/>
    <n v="1380"/>
    <n v="22"/>
    <n v="0.06"/>
    <n v="28538.400000000001"/>
    <n v="13800"/>
    <n v="30360"/>
    <s v="2023-01"/>
    <x v="1"/>
    <x v="1"/>
    <x v="5"/>
    <n v="1821.5999999999985"/>
    <n v="20.68"/>
    <n v="10"/>
    <n v="13800"/>
    <n v="0"/>
    <n v="14738.400000000001"/>
    <n v="0.51644100580270791"/>
  </r>
  <r>
    <s v="TX00019"/>
    <x v="0"/>
    <s v="S03"/>
    <x v="0"/>
    <x v="0"/>
    <n v="1956"/>
    <n v="24"/>
    <n v="0.06"/>
    <n v="44127.360000000001"/>
    <n v="23472"/>
    <n v="46944"/>
    <s v="2023-01"/>
    <x v="2"/>
    <x v="2"/>
    <x v="0"/>
    <n v="2816.6399999999994"/>
    <n v="22.56"/>
    <n v="12"/>
    <n v="23472"/>
    <n v="0"/>
    <n v="20655.36"/>
    <n v="0.46808510638297873"/>
  </r>
  <r>
    <s v="TX00020"/>
    <x v="0"/>
    <s v="S03"/>
    <x v="1"/>
    <x v="0"/>
    <n v="1904"/>
    <n v="50"/>
    <n v="0.06"/>
    <n v="89488"/>
    <n v="53312"/>
    <n v="95200"/>
    <s v="2023-01"/>
    <x v="2"/>
    <x v="2"/>
    <x v="1"/>
    <n v="5712"/>
    <n v="47"/>
    <n v="28"/>
    <n v="53312"/>
    <n v="0"/>
    <n v="36176"/>
    <n v="0.40425531914893614"/>
  </r>
  <r>
    <s v="TX00021"/>
    <x v="0"/>
    <s v="S03"/>
    <x v="2"/>
    <x v="1"/>
    <n v="2728"/>
    <n v="28"/>
    <n v="0.1"/>
    <n v="68745.600000000006"/>
    <n v="40920"/>
    <n v="76384"/>
    <s v="2023-01"/>
    <x v="2"/>
    <x v="2"/>
    <x v="2"/>
    <n v="7638.3999999999942"/>
    <n v="25.200000000000003"/>
    <n v="15"/>
    <n v="40920"/>
    <n v="0"/>
    <n v="27825.600000000006"/>
    <n v="0.40476190476190482"/>
  </r>
  <r>
    <s v="TX00022"/>
    <x v="0"/>
    <s v="S03"/>
    <x v="3"/>
    <x v="1"/>
    <n v="1732"/>
    <n v="35"/>
    <n v="0.06"/>
    <n v="56982.8"/>
    <n v="31176"/>
    <n v="60620"/>
    <s v="2023-01"/>
    <x v="2"/>
    <x v="2"/>
    <x v="2"/>
    <n v="3637.1999999999971"/>
    <n v="32.9"/>
    <n v="18"/>
    <n v="31176"/>
    <n v="0"/>
    <n v="25806.800000000003"/>
    <n v="0.45288753799392101"/>
  </r>
  <r>
    <s v="TX00023"/>
    <x v="0"/>
    <s v="S03"/>
    <x v="4"/>
    <x v="2"/>
    <n v="1328"/>
    <n v="18"/>
    <n v="0.08"/>
    <n v="21991.68"/>
    <n v="11952"/>
    <n v="23904"/>
    <s v="2023-01"/>
    <x v="2"/>
    <x v="2"/>
    <x v="3"/>
    <n v="1912.3199999999997"/>
    <n v="16.559999999999999"/>
    <n v="9"/>
    <n v="11952"/>
    <n v="0"/>
    <n v="10039.68"/>
    <n v="0.45652173913043481"/>
  </r>
  <r>
    <s v="TX00024"/>
    <x v="0"/>
    <s v="S03"/>
    <x v="5"/>
    <x v="2"/>
    <n v="1544"/>
    <n v="30"/>
    <n v="0.08"/>
    <n v="42614.400000000001"/>
    <n v="21616"/>
    <n v="46320"/>
    <s v="2023-01"/>
    <x v="2"/>
    <x v="2"/>
    <x v="3"/>
    <n v="3705.5999999999985"/>
    <n v="27.6"/>
    <n v="14"/>
    <n v="21616"/>
    <n v="0"/>
    <n v="20998.400000000001"/>
    <n v="0.49275362318840582"/>
  </r>
  <r>
    <s v="TX00025"/>
    <x v="0"/>
    <s v="S03"/>
    <x v="6"/>
    <x v="3"/>
    <n v="1600"/>
    <n v="40"/>
    <n v="0.09"/>
    <n v="58240"/>
    <n v="32000"/>
    <n v="64000"/>
    <s v="2023-01"/>
    <x v="2"/>
    <x v="2"/>
    <x v="4"/>
    <n v="5760"/>
    <n v="36.4"/>
    <n v="20"/>
    <n v="32000"/>
    <n v="0"/>
    <n v="26240"/>
    <n v="0.45054945054945056"/>
  </r>
  <r>
    <s v="TX00026"/>
    <x v="0"/>
    <s v="S03"/>
    <x v="7"/>
    <x v="4"/>
    <n v="2268"/>
    <n v="10"/>
    <n v="7.0000000000000007E-2"/>
    <n v="21092.400000000001"/>
    <n v="9072"/>
    <n v="22680"/>
    <s v="2023-01"/>
    <x v="2"/>
    <x v="2"/>
    <x v="5"/>
    <n v="1587.5999999999985"/>
    <n v="9.3000000000000007"/>
    <n v="4"/>
    <n v="9072"/>
    <n v="0"/>
    <n v="12020.400000000001"/>
    <n v="0.56989247311827962"/>
  </r>
  <r>
    <s v="TX00027"/>
    <x v="0"/>
    <s v="S03"/>
    <x v="8"/>
    <x v="4"/>
    <n v="2668"/>
    <n v="22"/>
    <n v="0.08"/>
    <n v="54000.32"/>
    <n v="26680"/>
    <n v="58696"/>
    <s v="2023-01"/>
    <x v="2"/>
    <x v="2"/>
    <x v="5"/>
    <n v="4695.68"/>
    <n v="20.239999999999998"/>
    <n v="10"/>
    <n v="26680"/>
    <n v="0"/>
    <n v="27320.32"/>
    <n v="0.50592885375494068"/>
  </r>
  <r>
    <s v="TX00028"/>
    <x v="0"/>
    <s v="S04"/>
    <x v="0"/>
    <x v="0"/>
    <n v="2076"/>
    <n v="24"/>
    <n v="0.06"/>
    <n v="46834.559999999998"/>
    <n v="24912"/>
    <n v="49824"/>
    <s v="2023-01"/>
    <x v="3"/>
    <x v="3"/>
    <x v="0"/>
    <n v="2989.4400000000023"/>
    <n v="22.56"/>
    <n v="12"/>
    <n v="24912"/>
    <n v="0"/>
    <n v="21922.559999999998"/>
    <n v="0.46808510638297868"/>
  </r>
  <r>
    <s v="TX00029"/>
    <x v="0"/>
    <s v="S04"/>
    <x v="1"/>
    <x v="0"/>
    <n v="1912"/>
    <n v="50"/>
    <n v="7.0000000000000007E-2"/>
    <n v="88908"/>
    <n v="53536"/>
    <n v="95600"/>
    <s v="2023-01"/>
    <x v="3"/>
    <x v="3"/>
    <x v="1"/>
    <n v="6692"/>
    <n v="46.5"/>
    <n v="28"/>
    <n v="53536"/>
    <n v="0"/>
    <n v="35372"/>
    <n v="0.39784946236559138"/>
  </r>
  <r>
    <s v="TX00030"/>
    <x v="0"/>
    <s v="S04"/>
    <x v="2"/>
    <x v="1"/>
    <n v="1828"/>
    <n v="28"/>
    <n v="0.1"/>
    <n v="46065.599999999999"/>
    <n v="27420"/>
    <n v="51184"/>
    <s v="2023-01"/>
    <x v="3"/>
    <x v="3"/>
    <x v="2"/>
    <n v="5118.4000000000015"/>
    <n v="25.2"/>
    <n v="15"/>
    <n v="27420"/>
    <n v="0"/>
    <n v="18645.599999999999"/>
    <n v="0.40476190476190477"/>
  </r>
  <r>
    <s v="TX00031"/>
    <x v="0"/>
    <s v="S04"/>
    <x v="3"/>
    <x v="1"/>
    <n v="2220"/>
    <n v="35"/>
    <n v="0.05"/>
    <n v="73815"/>
    <n v="39960"/>
    <n v="77700"/>
    <s v="2023-01"/>
    <x v="3"/>
    <x v="3"/>
    <x v="2"/>
    <n v="3885"/>
    <n v="33.25"/>
    <n v="18"/>
    <n v="39960"/>
    <n v="0"/>
    <n v="33855"/>
    <n v="0.45864661654135336"/>
  </r>
  <r>
    <s v="TX00032"/>
    <x v="0"/>
    <s v="S04"/>
    <x v="4"/>
    <x v="2"/>
    <n v="2192"/>
    <n v="18"/>
    <n v="0.08"/>
    <n v="36299.519999999997"/>
    <n v="19728"/>
    <n v="39456"/>
    <s v="2023-01"/>
    <x v="3"/>
    <x v="3"/>
    <x v="3"/>
    <n v="3156.4800000000032"/>
    <n v="16.559999999999999"/>
    <n v="9"/>
    <n v="19728"/>
    <n v="0"/>
    <n v="16571.519999999997"/>
    <n v="0.45652173913043476"/>
  </r>
  <r>
    <s v="TX00033"/>
    <x v="0"/>
    <s v="S04"/>
    <x v="5"/>
    <x v="2"/>
    <n v="1204"/>
    <n v="30"/>
    <n v="0.09"/>
    <n v="32869.199999999997"/>
    <n v="16856"/>
    <n v="36120"/>
    <s v="2023-01"/>
    <x v="3"/>
    <x v="3"/>
    <x v="3"/>
    <n v="3250.8000000000029"/>
    <n v="27.299999999999997"/>
    <n v="14"/>
    <n v="16856"/>
    <n v="0"/>
    <n v="16013.199999999997"/>
    <n v="0.48717948717948711"/>
  </r>
  <r>
    <s v="TX00034"/>
    <x v="0"/>
    <s v="S04"/>
    <x v="6"/>
    <x v="3"/>
    <n v="1732"/>
    <n v="40"/>
    <n v="7.0000000000000007E-2"/>
    <n v="64430.400000000001"/>
    <n v="34640"/>
    <n v="69280"/>
    <s v="2023-01"/>
    <x v="3"/>
    <x v="3"/>
    <x v="4"/>
    <n v="4849.5999999999985"/>
    <n v="37.200000000000003"/>
    <n v="20"/>
    <n v="34640"/>
    <n v="0"/>
    <n v="29790.400000000001"/>
    <n v="0.4623655913978495"/>
  </r>
  <r>
    <s v="TX00035"/>
    <x v="0"/>
    <s v="S04"/>
    <x v="7"/>
    <x v="4"/>
    <n v="2436"/>
    <n v="10"/>
    <n v="0.1"/>
    <n v="21924"/>
    <n v="9744"/>
    <n v="24360"/>
    <s v="2023-01"/>
    <x v="3"/>
    <x v="3"/>
    <x v="5"/>
    <n v="2436"/>
    <n v="9"/>
    <n v="4"/>
    <n v="9744"/>
    <n v="0"/>
    <n v="12180"/>
    <n v="0.55555555555555558"/>
  </r>
  <r>
    <s v="TX00036"/>
    <x v="0"/>
    <s v="S04"/>
    <x v="8"/>
    <x v="4"/>
    <n v="2108"/>
    <n v="22"/>
    <n v="0.06"/>
    <n v="43593.440000000002"/>
    <n v="21080"/>
    <n v="46376"/>
    <s v="2023-01"/>
    <x v="3"/>
    <x v="3"/>
    <x v="5"/>
    <n v="2782.5599999999977"/>
    <n v="20.68"/>
    <n v="10"/>
    <n v="21080"/>
    <n v="0"/>
    <n v="22513.440000000002"/>
    <n v="0.51644100580270791"/>
  </r>
  <r>
    <s v="TX00037"/>
    <x v="0"/>
    <s v="S05"/>
    <x v="0"/>
    <x v="0"/>
    <n v="2112"/>
    <n v="24"/>
    <n v="0.08"/>
    <n v="46632.959999999999"/>
    <n v="25344"/>
    <n v="50688"/>
    <s v="2023-01"/>
    <x v="4"/>
    <x v="0"/>
    <x v="0"/>
    <n v="4055.0400000000009"/>
    <n v="22.08"/>
    <n v="12"/>
    <n v="25344"/>
    <n v="0"/>
    <n v="21288.959999999999"/>
    <n v="0.45652173913043476"/>
  </r>
  <r>
    <s v="TX00038"/>
    <x v="0"/>
    <s v="S05"/>
    <x v="1"/>
    <x v="0"/>
    <n v="1648"/>
    <n v="50"/>
    <n v="0.08"/>
    <n v="75808"/>
    <n v="46144"/>
    <n v="82400"/>
    <s v="2023-01"/>
    <x v="4"/>
    <x v="0"/>
    <x v="1"/>
    <n v="6592"/>
    <n v="46"/>
    <n v="28"/>
    <n v="46144"/>
    <n v="0"/>
    <n v="29664"/>
    <n v="0.39130434782608697"/>
  </r>
  <r>
    <s v="TX00039"/>
    <x v="0"/>
    <s v="S05"/>
    <x v="2"/>
    <x v="1"/>
    <n v="1268"/>
    <n v="28"/>
    <n v="0.09"/>
    <n v="32308.639999999999"/>
    <n v="19020"/>
    <n v="35504"/>
    <s v="2023-01"/>
    <x v="4"/>
    <x v="0"/>
    <x v="2"/>
    <n v="3195.3600000000006"/>
    <n v="25.48"/>
    <n v="15"/>
    <n v="19020"/>
    <n v="0"/>
    <n v="13288.64"/>
    <n v="0.41130298273155413"/>
  </r>
  <r>
    <s v="TX00040"/>
    <x v="0"/>
    <s v="S05"/>
    <x v="3"/>
    <x v="1"/>
    <n v="1812"/>
    <n v="35"/>
    <n v="0.09"/>
    <n v="57712.2"/>
    <n v="32616"/>
    <n v="63420"/>
    <s v="2023-01"/>
    <x v="4"/>
    <x v="0"/>
    <x v="2"/>
    <n v="5707.8000000000029"/>
    <n v="31.849999999999998"/>
    <n v="18"/>
    <n v="32616"/>
    <n v="0"/>
    <n v="25096.199999999997"/>
    <n v="0.43485086342229196"/>
  </r>
  <r>
    <s v="TX00041"/>
    <x v="0"/>
    <s v="S05"/>
    <x v="4"/>
    <x v="2"/>
    <n v="2200"/>
    <n v="18"/>
    <n v="0.05"/>
    <n v="37620"/>
    <n v="19800"/>
    <n v="39600"/>
    <s v="2023-01"/>
    <x v="4"/>
    <x v="0"/>
    <x v="3"/>
    <n v="1980"/>
    <n v="17.100000000000001"/>
    <n v="9"/>
    <n v="19800"/>
    <n v="0"/>
    <n v="17820"/>
    <n v="0.47368421052631576"/>
  </r>
  <r>
    <s v="TX00042"/>
    <x v="0"/>
    <s v="S05"/>
    <x v="5"/>
    <x v="2"/>
    <n v="1620"/>
    <n v="30"/>
    <n v="0.09"/>
    <n v="44226"/>
    <n v="22680"/>
    <n v="48600"/>
    <s v="2023-01"/>
    <x v="4"/>
    <x v="0"/>
    <x v="3"/>
    <n v="4374"/>
    <n v="27.3"/>
    <n v="14"/>
    <n v="22680"/>
    <n v="0"/>
    <n v="21546"/>
    <n v="0.48717948717948717"/>
  </r>
  <r>
    <s v="TX00043"/>
    <x v="0"/>
    <s v="S05"/>
    <x v="6"/>
    <x v="3"/>
    <n v="2772"/>
    <n v="40"/>
    <n v="0.05"/>
    <n v="105336"/>
    <n v="55440"/>
    <n v="110880"/>
    <s v="2023-01"/>
    <x v="4"/>
    <x v="0"/>
    <x v="4"/>
    <n v="5544"/>
    <n v="38"/>
    <n v="20"/>
    <n v="55440"/>
    <n v="0"/>
    <n v="49896"/>
    <n v="0.47368421052631576"/>
  </r>
  <r>
    <s v="TX00044"/>
    <x v="0"/>
    <s v="S05"/>
    <x v="7"/>
    <x v="4"/>
    <n v="2752"/>
    <n v="10"/>
    <n v="7.0000000000000007E-2"/>
    <n v="25593.599999999999"/>
    <n v="11008"/>
    <n v="27520"/>
    <s v="2023-01"/>
    <x v="4"/>
    <x v="0"/>
    <x v="5"/>
    <n v="1926.4000000000015"/>
    <n v="9.2999999999999989"/>
    <n v="4"/>
    <n v="11008"/>
    <n v="0"/>
    <n v="14585.599999999999"/>
    <n v="0.56989247311827951"/>
  </r>
  <r>
    <s v="TX00045"/>
    <x v="0"/>
    <s v="S05"/>
    <x v="8"/>
    <x v="4"/>
    <n v="2680"/>
    <n v="22"/>
    <n v="7.0000000000000007E-2"/>
    <n v="54832.800000000003"/>
    <n v="26800"/>
    <n v="58960"/>
    <s v="2023-01"/>
    <x v="4"/>
    <x v="0"/>
    <x v="5"/>
    <n v="4127.1999999999971"/>
    <n v="20.46"/>
    <n v="10"/>
    <n v="26800"/>
    <n v="0"/>
    <n v="28032.800000000003"/>
    <n v="0.51124144672531768"/>
  </r>
  <r>
    <s v="TX00046"/>
    <x v="1"/>
    <s v="S01"/>
    <x v="0"/>
    <x v="0"/>
    <n v="2324"/>
    <n v="24"/>
    <n v="7.0000000000000007E-2"/>
    <n v="51871.68"/>
    <n v="27888"/>
    <n v="55776"/>
    <s v="2023-02"/>
    <x v="0"/>
    <x v="0"/>
    <x v="0"/>
    <n v="3904.3199999999997"/>
    <n v="22.32"/>
    <n v="12"/>
    <n v="27888"/>
    <n v="0"/>
    <n v="23983.68"/>
    <n v="0.46236559139784944"/>
  </r>
  <r>
    <s v="TX00047"/>
    <x v="1"/>
    <s v="S01"/>
    <x v="1"/>
    <x v="0"/>
    <n v="2548"/>
    <n v="50"/>
    <n v="7.0000000000000007E-2"/>
    <n v="118482"/>
    <n v="71344"/>
    <n v="127400"/>
    <s v="2023-02"/>
    <x v="0"/>
    <x v="0"/>
    <x v="1"/>
    <n v="8918"/>
    <n v="46.5"/>
    <n v="28"/>
    <n v="71344"/>
    <n v="0"/>
    <n v="47138"/>
    <n v="0.39784946236559138"/>
  </r>
  <r>
    <s v="TX00048"/>
    <x v="1"/>
    <s v="S01"/>
    <x v="2"/>
    <x v="1"/>
    <n v="2492"/>
    <n v="28"/>
    <n v="7.0000000000000007E-2"/>
    <n v="64891.68"/>
    <n v="37380"/>
    <n v="69776"/>
    <s v="2023-02"/>
    <x v="0"/>
    <x v="0"/>
    <x v="2"/>
    <n v="4884.32"/>
    <n v="26.04"/>
    <n v="15"/>
    <n v="37380"/>
    <n v="0"/>
    <n v="27511.68"/>
    <n v="0.42396313364055299"/>
  </r>
  <r>
    <s v="TX00049"/>
    <x v="1"/>
    <s v="S01"/>
    <x v="3"/>
    <x v="1"/>
    <n v="1692"/>
    <n v="35"/>
    <n v="0.09"/>
    <n v="53890.2"/>
    <n v="30456"/>
    <n v="59220"/>
    <s v="2023-02"/>
    <x v="0"/>
    <x v="0"/>
    <x v="2"/>
    <n v="5329.8000000000029"/>
    <n v="31.849999999999998"/>
    <n v="18"/>
    <n v="30456"/>
    <n v="0"/>
    <n v="23434.199999999997"/>
    <n v="0.43485086342229196"/>
  </r>
  <r>
    <s v="TX00050"/>
    <x v="1"/>
    <s v="S01"/>
    <x v="4"/>
    <x v="2"/>
    <n v="2436"/>
    <n v="18"/>
    <n v="0.06"/>
    <n v="41217.120000000003"/>
    <n v="21924"/>
    <n v="43848"/>
    <s v="2023-02"/>
    <x v="0"/>
    <x v="0"/>
    <x v="3"/>
    <n v="2630.8799999999974"/>
    <n v="16.920000000000002"/>
    <n v="9"/>
    <n v="21924"/>
    <n v="0"/>
    <n v="19293.120000000003"/>
    <n v="0.46808510638297873"/>
  </r>
  <r>
    <s v="TX00051"/>
    <x v="1"/>
    <s v="S01"/>
    <x v="5"/>
    <x v="2"/>
    <n v="2512"/>
    <n v="30"/>
    <n v="0.1"/>
    <n v="67824"/>
    <n v="35168"/>
    <n v="75360"/>
    <s v="2023-02"/>
    <x v="0"/>
    <x v="0"/>
    <x v="3"/>
    <n v="7536"/>
    <n v="27"/>
    <n v="14"/>
    <n v="35168"/>
    <n v="0"/>
    <n v="32656"/>
    <n v="0.48148148148148145"/>
  </r>
  <r>
    <s v="TX00052"/>
    <x v="1"/>
    <s v="S01"/>
    <x v="6"/>
    <x v="3"/>
    <n v="2532"/>
    <n v="40"/>
    <n v="0.1"/>
    <n v="91152"/>
    <n v="50640"/>
    <n v="101280"/>
    <s v="2023-02"/>
    <x v="0"/>
    <x v="0"/>
    <x v="4"/>
    <n v="10128"/>
    <n v="36"/>
    <n v="20"/>
    <n v="50640"/>
    <n v="0"/>
    <n v="40512"/>
    <n v="0.44444444444444442"/>
  </r>
  <r>
    <s v="TX00053"/>
    <x v="1"/>
    <s v="S01"/>
    <x v="7"/>
    <x v="4"/>
    <n v="1616"/>
    <n v="10"/>
    <n v="0.06"/>
    <n v="15190.4"/>
    <n v="6464"/>
    <n v="16160"/>
    <s v="2023-02"/>
    <x v="0"/>
    <x v="0"/>
    <x v="5"/>
    <n v="969.60000000000036"/>
    <n v="9.4"/>
    <n v="4"/>
    <n v="6464"/>
    <n v="0"/>
    <n v="8726.4"/>
    <n v="0.57446808510638292"/>
  </r>
  <r>
    <s v="TX00054"/>
    <x v="1"/>
    <s v="S01"/>
    <x v="8"/>
    <x v="4"/>
    <n v="2616"/>
    <n v="22"/>
    <n v="0.1"/>
    <n v="51796.800000000003"/>
    <n v="26160"/>
    <n v="57552"/>
    <s v="2023-02"/>
    <x v="0"/>
    <x v="0"/>
    <x v="5"/>
    <n v="5755.1999999999971"/>
    <n v="19.8"/>
    <n v="10"/>
    <n v="26160"/>
    <n v="0"/>
    <n v="25636.800000000003"/>
    <n v="0.49494949494949497"/>
  </r>
  <r>
    <s v="TX00055"/>
    <x v="1"/>
    <s v="S02"/>
    <x v="0"/>
    <x v="0"/>
    <n v="1256"/>
    <n v="24"/>
    <n v="0.06"/>
    <n v="28335.360000000001"/>
    <n v="15072"/>
    <n v="30144"/>
    <s v="2023-02"/>
    <x v="1"/>
    <x v="1"/>
    <x v="0"/>
    <n v="1808.6399999999994"/>
    <n v="22.56"/>
    <n v="12"/>
    <n v="15072"/>
    <n v="0"/>
    <n v="13263.36"/>
    <n v="0.46808510638297873"/>
  </r>
  <r>
    <s v="TX00056"/>
    <x v="1"/>
    <s v="S02"/>
    <x v="1"/>
    <x v="0"/>
    <n v="1296"/>
    <n v="50"/>
    <n v="7.0000000000000007E-2"/>
    <n v="60264"/>
    <n v="36288"/>
    <n v="64800"/>
    <s v="2023-02"/>
    <x v="1"/>
    <x v="1"/>
    <x v="1"/>
    <n v="4536"/>
    <n v="46.5"/>
    <n v="28"/>
    <n v="36288"/>
    <n v="0"/>
    <n v="23976"/>
    <n v="0.39784946236559138"/>
  </r>
  <r>
    <s v="TX00057"/>
    <x v="1"/>
    <s v="S02"/>
    <x v="2"/>
    <x v="1"/>
    <n v="1536"/>
    <n v="28"/>
    <n v="7.0000000000000007E-2"/>
    <n v="39997.440000000002"/>
    <n v="23040"/>
    <n v="43008"/>
    <s v="2023-02"/>
    <x v="1"/>
    <x v="1"/>
    <x v="2"/>
    <n v="3010.5599999999977"/>
    <n v="26.040000000000003"/>
    <n v="15"/>
    <n v="23040"/>
    <n v="0"/>
    <n v="16957.440000000002"/>
    <n v="0.42396313364055305"/>
  </r>
  <r>
    <s v="TX00058"/>
    <x v="1"/>
    <s v="S02"/>
    <x v="3"/>
    <x v="1"/>
    <n v="2592"/>
    <n v="35"/>
    <n v="0.06"/>
    <n v="85276.800000000003"/>
    <n v="46656"/>
    <n v="90720"/>
    <s v="2023-02"/>
    <x v="1"/>
    <x v="1"/>
    <x v="2"/>
    <n v="5443.1999999999971"/>
    <n v="32.9"/>
    <n v="18"/>
    <n v="46656"/>
    <n v="0"/>
    <n v="38620.800000000003"/>
    <n v="0.45288753799392101"/>
  </r>
  <r>
    <s v="TX00059"/>
    <x v="1"/>
    <s v="S02"/>
    <x v="4"/>
    <x v="2"/>
    <n v="1896"/>
    <n v="18"/>
    <n v="0.09"/>
    <n v="31056.48"/>
    <n v="17064"/>
    <n v="34128"/>
    <s v="2023-02"/>
    <x v="1"/>
    <x v="1"/>
    <x v="3"/>
    <n v="3071.5200000000004"/>
    <n v="16.38"/>
    <n v="9"/>
    <n v="17064"/>
    <n v="0"/>
    <n v="13992.48"/>
    <n v="0.45054945054945056"/>
  </r>
  <r>
    <s v="TX00060"/>
    <x v="1"/>
    <s v="S02"/>
    <x v="5"/>
    <x v="2"/>
    <n v="2516"/>
    <n v="30"/>
    <n v="0.08"/>
    <n v="69441.600000000006"/>
    <n v="35224"/>
    <n v="75480"/>
    <s v="2023-02"/>
    <x v="1"/>
    <x v="1"/>
    <x v="3"/>
    <n v="6038.3999999999942"/>
    <n v="27.6"/>
    <n v="14"/>
    <n v="35224"/>
    <n v="0"/>
    <n v="34217.600000000006"/>
    <n v="0.49275362318840582"/>
  </r>
  <r>
    <s v="TX00061"/>
    <x v="1"/>
    <s v="S02"/>
    <x v="6"/>
    <x v="3"/>
    <n v="2612"/>
    <n v="40"/>
    <n v="0.08"/>
    <n v="96121.600000000006"/>
    <n v="52240"/>
    <n v="104480"/>
    <s v="2023-02"/>
    <x v="1"/>
    <x v="1"/>
    <x v="4"/>
    <n v="8358.3999999999942"/>
    <n v="36.800000000000004"/>
    <n v="20"/>
    <n v="52240"/>
    <n v="0"/>
    <n v="43881.600000000006"/>
    <n v="0.45652173913043481"/>
  </r>
  <r>
    <s v="TX00062"/>
    <x v="1"/>
    <s v="S02"/>
    <x v="7"/>
    <x v="4"/>
    <n v="2540"/>
    <n v="10"/>
    <n v="7.0000000000000007E-2"/>
    <n v="23622"/>
    <n v="10160"/>
    <n v="25400"/>
    <s v="2023-02"/>
    <x v="1"/>
    <x v="1"/>
    <x v="5"/>
    <n v="1778"/>
    <n v="9.3000000000000007"/>
    <n v="4"/>
    <n v="10160"/>
    <n v="0"/>
    <n v="13462"/>
    <n v="0.56989247311827962"/>
  </r>
  <r>
    <s v="TX00063"/>
    <x v="1"/>
    <s v="S02"/>
    <x v="8"/>
    <x v="4"/>
    <n v="2128"/>
    <n v="22"/>
    <n v="0.1"/>
    <n v="42134.400000000001"/>
    <n v="21280"/>
    <n v="46816"/>
    <s v="2023-02"/>
    <x v="1"/>
    <x v="1"/>
    <x v="5"/>
    <n v="4681.5999999999985"/>
    <n v="19.8"/>
    <n v="10"/>
    <n v="21280"/>
    <n v="0"/>
    <n v="20854.400000000001"/>
    <n v="0.49494949494949497"/>
  </r>
  <r>
    <s v="TX00064"/>
    <x v="1"/>
    <s v="S03"/>
    <x v="0"/>
    <x v="0"/>
    <n v="1924"/>
    <n v="24"/>
    <n v="7.0000000000000007E-2"/>
    <n v="42943.68"/>
    <n v="23088"/>
    <n v="46176"/>
    <s v="2023-02"/>
    <x v="2"/>
    <x v="2"/>
    <x v="0"/>
    <n v="3232.3199999999997"/>
    <n v="22.32"/>
    <n v="12"/>
    <n v="23088"/>
    <n v="0"/>
    <n v="19855.68"/>
    <n v="0.46236559139784944"/>
  </r>
  <r>
    <s v="TX00065"/>
    <x v="1"/>
    <s v="S03"/>
    <x v="1"/>
    <x v="0"/>
    <n v="2060"/>
    <n v="50"/>
    <n v="0.06"/>
    <n v="96820"/>
    <n v="57680"/>
    <n v="103000"/>
    <s v="2023-02"/>
    <x v="2"/>
    <x v="2"/>
    <x v="1"/>
    <n v="6180"/>
    <n v="47"/>
    <n v="28"/>
    <n v="57680"/>
    <n v="0"/>
    <n v="39140"/>
    <n v="0.40425531914893614"/>
  </r>
  <r>
    <s v="TX00066"/>
    <x v="1"/>
    <s v="S03"/>
    <x v="2"/>
    <x v="1"/>
    <n v="1608"/>
    <n v="28"/>
    <n v="0.09"/>
    <n v="40971.839999999997"/>
    <n v="24120"/>
    <n v="45024"/>
    <s v="2023-02"/>
    <x v="2"/>
    <x v="2"/>
    <x v="2"/>
    <n v="4052.1600000000035"/>
    <n v="25.479999999999997"/>
    <n v="15"/>
    <n v="24120"/>
    <n v="0"/>
    <n v="16851.839999999997"/>
    <n v="0.41130298273155413"/>
  </r>
  <r>
    <s v="TX00067"/>
    <x v="1"/>
    <s v="S03"/>
    <x v="3"/>
    <x v="1"/>
    <n v="1756"/>
    <n v="35"/>
    <n v="0.1"/>
    <n v="55314"/>
    <n v="31608"/>
    <n v="61460"/>
    <s v="2023-02"/>
    <x v="2"/>
    <x v="2"/>
    <x v="2"/>
    <n v="6146"/>
    <n v="31.5"/>
    <n v="18"/>
    <n v="31608"/>
    <n v="0"/>
    <n v="23706"/>
    <n v="0.42857142857142855"/>
  </r>
  <r>
    <s v="TX00068"/>
    <x v="1"/>
    <s v="S03"/>
    <x v="4"/>
    <x v="2"/>
    <n v="1520"/>
    <n v="18"/>
    <n v="0.09"/>
    <n v="24897.599999999999"/>
    <n v="13680"/>
    <n v="27360"/>
    <s v="2023-02"/>
    <x v="2"/>
    <x v="2"/>
    <x v="3"/>
    <n v="2462.4000000000015"/>
    <n v="16.38"/>
    <n v="9"/>
    <n v="13680"/>
    <n v="0"/>
    <n v="11217.599999999999"/>
    <n v="0.4505494505494505"/>
  </r>
  <r>
    <s v="TX00069"/>
    <x v="1"/>
    <s v="S03"/>
    <x v="5"/>
    <x v="2"/>
    <n v="2344"/>
    <n v="30"/>
    <n v="0.09"/>
    <n v="63991.199999999997"/>
    <n v="32816"/>
    <n v="70320"/>
    <s v="2023-02"/>
    <x v="2"/>
    <x v="2"/>
    <x v="3"/>
    <n v="6328.8000000000029"/>
    <n v="27.299999999999997"/>
    <n v="14"/>
    <n v="32816"/>
    <n v="0"/>
    <n v="31175.199999999997"/>
    <n v="0.48717948717948717"/>
  </r>
  <r>
    <s v="TX00070"/>
    <x v="1"/>
    <s v="S03"/>
    <x v="6"/>
    <x v="3"/>
    <n v="2588"/>
    <n v="40"/>
    <n v="0.08"/>
    <n v="95238.399999999994"/>
    <n v="51760"/>
    <n v="103520"/>
    <s v="2023-02"/>
    <x v="2"/>
    <x v="2"/>
    <x v="4"/>
    <n v="8281.6000000000058"/>
    <n v="36.799999999999997"/>
    <n v="20"/>
    <n v="51760"/>
    <n v="0"/>
    <n v="43478.399999999994"/>
    <n v="0.45652173913043476"/>
  </r>
  <r>
    <s v="TX00071"/>
    <x v="1"/>
    <s v="S03"/>
    <x v="7"/>
    <x v="4"/>
    <n v="2448"/>
    <n v="10"/>
    <n v="0.05"/>
    <n v="23256"/>
    <n v="9792"/>
    <n v="24480"/>
    <s v="2023-02"/>
    <x v="2"/>
    <x v="2"/>
    <x v="5"/>
    <n v="1224"/>
    <n v="9.5"/>
    <n v="4"/>
    <n v="9792"/>
    <n v="0"/>
    <n v="13464"/>
    <n v="0.57894736842105265"/>
  </r>
  <r>
    <s v="TX00072"/>
    <x v="1"/>
    <s v="S03"/>
    <x v="8"/>
    <x v="4"/>
    <n v="1376"/>
    <n v="22"/>
    <n v="0.08"/>
    <n v="27850.240000000002"/>
    <n v="13760"/>
    <n v="30272"/>
    <s v="2023-02"/>
    <x v="2"/>
    <x v="2"/>
    <x v="5"/>
    <n v="2421.7599999999984"/>
    <n v="20.240000000000002"/>
    <n v="10"/>
    <n v="13760"/>
    <n v="0"/>
    <n v="14090.240000000002"/>
    <n v="0.50592885375494079"/>
  </r>
  <r>
    <s v="TX00073"/>
    <x v="1"/>
    <s v="S04"/>
    <x v="0"/>
    <x v="0"/>
    <n v="2104"/>
    <n v="24"/>
    <n v="0.1"/>
    <n v="45446.400000000001"/>
    <n v="25248"/>
    <n v="50496"/>
    <s v="2023-02"/>
    <x v="3"/>
    <x v="3"/>
    <x v="0"/>
    <n v="5049.5999999999985"/>
    <n v="21.6"/>
    <n v="12"/>
    <n v="25248"/>
    <n v="0"/>
    <n v="20198.400000000001"/>
    <n v="0.44444444444444448"/>
  </r>
  <r>
    <s v="TX00074"/>
    <x v="1"/>
    <s v="S04"/>
    <x v="1"/>
    <x v="0"/>
    <n v="1848"/>
    <n v="50"/>
    <n v="0.05"/>
    <n v="87780"/>
    <n v="51744"/>
    <n v="92400"/>
    <s v="2023-02"/>
    <x v="3"/>
    <x v="3"/>
    <x v="1"/>
    <n v="4620"/>
    <n v="47.5"/>
    <n v="28"/>
    <n v="51744"/>
    <n v="0"/>
    <n v="36036"/>
    <n v="0.41052631578947368"/>
  </r>
  <r>
    <s v="TX00075"/>
    <x v="1"/>
    <s v="S04"/>
    <x v="2"/>
    <x v="1"/>
    <n v="1320"/>
    <n v="28"/>
    <n v="0.09"/>
    <n v="33633.599999999999"/>
    <n v="19800"/>
    <n v="36960"/>
    <s v="2023-02"/>
    <x v="3"/>
    <x v="3"/>
    <x v="2"/>
    <n v="3326.4000000000015"/>
    <n v="25.48"/>
    <n v="15"/>
    <n v="19800"/>
    <n v="0"/>
    <n v="13833.599999999999"/>
    <n v="0.41130298273155413"/>
  </r>
  <r>
    <s v="TX00076"/>
    <x v="1"/>
    <s v="S04"/>
    <x v="3"/>
    <x v="1"/>
    <n v="2204"/>
    <n v="35"/>
    <n v="0.09"/>
    <n v="70197.399999999994"/>
    <n v="39672"/>
    <n v="77140"/>
    <s v="2023-02"/>
    <x v="3"/>
    <x v="3"/>
    <x v="2"/>
    <n v="6942.6000000000058"/>
    <n v="31.849999999999998"/>
    <n v="18"/>
    <n v="39672"/>
    <n v="0"/>
    <n v="30525.399999999994"/>
    <n v="0.43485086342229196"/>
  </r>
  <r>
    <s v="TX00077"/>
    <x v="1"/>
    <s v="S04"/>
    <x v="4"/>
    <x v="2"/>
    <n v="2076"/>
    <n v="18"/>
    <n v="0.06"/>
    <n v="35125.919999999998"/>
    <n v="18684"/>
    <n v="37368"/>
    <s v="2023-02"/>
    <x v="3"/>
    <x v="3"/>
    <x v="3"/>
    <n v="2242.0800000000017"/>
    <n v="16.919999999999998"/>
    <n v="9"/>
    <n v="18684"/>
    <n v="0"/>
    <n v="16441.919999999998"/>
    <n v="0.46808510638297868"/>
  </r>
  <r>
    <s v="TX00078"/>
    <x v="1"/>
    <s v="S04"/>
    <x v="5"/>
    <x v="2"/>
    <n v="2188"/>
    <n v="30"/>
    <n v="7.0000000000000007E-2"/>
    <n v="61045.2"/>
    <n v="30632"/>
    <n v="65640"/>
    <s v="2023-02"/>
    <x v="3"/>
    <x v="3"/>
    <x v="3"/>
    <n v="4594.8000000000029"/>
    <n v="27.9"/>
    <n v="14"/>
    <n v="30632"/>
    <n v="0"/>
    <n v="30413.199999999997"/>
    <n v="0.49820788530465948"/>
  </r>
  <r>
    <s v="TX00079"/>
    <x v="1"/>
    <s v="S04"/>
    <x v="6"/>
    <x v="3"/>
    <n v="2216"/>
    <n v="40"/>
    <n v="0.06"/>
    <n v="83321.600000000006"/>
    <n v="44320"/>
    <n v="88640"/>
    <s v="2023-02"/>
    <x v="3"/>
    <x v="3"/>
    <x v="4"/>
    <n v="5318.3999999999942"/>
    <n v="37.6"/>
    <n v="20"/>
    <n v="44320"/>
    <n v="0"/>
    <n v="39001.600000000006"/>
    <n v="0.46808510638297873"/>
  </r>
  <r>
    <s v="TX00080"/>
    <x v="1"/>
    <s v="S04"/>
    <x v="7"/>
    <x v="4"/>
    <n v="1252"/>
    <n v="10"/>
    <n v="7.0000000000000007E-2"/>
    <n v="11643.6"/>
    <n v="5008"/>
    <n v="12520"/>
    <s v="2023-02"/>
    <x v="3"/>
    <x v="3"/>
    <x v="5"/>
    <n v="876.39999999999964"/>
    <n v="9.3000000000000007"/>
    <n v="4"/>
    <n v="5008"/>
    <n v="0"/>
    <n v="6635.6"/>
    <n v="0.56989247311827962"/>
  </r>
  <r>
    <s v="TX00081"/>
    <x v="1"/>
    <s v="S04"/>
    <x v="8"/>
    <x v="4"/>
    <n v="1348"/>
    <n v="22"/>
    <n v="0.1"/>
    <n v="26690.400000000001"/>
    <n v="13480"/>
    <n v="29656"/>
    <s v="2023-02"/>
    <x v="3"/>
    <x v="3"/>
    <x v="5"/>
    <n v="2965.5999999999985"/>
    <n v="19.8"/>
    <n v="10"/>
    <n v="13480"/>
    <n v="0"/>
    <n v="13210.400000000001"/>
    <n v="0.49494949494949497"/>
  </r>
  <r>
    <s v="TX00082"/>
    <x v="1"/>
    <s v="S05"/>
    <x v="0"/>
    <x v="0"/>
    <n v="1828"/>
    <n v="24"/>
    <n v="7.0000000000000007E-2"/>
    <n v="40800.959999999999"/>
    <n v="21936"/>
    <n v="43872"/>
    <s v="2023-02"/>
    <x v="4"/>
    <x v="0"/>
    <x v="0"/>
    <n v="3071.0400000000009"/>
    <n v="22.32"/>
    <n v="12"/>
    <n v="21936"/>
    <n v="0"/>
    <n v="18864.96"/>
    <n v="0.46236559139784944"/>
  </r>
  <r>
    <s v="TX00083"/>
    <x v="1"/>
    <s v="S05"/>
    <x v="1"/>
    <x v="0"/>
    <n v="2488"/>
    <n v="50"/>
    <n v="0.09"/>
    <n v="113204"/>
    <n v="69664"/>
    <n v="124400"/>
    <s v="2023-02"/>
    <x v="4"/>
    <x v="0"/>
    <x v="1"/>
    <n v="11196"/>
    <n v="45.5"/>
    <n v="28"/>
    <n v="69664"/>
    <n v="0"/>
    <n v="43540"/>
    <n v="0.38461538461538464"/>
  </r>
  <r>
    <s v="TX00084"/>
    <x v="1"/>
    <s v="S05"/>
    <x v="2"/>
    <x v="1"/>
    <n v="2324"/>
    <n v="28"/>
    <n v="0.08"/>
    <n v="59866.239999999998"/>
    <n v="34860"/>
    <n v="65072"/>
    <s v="2023-02"/>
    <x v="4"/>
    <x v="0"/>
    <x v="2"/>
    <n v="5205.760000000002"/>
    <n v="25.759999999999998"/>
    <n v="15"/>
    <n v="34860"/>
    <n v="0"/>
    <n v="25006.239999999998"/>
    <n v="0.41770186335403725"/>
  </r>
  <r>
    <s v="TX00085"/>
    <x v="1"/>
    <s v="S05"/>
    <x v="3"/>
    <x v="1"/>
    <n v="2680"/>
    <n v="35"/>
    <n v="0.08"/>
    <n v="86296"/>
    <n v="48240"/>
    <n v="93800"/>
    <s v="2023-02"/>
    <x v="4"/>
    <x v="0"/>
    <x v="2"/>
    <n v="7504"/>
    <n v="32.200000000000003"/>
    <n v="18"/>
    <n v="48240"/>
    <n v="0"/>
    <n v="38056"/>
    <n v="0.44099378881987578"/>
  </r>
  <r>
    <s v="TX00086"/>
    <x v="1"/>
    <s v="S05"/>
    <x v="4"/>
    <x v="2"/>
    <n v="1476"/>
    <n v="18"/>
    <n v="0.05"/>
    <n v="25239.599999999999"/>
    <n v="13284"/>
    <n v="26568"/>
    <s v="2023-02"/>
    <x v="4"/>
    <x v="0"/>
    <x v="3"/>
    <n v="1328.4000000000015"/>
    <n v="17.099999999999998"/>
    <n v="9"/>
    <n v="13284"/>
    <n v="0"/>
    <n v="11955.599999999999"/>
    <n v="0.47368421052631576"/>
  </r>
  <r>
    <s v="TX00087"/>
    <x v="1"/>
    <s v="S05"/>
    <x v="5"/>
    <x v="2"/>
    <n v="2704"/>
    <n v="30"/>
    <n v="0.1"/>
    <n v="73008"/>
    <n v="37856"/>
    <n v="81120"/>
    <s v="2023-02"/>
    <x v="4"/>
    <x v="0"/>
    <x v="3"/>
    <n v="8112"/>
    <n v="27"/>
    <n v="14"/>
    <n v="37856"/>
    <n v="0"/>
    <n v="35152"/>
    <n v="0.48148148148148145"/>
  </r>
  <r>
    <s v="TX00088"/>
    <x v="1"/>
    <s v="S05"/>
    <x v="6"/>
    <x v="3"/>
    <n v="1680"/>
    <n v="40"/>
    <n v="0.06"/>
    <n v="63168"/>
    <n v="33600"/>
    <n v="67200"/>
    <s v="2023-02"/>
    <x v="4"/>
    <x v="0"/>
    <x v="4"/>
    <n v="4032"/>
    <n v="37.6"/>
    <n v="20"/>
    <n v="33600"/>
    <n v="0"/>
    <n v="29568"/>
    <n v="0.46808510638297873"/>
  </r>
  <r>
    <s v="TX00089"/>
    <x v="1"/>
    <s v="S05"/>
    <x v="7"/>
    <x v="4"/>
    <n v="2644"/>
    <n v="10"/>
    <n v="0.09"/>
    <n v="24060.400000000001"/>
    <n v="10576"/>
    <n v="26440"/>
    <s v="2023-02"/>
    <x v="4"/>
    <x v="0"/>
    <x v="5"/>
    <n v="2379.5999999999985"/>
    <n v="9.1000000000000014"/>
    <n v="4"/>
    <n v="10576"/>
    <n v="0"/>
    <n v="13484.400000000001"/>
    <n v="0.56043956043956045"/>
  </r>
  <r>
    <s v="TX00090"/>
    <x v="1"/>
    <s v="S05"/>
    <x v="8"/>
    <x v="4"/>
    <n v="2140"/>
    <n v="22"/>
    <n v="0.08"/>
    <n v="43313.599999999999"/>
    <n v="21400"/>
    <n v="47080"/>
    <s v="2023-02"/>
    <x v="4"/>
    <x v="0"/>
    <x v="5"/>
    <n v="3766.4000000000015"/>
    <n v="20.239999999999998"/>
    <n v="10"/>
    <n v="21400"/>
    <n v="0"/>
    <n v="21913.599999999999"/>
    <n v="0.50592885375494068"/>
  </r>
  <r>
    <s v="TX00091"/>
    <x v="2"/>
    <s v="S01"/>
    <x v="0"/>
    <x v="0"/>
    <n v="1440"/>
    <n v="24"/>
    <n v="0.1"/>
    <n v="31104"/>
    <n v="17280"/>
    <n v="34560"/>
    <s v="2023-03"/>
    <x v="0"/>
    <x v="0"/>
    <x v="0"/>
    <n v="3456"/>
    <n v="21.6"/>
    <n v="12"/>
    <n v="17280"/>
    <n v="0"/>
    <n v="13824"/>
    <n v="0.44444444444444442"/>
  </r>
  <r>
    <s v="TX00092"/>
    <x v="2"/>
    <s v="S01"/>
    <x v="1"/>
    <x v="0"/>
    <n v="2284"/>
    <n v="50"/>
    <n v="0.08"/>
    <n v="105064"/>
    <n v="63952"/>
    <n v="114200"/>
    <s v="2023-03"/>
    <x v="0"/>
    <x v="0"/>
    <x v="1"/>
    <n v="9136"/>
    <n v="46"/>
    <n v="28"/>
    <n v="63952"/>
    <n v="0"/>
    <n v="41112"/>
    <n v="0.39130434782608697"/>
  </r>
  <r>
    <s v="TX00093"/>
    <x v="2"/>
    <s v="S01"/>
    <x v="2"/>
    <x v="1"/>
    <n v="1604"/>
    <n v="28"/>
    <n v="0.08"/>
    <n v="41319.040000000001"/>
    <n v="24060"/>
    <n v="44912"/>
    <s v="2023-03"/>
    <x v="0"/>
    <x v="0"/>
    <x v="2"/>
    <n v="3592.9599999999991"/>
    <n v="25.76"/>
    <n v="15"/>
    <n v="24060"/>
    <n v="0"/>
    <n v="17259.04"/>
    <n v="0.41770186335403731"/>
  </r>
  <r>
    <s v="TX00094"/>
    <x v="2"/>
    <s v="S01"/>
    <x v="3"/>
    <x v="1"/>
    <n v="1508"/>
    <n v="35"/>
    <n v="7.0000000000000007E-2"/>
    <n v="49085.4"/>
    <n v="27144"/>
    <n v="52780"/>
    <s v="2023-03"/>
    <x v="0"/>
    <x v="0"/>
    <x v="2"/>
    <n v="3694.5999999999985"/>
    <n v="32.550000000000004"/>
    <n v="18"/>
    <n v="27144"/>
    <n v="0"/>
    <n v="21941.4"/>
    <n v="0.44700460829493088"/>
  </r>
  <r>
    <s v="TX00095"/>
    <x v="2"/>
    <s v="S01"/>
    <x v="4"/>
    <x v="2"/>
    <n v="2640"/>
    <n v="18"/>
    <n v="0.08"/>
    <n v="43718.400000000001"/>
    <n v="23760"/>
    <n v="47520"/>
    <s v="2023-03"/>
    <x v="0"/>
    <x v="0"/>
    <x v="3"/>
    <n v="3801.5999999999985"/>
    <n v="16.560000000000002"/>
    <n v="9"/>
    <n v="23760"/>
    <n v="0"/>
    <n v="19958.400000000001"/>
    <n v="0.45652173913043481"/>
  </r>
  <r>
    <s v="TX00096"/>
    <x v="2"/>
    <s v="S01"/>
    <x v="5"/>
    <x v="2"/>
    <n v="2116"/>
    <n v="30"/>
    <n v="0.09"/>
    <n v="57766.8"/>
    <n v="29624"/>
    <n v="63480"/>
    <s v="2023-03"/>
    <x v="0"/>
    <x v="0"/>
    <x v="3"/>
    <n v="5713.1999999999971"/>
    <n v="27.3"/>
    <n v="14"/>
    <n v="29624"/>
    <n v="0"/>
    <n v="28142.800000000003"/>
    <n v="0.48717948717948723"/>
  </r>
  <r>
    <s v="TX00097"/>
    <x v="2"/>
    <s v="S01"/>
    <x v="6"/>
    <x v="3"/>
    <n v="2716"/>
    <n v="40"/>
    <n v="0.08"/>
    <n v="99948.800000000003"/>
    <n v="54320"/>
    <n v="108640"/>
    <s v="2023-03"/>
    <x v="0"/>
    <x v="0"/>
    <x v="4"/>
    <n v="8691.1999999999971"/>
    <n v="36.800000000000004"/>
    <n v="20"/>
    <n v="54320"/>
    <n v="0"/>
    <n v="45628.800000000003"/>
    <n v="0.45652173913043481"/>
  </r>
  <r>
    <s v="TX00098"/>
    <x v="2"/>
    <s v="S01"/>
    <x v="7"/>
    <x v="4"/>
    <n v="2220"/>
    <n v="10"/>
    <n v="0.09"/>
    <n v="20202"/>
    <n v="8880"/>
    <n v="22200"/>
    <s v="2023-03"/>
    <x v="0"/>
    <x v="0"/>
    <x v="5"/>
    <n v="1998"/>
    <n v="9.1"/>
    <n v="4"/>
    <n v="8880"/>
    <n v="0"/>
    <n v="11322"/>
    <n v="0.56043956043956045"/>
  </r>
  <r>
    <s v="TX00099"/>
    <x v="2"/>
    <s v="S01"/>
    <x v="8"/>
    <x v="4"/>
    <n v="2800"/>
    <n v="22"/>
    <n v="0.08"/>
    <n v="56672"/>
    <n v="28000"/>
    <n v="61600"/>
    <s v="2023-03"/>
    <x v="0"/>
    <x v="0"/>
    <x v="5"/>
    <n v="4928"/>
    <n v="20.239999999999998"/>
    <n v="10"/>
    <n v="28000"/>
    <n v="0"/>
    <n v="28672"/>
    <n v="0.50592885375494068"/>
  </r>
  <r>
    <s v="TX00100"/>
    <x v="2"/>
    <s v="S02"/>
    <x v="0"/>
    <x v="0"/>
    <n v="1864"/>
    <n v="24"/>
    <n v="0.09"/>
    <n v="40709.760000000002"/>
    <n v="22368"/>
    <n v="44736"/>
    <s v="2023-03"/>
    <x v="1"/>
    <x v="1"/>
    <x v="0"/>
    <n v="4026.239999999998"/>
    <n v="21.84"/>
    <n v="12"/>
    <n v="22368"/>
    <n v="0"/>
    <n v="18341.760000000002"/>
    <n v="0.45054945054945056"/>
  </r>
  <r>
    <s v="TX00101"/>
    <x v="2"/>
    <s v="S02"/>
    <x v="1"/>
    <x v="0"/>
    <n v="1900"/>
    <n v="50"/>
    <n v="0.09"/>
    <n v="86450"/>
    <n v="53200"/>
    <n v="95000"/>
    <s v="2023-03"/>
    <x v="1"/>
    <x v="1"/>
    <x v="1"/>
    <n v="8550"/>
    <n v="45.5"/>
    <n v="28"/>
    <n v="53200"/>
    <n v="0"/>
    <n v="33250"/>
    <n v="0.38461538461538464"/>
  </r>
  <r>
    <s v="TX00102"/>
    <x v="2"/>
    <s v="S02"/>
    <x v="2"/>
    <x v="1"/>
    <n v="2272"/>
    <n v="28"/>
    <n v="7.0000000000000007E-2"/>
    <n v="59162.879999999997"/>
    <n v="34080"/>
    <n v="63616"/>
    <s v="2023-03"/>
    <x v="1"/>
    <x v="1"/>
    <x v="2"/>
    <n v="4453.1200000000026"/>
    <n v="26.04"/>
    <n v="15"/>
    <n v="34080"/>
    <n v="0"/>
    <n v="25082.879999999997"/>
    <n v="0.42396313364055299"/>
  </r>
  <r>
    <s v="TX00103"/>
    <x v="2"/>
    <s v="S02"/>
    <x v="3"/>
    <x v="1"/>
    <n v="1984"/>
    <n v="35"/>
    <n v="0.05"/>
    <n v="65968"/>
    <n v="35712"/>
    <n v="69440"/>
    <s v="2023-03"/>
    <x v="1"/>
    <x v="1"/>
    <x v="2"/>
    <n v="3472"/>
    <n v="33.25"/>
    <n v="18"/>
    <n v="35712"/>
    <n v="0"/>
    <n v="30256"/>
    <n v="0.45864661654135336"/>
  </r>
  <r>
    <s v="TX00104"/>
    <x v="2"/>
    <s v="S02"/>
    <x v="4"/>
    <x v="2"/>
    <n v="2100"/>
    <n v="18"/>
    <n v="0.08"/>
    <n v="34776"/>
    <n v="18900"/>
    <n v="37800"/>
    <s v="2023-03"/>
    <x v="1"/>
    <x v="1"/>
    <x v="3"/>
    <n v="3024"/>
    <n v="16.559999999999999"/>
    <n v="9"/>
    <n v="18900"/>
    <n v="0"/>
    <n v="15876"/>
    <n v="0.45652173913043476"/>
  </r>
  <r>
    <s v="TX00105"/>
    <x v="2"/>
    <s v="S02"/>
    <x v="5"/>
    <x v="2"/>
    <n v="1904"/>
    <n v="30"/>
    <n v="0.08"/>
    <n v="52550.400000000001"/>
    <n v="26656"/>
    <n v="57120"/>
    <s v="2023-03"/>
    <x v="1"/>
    <x v="1"/>
    <x v="3"/>
    <n v="4569.5999999999985"/>
    <n v="27.6"/>
    <n v="14"/>
    <n v="26656"/>
    <n v="0"/>
    <n v="25894.400000000001"/>
    <n v="0.49275362318840582"/>
  </r>
  <r>
    <s v="TX00106"/>
    <x v="2"/>
    <s v="S02"/>
    <x v="6"/>
    <x v="3"/>
    <n v="1260"/>
    <n v="40"/>
    <n v="0.06"/>
    <n v="47376"/>
    <n v="25200"/>
    <n v="50400"/>
    <s v="2023-03"/>
    <x v="1"/>
    <x v="1"/>
    <x v="4"/>
    <n v="3024"/>
    <n v="37.6"/>
    <n v="20"/>
    <n v="25200"/>
    <n v="0"/>
    <n v="22176"/>
    <n v="0.46808510638297873"/>
  </r>
  <r>
    <s v="TX00107"/>
    <x v="2"/>
    <s v="S02"/>
    <x v="7"/>
    <x v="4"/>
    <n v="1448"/>
    <n v="10"/>
    <n v="0.09"/>
    <n v="13176.8"/>
    <n v="5792"/>
    <n v="14480"/>
    <s v="2023-03"/>
    <x v="1"/>
    <x v="1"/>
    <x v="5"/>
    <n v="1303.2000000000007"/>
    <n v="9.1"/>
    <n v="4"/>
    <n v="5792"/>
    <n v="0"/>
    <n v="7384.7999999999993"/>
    <n v="0.56043956043956045"/>
  </r>
  <r>
    <s v="TX00108"/>
    <x v="2"/>
    <s v="S02"/>
    <x v="8"/>
    <x v="4"/>
    <n v="1956"/>
    <n v="22"/>
    <n v="0.06"/>
    <n v="40450.080000000002"/>
    <n v="19560"/>
    <n v="43032"/>
    <s v="2023-03"/>
    <x v="1"/>
    <x v="1"/>
    <x v="5"/>
    <n v="2581.9199999999983"/>
    <n v="20.68"/>
    <n v="10"/>
    <n v="19560"/>
    <n v="0"/>
    <n v="20890.080000000002"/>
    <n v="0.51644100580270791"/>
  </r>
  <r>
    <s v="TX00109"/>
    <x v="2"/>
    <s v="S03"/>
    <x v="0"/>
    <x v="0"/>
    <n v="2596"/>
    <n v="24"/>
    <n v="0.05"/>
    <n v="59188.800000000003"/>
    <n v="31152"/>
    <n v="62304"/>
    <s v="2023-03"/>
    <x v="2"/>
    <x v="2"/>
    <x v="0"/>
    <n v="3115.1999999999971"/>
    <n v="22.8"/>
    <n v="12"/>
    <n v="31152"/>
    <n v="0"/>
    <n v="28036.800000000003"/>
    <n v="0.47368421052631582"/>
  </r>
  <r>
    <s v="TX00110"/>
    <x v="2"/>
    <s v="S03"/>
    <x v="1"/>
    <x v="0"/>
    <n v="2392"/>
    <n v="50"/>
    <n v="0.09"/>
    <n v="108836"/>
    <n v="66976"/>
    <n v="119600"/>
    <s v="2023-03"/>
    <x v="2"/>
    <x v="2"/>
    <x v="1"/>
    <n v="10764"/>
    <n v="45.5"/>
    <n v="28"/>
    <n v="66976"/>
    <n v="0"/>
    <n v="41860"/>
    <n v="0.38461538461538464"/>
  </r>
  <r>
    <s v="TX00111"/>
    <x v="2"/>
    <s v="S03"/>
    <x v="2"/>
    <x v="1"/>
    <n v="2204"/>
    <n v="28"/>
    <n v="0.09"/>
    <n v="56157.919999999998"/>
    <n v="33060"/>
    <n v="61712"/>
    <s v="2023-03"/>
    <x v="2"/>
    <x v="2"/>
    <x v="2"/>
    <n v="5554.0800000000017"/>
    <n v="25.48"/>
    <n v="15"/>
    <n v="33060"/>
    <n v="0"/>
    <n v="23097.919999999998"/>
    <n v="0.41130298273155413"/>
  </r>
  <r>
    <s v="TX00112"/>
    <x v="2"/>
    <s v="S03"/>
    <x v="3"/>
    <x v="1"/>
    <n v="2788"/>
    <n v="35"/>
    <n v="0.06"/>
    <n v="91725.2"/>
    <n v="50184"/>
    <n v="97580"/>
    <s v="2023-03"/>
    <x v="2"/>
    <x v="2"/>
    <x v="2"/>
    <n v="5854.8000000000029"/>
    <n v="32.9"/>
    <n v="18"/>
    <n v="50184"/>
    <n v="0"/>
    <n v="41541.199999999997"/>
    <n v="0.45288753799392095"/>
  </r>
  <r>
    <s v="TX00113"/>
    <x v="2"/>
    <s v="S03"/>
    <x v="4"/>
    <x v="2"/>
    <n v="2552"/>
    <n v="18"/>
    <n v="0.08"/>
    <n v="42261.120000000003"/>
    <n v="22968"/>
    <n v="45936"/>
    <s v="2023-03"/>
    <x v="2"/>
    <x v="2"/>
    <x v="3"/>
    <n v="3674.8799999999974"/>
    <n v="16.560000000000002"/>
    <n v="9"/>
    <n v="22968"/>
    <n v="0"/>
    <n v="19293.120000000003"/>
    <n v="0.45652173913043481"/>
  </r>
  <r>
    <s v="TX00114"/>
    <x v="2"/>
    <s v="S03"/>
    <x v="5"/>
    <x v="2"/>
    <n v="2020"/>
    <n v="30"/>
    <n v="0.06"/>
    <n v="56964"/>
    <n v="28280"/>
    <n v="60600"/>
    <s v="2023-03"/>
    <x v="2"/>
    <x v="2"/>
    <x v="3"/>
    <n v="3636"/>
    <n v="28.2"/>
    <n v="14"/>
    <n v="28280"/>
    <n v="0"/>
    <n v="28684"/>
    <n v="0.50354609929078009"/>
  </r>
  <r>
    <s v="TX00115"/>
    <x v="2"/>
    <s v="S03"/>
    <x v="6"/>
    <x v="3"/>
    <n v="1508"/>
    <n v="40"/>
    <n v="0.06"/>
    <n v="56700.800000000003"/>
    <n v="30160"/>
    <n v="60320"/>
    <s v="2023-03"/>
    <x v="2"/>
    <x v="2"/>
    <x v="4"/>
    <n v="3619.1999999999971"/>
    <n v="37.6"/>
    <n v="20"/>
    <n v="30160"/>
    <n v="0"/>
    <n v="26540.800000000003"/>
    <n v="0.46808510638297873"/>
  </r>
  <r>
    <s v="TX00116"/>
    <x v="2"/>
    <s v="S03"/>
    <x v="7"/>
    <x v="4"/>
    <n v="2592"/>
    <n v="10"/>
    <n v="0.05"/>
    <n v="24624"/>
    <n v="10368"/>
    <n v="25920"/>
    <s v="2023-03"/>
    <x v="2"/>
    <x v="2"/>
    <x v="5"/>
    <n v="1296"/>
    <n v="9.5"/>
    <n v="4"/>
    <n v="10368"/>
    <n v="0"/>
    <n v="14256"/>
    <n v="0.57894736842105265"/>
  </r>
  <r>
    <s v="TX00117"/>
    <x v="2"/>
    <s v="S03"/>
    <x v="8"/>
    <x v="4"/>
    <n v="1524"/>
    <n v="22"/>
    <n v="7.0000000000000007E-2"/>
    <n v="31181.040000000001"/>
    <n v="15240"/>
    <n v="33528"/>
    <s v="2023-03"/>
    <x v="2"/>
    <x v="2"/>
    <x v="5"/>
    <n v="2346.9599999999991"/>
    <n v="20.46"/>
    <n v="10"/>
    <n v="15240"/>
    <n v="0"/>
    <n v="15941.04"/>
    <n v="0.51124144672531768"/>
  </r>
  <r>
    <s v="TX00118"/>
    <x v="2"/>
    <s v="S04"/>
    <x v="0"/>
    <x v="0"/>
    <n v="1992"/>
    <n v="24"/>
    <n v="0.05"/>
    <n v="45417.599999999999"/>
    <n v="23904"/>
    <n v="47808"/>
    <s v="2023-03"/>
    <x v="3"/>
    <x v="3"/>
    <x v="0"/>
    <n v="2390.4000000000015"/>
    <n v="22.8"/>
    <n v="12"/>
    <n v="23904"/>
    <n v="0"/>
    <n v="21513.599999999999"/>
    <n v="0.47368421052631576"/>
  </r>
  <r>
    <s v="TX00119"/>
    <x v="2"/>
    <s v="S04"/>
    <x v="1"/>
    <x v="0"/>
    <n v="2120"/>
    <n v="50"/>
    <n v="0.09"/>
    <n v="96460"/>
    <n v="59360"/>
    <n v="106000"/>
    <s v="2023-03"/>
    <x v="3"/>
    <x v="3"/>
    <x v="1"/>
    <n v="9540"/>
    <n v="45.5"/>
    <n v="28"/>
    <n v="59360"/>
    <n v="0"/>
    <n v="37100"/>
    <n v="0.38461538461538464"/>
  </r>
  <r>
    <s v="TX00120"/>
    <x v="2"/>
    <s v="S04"/>
    <x v="2"/>
    <x v="1"/>
    <n v="1316"/>
    <n v="28"/>
    <n v="0.08"/>
    <n v="33900.160000000003"/>
    <n v="19740"/>
    <n v="36848"/>
    <s v="2023-03"/>
    <x v="3"/>
    <x v="3"/>
    <x v="2"/>
    <n v="2947.8399999999965"/>
    <n v="25.76"/>
    <n v="15"/>
    <n v="19740"/>
    <n v="0"/>
    <n v="14160.160000000003"/>
    <n v="0.41770186335403731"/>
  </r>
  <r>
    <s v="TX00121"/>
    <x v="2"/>
    <s v="S04"/>
    <x v="3"/>
    <x v="1"/>
    <n v="2696"/>
    <n v="35"/>
    <n v="0.05"/>
    <n v="89642"/>
    <n v="48528"/>
    <n v="94360"/>
    <s v="2023-03"/>
    <x v="3"/>
    <x v="3"/>
    <x v="2"/>
    <n v="4718"/>
    <n v="33.25"/>
    <n v="18"/>
    <n v="48528"/>
    <n v="0"/>
    <n v="41114"/>
    <n v="0.45864661654135336"/>
  </r>
  <r>
    <s v="TX00122"/>
    <x v="2"/>
    <s v="S04"/>
    <x v="4"/>
    <x v="2"/>
    <n v="2532"/>
    <n v="18"/>
    <n v="0.08"/>
    <n v="41929.919999999998"/>
    <n v="22788"/>
    <n v="45576"/>
    <s v="2023-03"/>
    <x v="3"/>
    <x v="3"/>
    <x v="3"/>
    <n v="3646.0800000000017"/>
    <n v="16.559999999999999"/>
    <n v="9"/>
    <n v="22788"/>
    <n v="0"/>
    <n v="19141.919999999998"/>
    <n v="0.45652173913043476"/>
  </r>
  <r>
    <s v="TX00123"/>
    <x v="2"/>
    <s v="S04"/>
    <x v="5"/>
    <x v="2"/>
    <n v="2008"/>
    <n v="30"/>
    <n v="0.06"/>
    <n v="56625.599999999999"/>
    <n v="28112"/>
    <n v="60240"/>
    <s v="2023-03"/>
    <x v="3"/>
    <x v="3"/>
    <x v="3"/>
    <n v="3614.4000000000015"/>
    <n v="28.2"/>
    <n v="14"/>
    <n v="28112"/>
    <n v="0"/>
    <n v="28513.599999999999"/>
    <n v="0.50354609929078009"/>
  </r>
  <r>
    <s v="TX00124"/>
    <x v="2"/>
    <s v="S04"/>
    <x v="6"/>
    <x v="3"/>
    <n v="1304"/>
    <n v="40"/>
    <n v="0.1"/>
    <n v="46944"/>
    <n v="26080"/>
    <n v="52160"/>
    <s v="2023-03"/>
    <x v="3"/>
    <x v="3"/>
    <x v="4"/>
    <n v="5216"/>
    <n v="36"/>
    <n v="20"/>
    <n v="26080"/>
    <n v="0"/>
    <n v="20864"/>
    <n v="0.44444444444444442"/>
  </r>
  <r>
    <s v="TX00125"/>
    <x v="2"/>
    <s v="S04"/>
    <x v="7"/>
    <x v="4"/>
    <n v="1608"/>
    <n v="10"/>
    <n v="0.1"/>
    <n v="14472"/>
    <n v="6432"/>
    <n v="16080"/>
    <s v="2023-03"/>
    <x v="3"/>
    <x v="3"/>
    <x v="5"/>
    <n v="1608"/>
    <n v="9"/>
    <n v="4"/>
    <n v="6432"/>
    <n v="0"/>
    <n v="8040"/>
    <n v="0.55555555555555558"/>
  </r>
  <r>
    <s v="TX00126"/>
    <x v="2"/>
    <s v="S04"/>
    <x v="8"/>
    <x v="4"/>
    <n v="2104"/>
    <n v="22"/>
    <n v="0.08"/>
    <n v="42584.959999999999"/>
    <n v="21040"/>
    <n v="46288"/>
    <s v="2023-03"/>
    <x v="3"/>
    <x v="3"/>
    <x v="5"/>
    <n v="3703.0400000000009"/>
    <n v="20.239999999999998"/>
    <n v="10"/>
    <n v="21040"/>
    <n v="0"/>
    <n v="21544.959999999999"/>
    <n v="0.50592885375494068"/>
  </r>
  <r>
    <s v="TX00127"/>
    <x v="2"/>
    <s v="S05"/>
    <x v="0"/>
    <x v="0"/>
    <n v="2400"/>
    <n v="24"/>
    <n v="0.09"/>
    <n v="52416"/>
    <n v="28800"/>
    <n v="57600"/>
    <s v="2023-03"/>
    <x v="4"/>
    <x v="0"/>
    <x v="0"/>
    <n v="5184"/>
    <n v="21.84"/>
    <n v="12"/>
    <n v="28800"/>
    <n v="0"/>
    <n v="23616"/>
    <n v="0.45054945054945056"/>
  </r>
  <r>
    <s v="TX00128"/>
    <x v="2"/>
    <s v="S05"/>
    <x v="1"/>
    <x v="0"/>
    <n v="1280"/>
    <n v="50"/>
    <n v="0.08"/>
    <n v="58880"/>
    <n v="35840"/>
    <n v="64000"/>
    <s v="2023-03"/>
    <x v="4"/>
    <x v="0"/>
    <x v="1"/>
    <n v="5120"/>
    <n v="46"/>
    <n v="28"/>
    <n v="35840"/>
    <n v="0"/>
    <n v="23040"/>
    <n v="0.39130434782608697"/>
  </r>
  <r>
    <s v="TX00129"/>
    <x v="2"/>
    <s v="S05"/>
    <x v="2"/>
    <x v="1"/>
    <n v="2524"/>
    <n v="28"/>
    <n v="0.08"/>
    <n v="65018.239999999998"/>
    <n v="37860"/>
    <n v="70672"/>
    <s v="2023-03"/>
    <x v="4"/>
    <x v="0"/>
    <x v="2"/>
    <n v="5653.760000000002"/>
    <n v="25.759999999999998"/>
    <n v="15"/>
    <n v="37860"/>
    <n v="0"/>
    <n v="27158.239999999998"/>
    <n v="0.41770186335403725"/>
  </r>
  <r>
    <s v="TX00130"/>
    <x v="2"/>
    <s v="S05"/>
    <x v="3"/>
    <x v="1"/>
    <n v="2176"/>
    <n v="35"/>
    <n v="0.05"/>
    <n v="72352"/>
    <n v="39168"/>
    <n v="76160"/>
    <s v="2023-03"/>
    <x v="4"/>
    <x v="0"/>
    <x v="2"/>
    <n v="3808"/>
    <n v="33.25"/>
    <n v="18"/>
    <n v="39168"/>
    <n v="0"/>
    <n v="33184"/>
    <n v="0.45864661654135336"/>
  </r>
  <r>
    <s v="TX00131"/>
    <x v="2"/>
    <s v="S05"/>
    <x v="4"/>
    <x v="2"/>
    <n v="2268"/>
    <n v="18"/>
    <n v="7.0000000000000007E-2"/>
    <n v="37966.32"/>
    <n v="20412"/>
    <n v="40824"/>
    <s v="2023-03"/>
    <x v="4"/>
    <x v="0"/>
    <x v="3"/>
    <n v="2857.6800000000003"/>
    <n v="16.739999999999998"/>
    <n v="9"/>
    <n v="20412"/>
    <n v="0"/>
    <n v="17554.32"/>
    <n v="0.46236559139784944"/>
  </r>
  <r>
    <s v="TX00132"/>
    <x v="2"/>
    <s v="S05"/>
    <x v="5"/>
    <x v="2"/>
    <n v="2336"/>
    <n v="30"/>
    <n v="0.05"/>
    <n v="66576"/>
    <n v="32704"/>
    <n v="70080"/>
    <s v="2023-03"/>
    <x v="4"/>
    <x v="0"/>
    <x v="3"/>
    <n v="3504"/>
    <n v="28.5"/>
    <n v="14"/>
    <n v="32704"/>
    <n v="0"/>
    <n v="33872"/>
    <n v="0.50877192982456143"/>
  </r>
  <r>
    <s v="TX00133"/>
    <x v="2"/>
    <s v="S05"/>
    <x v="6"/>
    <x v="3"/>
    <n v="2564"/>
    <n v="40"/>
    <n v="0.05"/>
    <n v="97432"/>
    <n v="51280"/>
    <n v="102560"/>
    <s v="2023-03"/>
    <x v="4"/>
    <x v="0"/>
    <x v="4"/>
    <n v="5128"/>
    <n v="38"/>
    <n v="20"/>
    <n v="51280"/>
    <n v="0"/>
    <n v="46152"/>
    <n v="0.47368421052631576"/>
  </r>
  <r>
    <s v="TX00134"/>
    <x v="2"/>
    <s v="S05"/>
    <x v="7"/>
    <x v="4"/>
    <n v="2784"/>
    <n v="10"/>
    <n v="0.05"/>
    <n v="26448"/>
    <n v="11136"/>
    <n v="27840"/>
    <s v="2023-03"/>
    <x v="4"/>
    <x v="0"/>
    <x v="5"/>
    <n v="1392"/>
    <n v="9.5"/>
    <n v="4"/>
    <n v="11136"/>
    <n v="0"/>
    <n v="15312"/>
    <n v="0.57894736842105265"/>
  </r>
  <r>
    <s v="TX00135"/>
    <x v="2"/>
    <s v="S05"/>
    <x v="8"/>
    <x v="4"/>
    <n v="1328"/>
    <n v="22"/>
    <n v="0.09"/>
    <n v="26586.560000000001"/>
    <n v="13280"/>
    <n v="29216"/>
    <s v="2023-03"/>
    <x v="4"/>
    <x v="0"/>
    <x v="5"/>
    <n v="2629.4399999999987"/>
    <n v="20.02"/>
    <n v="10"/>
    <n v="13280"/>
    <n v="0"/>
    <n v="13306.560000000001"/>
    <n v="0.50049950049950054"/>
  </r>
  <r>
    <s v="TX00136"/>
    <x v="3"/>
    <s v="S01"/>
    <x v="0"/>
    <x v="0"/>
    <n v="2608"/>
    <n v="24"/>
    <n v="0.06"/>
    <n v="58836.480000000003"/>
    <n v="31296"/>
    <n v="62592"/>
    <s v="2023-04"/>
    <x v="0"/>
    <x v="0"/>
    <x v="0"/>
    <n v="3755.5199999999968"/>
    <n v="22.560000000000002"/>
    <n v="12"/>
    <n v="31296"/>
    <n v="0"/>
    <n v="27540.480000000003"/>
    <n v="0.46808510638297873"/>
  </r>
  <r>
    <s v="TX00137"/>
    <x v="3"/>
    <s v="S01"/>
    <x v="1"/>
    <x v="0"/>
    <n v="1868"/>
    <n v="50"/>
    <n v="0.09"/>
    <n v="84994"/>
    <n v="52304"/>
    <n v="93400"/>
    <s v="2023-04"/>
    <x v="0"/>
    <x v="0"/>
    <x v="1"/>
    <n v="8406"/>
    <n v="45.5"/>
    <n v="28"/>
    <n v="52304"/>
    <n v="0"/>
    <n v="32690"/>
    <n v="0.38461538461538464"/>
  </r>
  <r>
    <s v="TX00138"/>
    <x v="3"/>
    <s v="S01"/>
    <x v="2"/>
    <x v="1"/>
    <n v="1484"/>
    <n v="28"/>
    <n v="0.09"/>
    <n v="37812.32"/>
    <n v="22260"/>
    <n v="41552"/>
    <s v="2023-04"/>
    <x v="0"/>
    <x v="0"/>
    <x v="2"/>
    <n v="3739.6800000000003"/>
    <n v="25.48"/>
    <n v="15"/>
    <n v="22260"/>
    <n v="0"/>
    <n v="15552.32"/>
    <n v="0.41130298273155413"/>
  </r>
  <r>
    <s v="TX00139"/>
    <x v="3"/>
    <s v="S01"/>
    <x v="3"/>
    <x v="1"/>
    <n v="1992"/>
    <n v="35"/>
    <n v="0.05"/>
    <n v="66234"/>
    <n v="35856"/>
    <n v="69720"/>
    <s v="2023-04"/>
    <x v="0"/>
    <x v="0"/>
    <x v="2"/>
    <n v="3486"/>
    <n v="33.25"/>
    <n v="18"/>
    <n v="35856"/>
    <n v="0"/>
    <n v="30378"/>
    <n v="0.45864661654135336"/>
  </r>
  <r>
    <s v="TX00140"/>
    <x v="3"/>
    <s v="S01"/>
    <x v="4"/>
    <x v="2"/>
    <n v="1896"/>
    <n v="18"/>
    <n v="0.08"/>
    <n v="31397.759999999998"/>
    <n v="17064"/>
    <n v="34128"/>
    <s v="2023-04"/>
    <x v="0"/>
    <x v="0"/>
    <x v="3"/>
    <n v="2730.2400000000016"/>
    <n v="16.559999999999999"/>
    <n v="9"/>
    <n v="17064"/>
    <n v="0"/>
    <n v="14333.759999999998"/>
    <n v="0.45652173913043476"/>
  </r>
  <r>
    <s v="TX00141"/>
    <x v="3"/>
    <s v="S01"/>
    <x v="5"/>
    <x v="2"/>
    <n v="1492"/>
    <n v="30"/>
    <n v="0.06"/>
    <n v="42074.400000000001"/>
    <n v="20888"/>
    <n v="44760"/>
    <s v="2023-04"/>
    <x v="0"/>
    <x v="0"/>
    <x v="3"/>
    <n v="2685.5999999999985"/>
    <n v="28.2"/>
    <n v="14"/>
    <n v="20888"/>
    <n v="0"/>
    <n v="21186.400000000001"/>
    <n v="0.5035460992907802"/>
  </r>
  <r>
    <s v="TX00142"/>
    <x v="3"/>
    <s v="S01"/>
    <x v="6"/>
    <x v="3"/>
    <n v="1284"/>
    <n v="40"/>
    <n v="0.08"/>
    <n v="47251.199999999997"/>
    <n v="25680"/>
    <n v="51360"/>
    <s v="2023-04"/>
    <x v="0"/>
    <x v="0"/>
    <x v="4"/>
    <n v="4108.8000000000029"/>
    <n v="36.799999999999997"/>
    <n v="20"/>
    <n v="25680"/>
    <n v="0"/>
    <n v="21571.199999999997"/>
    <n v="0.45652173913043476"/>
  </r>
  <r>
    <s v="TX00143"/>
    <x v="3"/>
    <s v="S01"/>
    <x v="7"/>
    <x v="4"/>
    <n v="2392"/>
    <n v="10"/>
    <n v="7.0000000000000007E-2"/>
    <n v="22245.599999999999"/>
    <n v="9568"/>
    <n v="23920"/>
    <s v="2023-04"/>
    <x v="0"/>
    <x v="0"/>
    <x v="5"/>
    <n v="1674.4000000000015"/>
    <n v="9.2999999999999989"/>
    <n v="4"/>
    <n v="9568"/>
    <n v="0"/>
    <n v="12677.599999999999"/>
    <n v="0.56989247311827951"/>
  </r>
  <r>
    <s v="TX00144"/>
    <x v="3"/>
    <s v="S01"/>
    <x v="8"/>
    <x v="4"/>
    <n v="1736"/>
    <n v="22"/>
    <n v="7.0000000000000007E-2"/>
    <n v="35518.559999999998"/>
    <n v="17360"/>
    <n v="38192"/>
    <s v="2023-04"/>
    <x v="0"/>
    <x v="0"/>
    <x v="5"/>
    <n v="2673.4400000000023"/>
    <n v="20.459999999999997"/>
    <n v="10"/>
    <n v="17360"/>
    <n v="0"/>
    <n v="18158.559999999998"/>
    <n v="0.51124144672531768"/>
  </r>
  <r>
    <s v="TX00145"/>
    <x v="3"/>
    <s v="S02"/>
    <x v="0"/>
    <x v="0"/>
    <n v="1888"/>
    <n v="24"/>
    <n v="0.09"/>
    <n v="41233.919999999998"/>
    <n v="22656"/>
    <n v="45312"/>
    <s v="2023-04"/>
    <x v="1"/>
    <x v="1"/>
    <x v="0"/>
    <n v="4078.0800000000017"/>
    <n v="21.84"/>
    <n v="12"/>
    <n v="22656"/>
    <n v="0"/>
    <n v="18577.919999999998"/>
    <n v="0.4505494505494505"/>
  </r>
  <r>
    <s v="TX00146"/>
    <x v="3"/>
    <s v="S02"/>
    <x v="1"/>
    <x v="0"/>
    <n v="2452"/>
    <n v="50"/>
    <n v="0.09"/>
    <n v="111566"/>
    <n v="68656"/>
    <n v="122600"/>
    <s v="2023-04"/>
    <x v="1"/>
    <x v="1"/>
    <x v="1"/>
    <n v="11034"/>
    <n v="45.5"/>
    <n v="28"/>
    <n v="68656"/>
    <n v="0"/>
    <n v="42910"/>
    <n v="0.38461538461538464"/>
  </r>
  <r>
    <s v="TX00147"/>
    <x v="3"/>
    <s v="S02"/>
    <x v="2"/>
    <x v="1"/>
    <n v="1996"/>
    <n v="28"/>
    <n v="0.08"/>
    <n v="51416.959999999999"/>
    <n v="29940"/>
    <n v="55888"/>
    <s v="2023-04"/>
    <x v="1"/>
    <x v="1"/>
    <x v="2"/>
    <n v="4471.0400000000009"/>
    <n v="25.759999999999998"/>
    <n v="15"/>
    <n v="29940"/>
    <n v="0"/>
    <n v="21476.959999999999"/>
    <n v="0.41770186335403725"/>
  </r>
  <r>
    <s v="TX00148"/>
    <x v="3"/>
    <s v="S02"/>
    <x v="3"/>
    <x v="1"/>
    <n v="1316"/>
    <n v="35"/>
    <n v="7.0000000000000007E-2"/>
    <n v="42835.8"/>
    <n v="23688"/>
    <n v="46060"/>
    <s v="2023-04"/>
    <x v="1"/>
    <x v="1"/>
    <x v="2"/>
    <n v="3224.1999999999971"/>
    <n v="32.550000000000004"/>
    <n v="18"/>
    <n v="23688"/>
    <n v="0"/>
    <n v="19147.800000000003"/>
    <n v="0.44700460829493094"/>
  </r>
  <r>
    <s v="TX00149"/>
    <x v="3"/>
    <s v="S02"/>
    <x v="4"/>
    <x v="2"/>
    <n v="2688"/>
    <n v="18"/>
    <n v="0.1"/>
    <n v="43545.599999999999"/>
    <n v="24192"/>
    <n v="48384"/>
    <s v="2023-04"/>
    <x v="1"/>
    <x v="1"/>
    <x v="3"/>
    <n v="4838.4000000000015"/>
    <n v="16.2"/>
    <n v="9"/>
    <n v="24192"/>
    <n v="0"/>
    <n v="19353.599999999999"/>
    <n v="0.44444444444444442"/>
  </r>
  <r>
    <s v="TX00150"/>
    <x v="3"/>
    <s v="S02"/>
    <x v="5"/>
    <x v="2"/>
    <n v="1332"/>
    <n v="30"/>
    <n v="0.06"/>
    <n v="37562.400000000001"/>
    <n v="18648"/>
    <n v="39960"/>
    <s v="2023-04"/>
    <x v="1"/>
    <x v="1"/>
    <x v="3"/>
    <n v="2397.5999999999985"/>
    <n v="28.200000000000003"/>
    <n v="14"/>
    <n v="18648"/>
    <n v="0"/>
    <n v="18914.400000000001"/>
    <n v="0.5035460992907802"/>
  </r>
  <r>
    <s v="TX00151"/>
    <x v="3"/>
    <s v="S02"/>
    <x v="6"/>
    <x v="3"/>
    <n v="2680"/>
    <n v="40"/>
    <n v="0.06"/>
    <n v="100768"/>
    <n v="53600"/>
    <n v="107200"/>
    <s v="2023-04"/>
    <x v="1"/>
    <x v="1"/>
    <x v="4"/>
    <n v="6432"/>
    <n v="37.6"/>
    <n v="20"/>
    <n v="53600"/>
    <n v="0"/>
    <n v="47168"/>
    <n v="0.46808510638297873"/>
  </r>
  <r>
    <s v="TX00152"/>
    <x v="3"/>
    <s v="S02"/>
    <x v="7"/>
    <x v="4"/>
    <n v="1628"/>
    <n v="10"/>
    <n v="0.06"/>
    <n v="15303.2"/>
    <n v="6512"/>
    <n v="16280"/>
    <s v="2023-04"/>
    <x v="1"/>
    <x v="1"/>
    <x v="5"/>
    <n v="976.79999999999927"/>
    <n v="9.4"/>
    <n v="4"/>
    <n v="6512"/>
    <n v="0"/>
    <n v="8791.2000000000007"/>
    <n v="0.57446808510638303"/>
  </r>
  <r>
    <s v="TX00153"/>
    <x v="3"/>
    <s v="S02"/>
    <x v="8"/>
    <x v="4"/>
    <n v="2672"/>
    <n v="22"/>
    <n v="0.06"/>
    <n v="55256.959999999999"/>
    <n v="26720"/>
    <n v="58784"/>
    <s v="2023-04"/>
    <x v="1"/>
    <x v="1"/>
    <x v="5"/>
    <n v="3527.0400000000009"/>
    <n v="20.68"/>
    <n v="10"/>
    <n v="26720"/>
    <n v="0"/>
    <n v="28536.959999999999"/>
    <n v="0.51644100580270791"/>
  </r>
  <r>
    <s v="TX00154"/>
    <x v="3"/>
    <s v="S03"/>
    <x v="0"/>
    <x v="0"/>
    <n v="2492"/>
    <n v="24"/>
    <n v="0.08"/>
    <n v="55023.360000000001"/>
    <n v="29904"/>
    <n v="59808"/>
    <s v="2023-04"/>
    <x v="2"/>
    <x v="2"/>
    <x v="0"/>
    <n v="4784.6399999999994"/>
    <n v="22.080000000000002"/>
    <n v="12"/>
    <n v="29904"/>
    <n v="0"/>
    <n v="25119.360000000001"/>
    <n v="0.45652173913043481"/>
  </r>
  <r>
    <s v="TX00155"/>
    <x v="3"/>
    <s v="S03"/>
    <x v="1"/>
    <x v="0"/>
    <n v="2048"/>
    <n v="50"/>
    <n v="0.09"/>
    <n v="93184"/>
    <n v="57344"/>
    <n v="102400"/>
    <s v="2023-04"/>
    <x v="2"/>
    <x v="2"/>
    <x v="1"/>
    <n v="9216"/>
    <n v="45.5"/>
    <n v="28"/>
    <n v="57344"/>
    <n v="0"/>
    <n v="35840"/>
    <n v="0.38461538461538464"/>
  </r>
  <r>
    <s v="TX00156"/>
    <x v="3"/>
    <s v="S03"/>
    <x v="2"/>
    <x v="1"/>
    <n v="1272"/>
    <n v="28"/>
    <n v="0.08"/>
    <n v="32766.720000000001"/>
    <n v="19080"/>
    <n v="35616"/>
    <s v="2023-04"/>
    <x v="2"/>
    <x v="2"/>
    <x v="2"/>
    <n v="2849.2799999999988"/>
    <n v="25.76"/>
    <n v="15"/>
    <n v="19080"/>
    <n v="0"/>
    <n v="13686.720000000001"/>
    <n v="0.41770186335403731"/>
  </r>
  <r>
    <s v="TX00157"/>
    <x v="3"/>
    <s v="S03"/>
    <x v="3"/>
    <x v="1"/>
    <n v="2116"/>
    <n v="35"/>
    <n v="0.08"/>
    <n v="68135.199999999997"/>
    <n v="38088"/>
    <n v="74060"/>
    <s v="2023-04"/>
    <x v="2"/>
    <x v="2"/>
    <x v="2"/>
    <n v="5924.8000000000029"/>
    <n v="32.199999999999996"/>
    <n v="18"/>
    <n v="38088"/>
    <n v="0"/>
    <n v="30047.199999999997"/>
    <n v="0.44099378881987578"/>
  </r>
  <r>
    <s v="TX00158"/>
    <x v="3"/>
    <s v="S03"/>
    <x v="4"/>
    <x v="2"/>
    <n v="1892"/>
    <n v="18"/>
    <n v="0.06"/>
    <n v="32012.639999999999"/>
    <n v="17028"/>
    <n v="34056"/>
    <s v="2023-04"/>
    <x v="2"/>
    <x v="2"/>
    <x v="3"/>
    <n v="2043.3600000000006"/>
    <n v="16.919999999999998"/>
    <n v="9"/>
    <n v="17028"/>
    <n v="0"/>
    <n v="14984.64"/>
    <n v="0.46808510638297873"/>
  </r>
  <r>
    <s v="TX00159"/>
    <x v="3"/>
    <s v="S03"/>
    <x v="5"/>
    <x v="2"/>
    <n v="2248"/>
    <n v="30"/>
    <n v="0.09"/>
    <n v="61370.400000000001"/>
    <n v="31472"/>
    <n v="67440"/>
    <s v="2023-04"/>
    <x v="2"/>
    <x v="2"/>
    <x v="3"/>
    <n v="6069.5999999999985"/>
    <n v="27.3"/>
    <n v="14"/>
    <n v="31472"/>
    <n v="0"/>
    <n v="29898.400000000001"/>
    <n v="0.48717948717948717"/>
  </r>
  <r>
    <s v="TX00160"/>
    <x v="3"/>
    <s v="S03"/>
    <x v="6"/>
    <x v="3"/>
    <n v="2500"/>
    <n v="40"/>
    <n v="7.0000000000000007E-2"/>
    <n v="93000"/>
    <n v="50000"/>
    <n v="100000"/>
    <s v="2023-04"/>
    <x v="2"/>
    <x v="2"/>
    <x v="4"/>
    <n v="7000"/>
    <n v="37.200000000000003"/>
    <n v="20"/>
    <n v="50000"/>
    <n v="0"/>
    <n v="43000"/>
    <n v="0.46236559139784944"/>
  </r>
  <r>
    <s v="TX00161"/>
    <x v="3"/>
    <s v="S03"/>
    <x v="7"/>
    <x v="4"/>
    <n v="1836"/>
    <n v="10"/>
    <n v="0.08"/>
    <n v="16891.2"/>
    <n v="7344"/>
    <n v="18360"/>
    <s v="2023-04"/>
    <x v="2"/>
    <x v="2"/>
    <x v="5"/>
    <n v="1468.7999999999993"/>
    <n v="9.2000000000000011"/>
    <n v="4"/>
    <n v="7344"/>
    <n v="0"/>
    <n v="9547.2000000000007"/>
    <n v="0.56521739130434789"/>
  </r>
  <r>
    <s v="TX00162"/>
    <x v="3"/>
    <s v="S03"/>
    <x v="8"/>
    <x v="4"/>
    <n v="2436"/>
    <n v="22"/>
    <n v="0.08"/>
    <n v="49304.639999999999"/>
    <n v="24360"/>
    <n v="53592"/>
    <s v="2023-04"/>
    <x v="2"/>
    <x v="2"/>
    <x v="5"/>
    <n v="4287.3600000000006"/>
    <n v="20.239999999999998"/>
    <n v="10"/>
    <n v="24360"/>
    <n v="0"/>
    <n v="24944.639999999999"/>
    <n v="0.50592885375494068"/>
  </r>
  <r>
    <s v="TX00163"/>
    <x v="3"/>
    <s v="S04"/>
    <x v="0"/>
    <x v="0"/>
    <n v="1936"/>
    <n v="24"/>
    <n v="0.08"/>
    <n v="42746.879999999997"/>
    <n v="23232"/>
    <n v="46464"/>
    <s v="2023-04"/>
    <x v="3"/>
    <x v="3"/>
    <x v="0"/>
    <n v="3717.1200000000026"/>
    <n v="22.08"/>
    <n v="12"/>
    <n v="23232"/>
    <n v="0"/>
    <n v="19514.879999999997"/>
    <n v="0.45652173913043476"/>
  </r>
  <r>
    <s v="TX00164"/>
    <x v="3"/>
    <s v="S04"/>
    <x v="1"/>
    <x v="0"/>
    <n v="1372"/>
    <n v="50"/>
    <n v="0.08"/>
    <n v="63112"/>
    <n v="38416"/>
    <n v="68600"/>
    <s v="2023-04"/>
    <x v="3"/>
    <x v="3"/>
    <x v="1"/>
    <n v="5488"/>
    <n v="46"/>
    <n v="28"/>
    <n v="38416"/>
    <n v="0"/>
    <n v="24696"/>
    <n v="0.39130434782608697"/>
  </r>
  <r>
    <s v="TX00165"/>
    <x v="3"/>
    <s v="S04"/>
    <x v="2"/>
    <x v="1"/>
    <n v="2052"/>
    <n v="28"/>
    <n v="0.06"/>
    <n v="54008.639999999999"/>
    <n v="30780"/>
    <n v="57456"/>
    <s v="2023-04"/>
    <x v="3"/>
    <x v="3"/>
    <x v="2"/>
    <n v="3447.3600000000006"/>
    <n v="26.32"/>
    <n v="15"/>
    <n v="30780"/>
    <n v="0"/>
    <n v="23228.639999999999"/>
    <n v="0.43009118541033436"/>
  </r>
  <r>
    <s v="TX00166"/>
    <x v="3"/>
    <s v="S04"/>
    <x v="3"/>
    <x v="1"/>
    <n v="2220"/>
    <n v="35"/>
    <n v="7.0000000000000007E-2"/>
    <n v="72261"/>
    <n v="39960"/>
    <n v="77700"/>
    <s v="2023-04"/>
    <x v="3"/>
    <x v="3"/>
    <x v="2"/>
    <n v="5439"/>
    <n v="32.549999999999997"/>
    <n v="18"/>
    <n v="39960"/>
    <n v="0"/>
    <n v="32301"/>
    <n v="0.44700460829493088"/>
  </r>
  <r>
    <s v="TX00167"/>
    <x v="3"/>
    <s v="S04"/>
    <x v="4"/>
    <x v="2"/>
    <n v="1776"/>
    <n v="18"/>
    <n v="0.05"/>
    <n v="30369.599999999999"/>
    <n v="15984"/>
    <n v="31968"/>
    <s v="2023-04"/>
    <x v="3"/>
    <x v="3"/>
    <x v="3"/>
    <n v="1598.4000000000015"/>
    <n v="17.099999999999998"/>
    <n v="9"/>
    <n v="15984"/>
    <n v="0"/>
    <n v="14385.599999999999"/>
    <n v="0.47368421052631576"/>
  </r>
  <r>
    <s v="TX00168"/>
    <x v="3"/>
    <s v="S04"/>
    <x v="5"/>
    <x v="2"/>
    <n v="2368"/>
    <n v="30"/>
    <n v="0.06"/>
    <n v="66777.600000000006"/>
    <n v="33152"/>
    <n v="71040"/>
    <s v="2023-04"/>
    <x v="3"/>
    <x v="3"/>
    <x v="3"/>
    <n v="4262.3999999999942"/>
    <n v="28.200000000000003"/>
    <n v="14"/>
    <n v="33152"/>
    <n v="0"/>
    <n v="33625.600000000006"/>
    <n v="0.5035460992907802"/>
  </r>
  <r>
    <s v="TX00169"/>
    <x v="3"/>
    <s v="S04"/>
    <x v="6"/>
    <x v="3"/>
    <n v="2160"/>
    <n v="40"/>
    <n v="0.09"/>
    <n v="78624"/>
    <n v="43200"/>
    <n v="86400"/>
    <s v="2023-04"/>
    <x v="3"/>
    <x v="3"/>
    <x v="4"/>
    <n v="7776"/>
    <n v="36.4"/>
    <n v="20"/>
    <n v="43200"/>
    <n v="0"/>
    <n v="35424"/>
    <n v="0.45054945054945056"/>
  </r>
  <r>
    <s v="TX00170"/>
    <x v="3"/>
    <s v="S04"/>
    <x v="7"/>
    <x v="4"/>
    <n v="1900"/>
    <n v="10"/>
    <n v="0.1"/>
    <n v="17100"/>
    <n v="7600"/>
    <n v="19000"/>
    <s v="2023-04"/>
    <x v="3"/>
    <x v="3"/>
    <x v="5"/>
    <n v="1900"/>
    <n v="9"/>
    <n v="4"/>
    <n v="7600"/>
    <n v="0"/>
    <n v="9500"/>
    <n v="0.55555555555555558"/>
  </r>
  <r>
    <s v="TX00171"/>
    <x v="3"/>
    <s v="S04"/>
    <x v="8"/>
    <x v="4"/>
    <n v="1880"/>
    <n v="22"/>
    <n v="0.06"/>
    <n v="38878.400000000001"/>
    <n v="18800"/>
    <n v="41360"/>
    <s v="2023-04"/>
    <x v="3"/>
    <x v="3"/>
    <x v="5"/>
    <n v="2481.5999999999985"/>
    <n v="20.68"/>
    <n v="10"/>
    <n v="18800"/>
    <n v="0"/>
    <n v="20078.400000000001"/>
    <n v="0.51644100580270791"/>
  </r>
  <r>
    <s v="TX00172"/>
    <x v="3"/>
    <s v="S05"/>
    <x v="0"/>
    <x v="0"/>
    <n v="1792"/>
    <n v="24"/>
    <n v="0.08"/>
    <n v="39567.360000000001"/>
    <n v="21504"/>
    <n v="43008"/>
    <s v="2023-04"/>
    <x v="4"/>
    <x v="0"/>
    <x v="0"/>
    <n v="3440.6399999999994"/>
    <n v="22.080000000000002"/>
    <n v="12"/>
    <n v="21504"/>
    <n v="0"/>
    <n v="18063.36"/>
    <n v="0.45652173913043481"/>
  </r>
  <r>
    <s v="TX00173"/>
    <x v="3"/>
    <s v="S05"/>
    <x v="1"/>
    <x v="0"/>
    <n v="2700"/>
    <n v="50"/>
    <n v="0.06"/>
    <n v="126900"/>
    <n v="75600"/>
    <n v="135000"/>
    <s v="2023-04"/>
    <x v="4"/>
    <x v="0"/>
    <x v="1"/>
    <n v="8100"/>
    <n v="47"/>
    <n v="28"/>
    <n v="75600"/>
    <n v="0"/>
    <n v="51300"/>
    <n v="0.40425531914893614"/>
  </r>
  <r>
    <s v="TX00174"/>
    <x v="3"/>
    <s v="S05"/>
    <x v="2"/>
    <x v="1"/>
    <n v="2320"/>
    <n v="28"/>
    <n v="0.1"/>
    <n v="58464"/>
    <n v="34800"/>
    <n v="64960"/>
    <s v="2023-04"/>
    <x v="4"/>
    <x v="0"/>
    <x v="2"/>
    <n v="6496"/>
    <n v="25.2"/>
    <n v="15"/>
    <n v="34800"/>
    <n v="0"/>
    <n v="23664"/>
    <n v="0.40476190476190477"/>
  </r>
  <r>
    <s v="TX00175"/>
    <x v="3"/>
    <s v="S05"/>
    <x v="3"/>
    <x v="1"/>
    <n v="2688"/>
    <n v="35"/>
    <n v="0.09"/>
    <n v="85612.800000000003"/>
    <n v="48384"/>
    <n v="94080"/>
    <s v="2023-04"/>
    <x v="4"/>
    <x v="0"/>
    <x v="2"/>
    <n v="8467.1999999999971"/>
    <n v="31.85"/>
    <n v="18"/>
    <n v="48384"/>
    <n v="0"/>
    <n v="37228.800000000003"/>
    <n v="0.43485086342229201"/>
  </r>
  <r>
    <s v="TX00176"/>
    <x v="3"/>
    <s v="S05"/>
    <x v="4"/>
    <x v="2"/>
    <n v="2648"/>
    <n v="18"/>
    <n v="0.08"/>
    <n v="43850.879999999997"/>
    <n v="23832"/>
    <n v="47664"/>
    <s v="2023-04"/>
    <x v="4"/>
    <x v="0"/>
    <x v="3"/>
    <n v="3813.1200000000026"/>
    <n v="16.559999999999999"/>
    <n v="9"/>
    <n v="23832"/>
    <n v="0"/>
    <n v="20018.879999999997"/>
    <n v="0.45652173913043476"/>
  </r>
  <r>
    <s v="TX00177"/>
    <x v="3"/>
    <s v="S05"/>
    <x v="5"/>
    <x v="2"/>
    <n v="2176"/>
    <n v="30"/>
    <n v="0.06"/>
    <n v="61363.199999999997"/>
    <n v="30464"/>
    <n v="65280"/>
    <s v="2023-04"/>
    <x v="4"/>
    <x v="0"/>
    <x v="3"/>
    <n v="3916.8000000000029"/>
    <n v="28.2"/>
    <n v="14"/>
    <n v="30464"/>
    <n v="0"/>
    <n v="30899.199999999997"/>
    <n v="0.50354609929078009"/>
  </r>
  <r>
    <s v="TX00178"/>
    <x v="3"/>
    <s v="S05"/>
    <x v="6"/>
    <x v="3"/>
    <n v="2060"/>
    <n v="40"/>
    <n v="0.09"/>
    <n v="74984"/>
    <n v="41200"/>
    <n v="82400"/>
    <s v="2023-04"/>
    <x v="4"/>
    <x v="0"/>
    <x v="4"/>
    <n v="7416"/>
    <n v="36.4"/>
    <n v="20"/>
    <n v="41200"/>
    <n v="0"/>
    <n v="33784"/>
    <n v="0.45054945054945056"/>
  </r>
  <r>
    <s v="TX00179"/>
    <x v="3"/>
    <s v="S05"/>
    <x v="7"/>
    <x v="4"/>
    <n v="1968"/>
    <n v="10"/>
    <n v="0.06"/>
    <n v="18499.2"/>
    <n v="7872"/>
    <n v="19680"/>
    <s v="2023-04"/>
    <x v="4"/>
    <x v="0"/>
    <x v="5"/>
    <n v="1180.7999999999993"/>
    <n v="9.4"/>
    <n v="4"/>
    <n v="7872"/>
    <n v="0"/>
    <n v="10627.2"/>
    <n v="0.57446808510638303"/>
  </r>
  <r>
    <s v="TX00180"/>
    <x v="3"/>
    <s v="S05"/>
    <x v="8"/>
    <x v="4"/>
    <n v="1784"/>
    <n v="22"/>
    <n v="0.09"/>
    <n v="35715.68"/>
    <n v="17840"/>
    <n v="39248"/>
    <s v="2023-04"/>
    <x v="4"/>
    <x v="0"/>
    <x v="5"/>
    <n v="3532.3199999999997"/>
    <n v="20.02"/>
    <n v="10"/>
    <n v="17840"/>
    <n v="0"/>
    <n v="17875.68"/>
    <n v="0.50049950049950054"/>
  </r>
  <r>
    <s v="TX00181"/>
    <x v="4"/>
    <s v="S01"/>
    <x v="0"/>
    <x v="0"/>
    <n v="2700"/>
    <n v="24"/>
    <n v="7.0000000000000007E-2"/>
    <n v="60264"/>
    <n v="32400"/>
    <n v="64800"/>
    <s v="2023-05"/>
    <x v="0"/>
    <x v="0"/>
    <x v="0"/>
    <n v="4536"/>
    <n v="22.32"/>
    <n v="12"/>
    <n v="32400"/>
    <n v="0"/>
    <n v="27864"/>
    <n v="0.46236559139784944"/>
  </r>
  <r>
    <s v="TX00182"/>
    <x v="4"/>
    <s v="S01"/>
    <x v="1"/>
    <x v="0"/>
    <n v="2312"/>
    <n v="50"/>
    <n v="0.09"/>
    <n v="105196"/>
    <n v="64736"/>
    <n v="115600"/>
    <s v="2023-05"/>
    <x v="0"/>
    <x v="0"/>
    <x v="1"/>
    <n v="10404"/>
    <n v="45.5"/>
    <n v="28"/>
    <n v="64736"/>
    <n v="0"/>
    <n v="40460"/>
    <n v="0.38461538461538464"/>
  </r>
  <r>
    <s v="TX00183"/>
    <x v="4"/>
    <s v="S01"/>
    <x v="2"/>
    <x v="1"/>
    <n v="1440"/>
    <n v="28"/>
    <n v="0.1"/>
    <n v="36288"/>
    <n v="21600"/>
    <n v="40320"/>
    <s v="2023-05"/>
    <x v="0"/>
    <x v="0"/>
    <x v="2"/>
    <n v="4032"/>
    <n v="25.2"/>
    <n v="15"/>
    <n v="21600"/>
    <n v="0"/>
    <n v="14688"/>
    <n v="0.40476190476190477"/>
  </r>
  <r>
    <s v="TX00184"/>
    <x v="4"/>
    <s v="S01"/>
    <x v="3"/>
    <x v="1"/>
    <n v="1920"/>
    <n v="35"/>
    <n v="0.09"/>
    <n v="61152"/>
    <n v="34560"/>
    <n v="67200"/>
    <s v="2023-05"/>
    <x v="0"/>
    <x v="0"/>
    <x v="2"/>
    <n v="6048"/>
    <n v="31.85"/>
    <n v="18"/>
    <n v="34560"/>
    <n v="0"/>
    <n v="26592"/>
    <n v="0.43485086342229201"/>
  </r>
  <r>
    <s v="TX00185"/>
    <x v="4"/>
    <s v="S01"/>
    <x v="4"/>
    <x v="2"/>
    <n v="2008"/>
    <n v="18"/>
    <n v="0.08"/>
    <n v="33252.480000000003"/>
    <n v="18072"/>
    <n v="36144"/>
    <s v="2023-05"/>
    <x v="0"/>
    <x v="0"/>
    <x v="3"/>
    <n v="2891.5199999999968"/>
    <n v="16.560000000000002"/>
    <n v="9"/>
    <n v="18072"/>
    <n v="0"/>
    <n v="15180.480000000003"/>
    <n v="0.45652173913043481"/>
  </r>
  <r>
    <s v="TX00186"/>
    <x v="4"/>
    <s v="S01"/>
    <x v="5"/>
    <x v="2"/>
    <n v="1380"/>
    <n v="30"/>
    <n v="0.08"/>
    <n v="38088"/>
    <n v="19320"/>
    <n v="41400"/>
    <s v="2023-05"/>
    <x v="0"/>
    <x v="0"/>
    <x v="3"/>
    <n v="3312"/>
    <n v="27.6"/>
    <n v="14"/>
    <n v="19320"/>
    <n v="0"/>
    <n v="18768"/>
    <n v="0.49275362318840582"/>
  </r>
  <r>
    <s v="TX00187"/>
    <x v="4"/>
    <s v="S01"/>
    <x v="6"/>
    <x v="3"/>
    <n v="2616"/>
    <n v="40"/>
    <n v="0.06"/>
    <n v="98361.600000000006"/>
    <n v="52320"/>
    <n v="104640"/>
    <s v="2023-05"/>
    <x v="0"/>
    <x v="0"/>
    <x v="4"/>
    <n v="6278.3999999999942"/>
    <n v="37.6"/>
    <n v="20"/>
    <n v="52320"/>
    <n v="0"/>
    <n v="46041.600000000006"/>
    <n v="0.46808510638297873"/>
  </r>
  <r>
    <s v="TX00188"/>
    <x v="4"/>
    <s v="S01"/>
    <x v="7"/>
    <x v="4"/>
    <n v="2224"/>
    <n v="10"/>
    <n v="7.0000000000000007E-2"/>
    <n v="20683.2"/>
    <n v="8896"/>
    <n v="22240"/>
    <s v="2023-05"/>
    <x v="0"/>
    <x v="0"/>
    <x v="5"/>
    <n v="1556.7999999999993"/>
    <n v="9.3000000000000007"/>
    <n v="4"/>
    <n v="8896"/>
    <n v="0"/>
    <n v="11787.2"/>
    <n v="0.56989247311827962"/>
  </r>
  <r>
    <s v="TX00189"/>
    <x v="4"/>
    <s v="S01"/>
    <x v="8"/>
    <x v="4"/>
    <n v="1532"/>
    <n v="22"/>
    <n v="0.06"/>
    <n v="31681.759999999998"/>
    <n v="15320"/>
    <n v="33704"/>
    <s v="2023-05"/>
    <x v="0"/>
    <x v="0"/>
    <x v="5"/>
    <n v="2022.2400000000016"/>
    <n v="20.68"/>
    <n v="10"/>
    <n v="15320"/>
    <n v="0"/>
    <n v="16361.759999999998"/>
    <n v="0.51644100580270791"/>
  </r>
  <r>
    <s v="TX00190"/>
    <x v="4"/>
    <s v="S02"/>
    <x v="0"/>
    <x v="0"/>
    <n v="1432"/>
    <n v="24"/>
    <n v="0.08"/>
    <n v="31618.560000000001"/>
    <n v="17184"/>
    <n v="34368"/>
    <s v="2023-05"/>
    <x v="1"/>
    <x v="1"/>
    <x v="0"/>
    <n v="2749.4399999999987"/>
    <n v="22.080000000000002"/>
    <n v="12"/>
    <n v="17184"/>
    <n v="0"/>
    <n v="14434.560000000001"/>
    <n v="0.45652173913043481"/>
  </r>
  <r>
    <s v="TX00191"/>
    <x v="4"/>
    <s v="S02"/>
    <x v="1"/>
    <x v="0"/>
    <n v="1468"/>
    <n v="50"/>
    <n v="7.0000000000000007E-2"/>
    <n v="68262"/>
    <n v="41104"/>
    <n v="73400"/>
    <s v="2023-05"/>
    <x v="1"/>
    <x v="1"/>
    <x v="1"/>
    <n v="5138"/>
    <n v="46.5"/>
    <n v="28"/>
    <n v="41104"/>
    <n v="0"/>
    <n v="27158"/>
    <n v="0.39784946236559138"/>
  </r>
  <r>
    <s v="TX00192"/>
    <x v="4"/>
    <s v="S02"/>
    <x v="2"/>
    <x v="1"/>
    <n v="2344"/>
    <n v="28"/>
    <n v="0.06"/>
    <n v="61694.080000000002"/>
    <n v="35160"/>
    <n v="65632"/>
    <s v="2023-05"/>
    <x v="1"/>
    <x v="1"/>
    <x v="2"/>
    <n v="3937.9199999999983"/>
    <n v="26.32"/>
    <n v="15"/>
    <n v="35160"/>
    <n v="0"/>
    <n v="26534.080000000002"/>
    <n v="0.43009118541033436"/>
  </r>
  <r>
    <s v="TX00193"/>
    <x v="4"/>
    <s v="S02"/>
    <x v="3"/>
    <x v="1"/>
    <n v="2600"/>
    <n v="35"/>
    <n v="0.06"/>
    <n v="85540"/>
    <n v="46800"/>
    <n v="91000"/>
    <s v="2023-05"/>
    <x v="1"/>
    <x v="1"/>
    <x v="2"/>
    <n v="5460"/>
    <n v="32.9"/>
    <n v="18"/>
    <n v="46800"/>
    <n v="0"/>
    <n v="38740"/>
    <n v="0.45288753799392095"/>
  </r>
  <r>
    <s v="TX00194"/>
    <x v="4"/>
    <s v="S02"/>
    <x v="4"/>
    <x v="2"/>
    <n v="1972"/>
    <n v="18"/>
    <n v="7.0000000000000007E-2"/>
    <n v="33011.279999999999"/>
    <n v="17748"/>
    <n v="35496"/>
    <s v="2023-05"/>
    <x v="1"/>
    <x v="1"/>
    <x v="3"/>
    <n v="2484.7200000000012"/>
    <n v="16.739999999999998"/>
    <n v="9"/>
    <n v="17748"/>
    <n v="0"/>
    <n v="15263.279999999999"/>
    <n v="0.46236559139784944"/>
  </r>
  <r>
    <s v="TX00195"/>
    <x v="4"/>
    <s v="S02"/>
    <x v="5"/>
    <x v="2"/>
    <n v="1952"/>
    <n v="30"/>
    <n v="0.1"/>
    <n v="52704"/>
    <n v="27328"/>
    <n v="58560"/>
    <s v="2023-05"/>
    <x v="1"/>
    <x v="1"/>
    <x v="3"/>
    <n v="5856"/>
    <n v="27"/>
    <n v="14"/>
    <n v="27328"/>
    <n v="0"/>
    <n v="25376"/>
    <n v="0.48148148148148145"/>
  </r>
  <r>
    <s v="TX00196"/>
    <x v="4"/>
    <s v="S02"/>
    <x v="6"/>
    <x v="3"/>
    <n v="1220"/>
    <n v="40"/>
    <n v="0.06"/>
    <n v="45872"/>
    <n v="24400"/>
    <n v="48800"/>
    <s v="2023-05"/>
    <x v="1"/>
    <x v="1"/>
    <x v="4"/>
    <n v="2928"/>
    <n v="37.6"/>
    <n v="20"/>
    <n v="24400"/>
    <n v="0"/>
    <n v="21472"/>
    <n v="0.46808510638297873"/>
  </r>
  <r>
    <s v="TX00197"/>
    <x v="4"/>
    <s v="S02"/>
    <x v="7"/>
    <x v="4"/>
    <n v="2464"/>
    <n v="10"/>
    <n v="0.1"/>
    <n v="22176"/>
    <n v="9856"/>
    <n v="24640"/>
    <s v="2023-05"/>
    <x v="1"/>
    <x v="1"/>
    <x v="5"/>
    <n v="2464"/>
    <n v="9"/>
    <n v="4"/>
    <n v="9856"/>
    <n v="0"/>
    <n v="12320"/>
    <n v="0.55555555555555558"/>
  </r>
  <r>
    <s v="TX00198"/>
    <x v="4"/>
    <s v="S02"/>
    <x v="8"/>
    <x v="4"/>
    <n v="2628"/>
    <n v="22"/>
    <n v="0.05"/>
    <n v="54925.2"/>
    <n v="26280"/>
    <n v="57816"/>
    <s v="2023-05"/>
    <x v="1"/>
    <x v="1"/>
    <x v="5"/>
    <n v="2890.8000000000029"/>
    <n v="20.9"/>
    <n v="10"/>
    <n v="26280"/>
    <n v="0"/>
    <n v="28645.199999999997"/>
    <n v="0.52153110047846885"/>
  </r>
  <r>
    <s v="TX00199"/>
    <x v="4"/>
    <s v="S03"/>
    <x v="0"/>
    <x v="0"/>
    <n v="2276"/>
    <n v="24"/>
    <n v="7.0000000000000007E-2"/>
    <n v="50800.32"/>
    <n v="27312"/>
    <n v="54624"/>
    <s v="2023-05"/>
    <x v="2"/>
    <x v="2"/>
    <x v="0"/>
    <n v="3823.6800000000003"/>
    <n v="22.32"/>
    <n v="12"/>
    <n v="27312"/>
    <n v="0"/>
    <n v="23488.32"/>
    <n v="0.46236559139784944"/>
  </r>
  <r>
    <s v="TX00200"/>
    <x v="4"/>
    <s v="S03"/>
    <x v="1"/>
    <x v="0"/>
    <n v="1480"/>
    <n v="50"/>
    <n v="7.0000000000000007E-2"/>
    <n v="68820"/>
    <n v="41440"/>
    <n v="74000"/>
    <s v="2023-05"/>
    <x v="2"/>
    <x v="2"/>
    <x v="1"/>
    <n v="5180"/>
    <n v="46.5"/>
    <n v="28"/>
    <n v="41440"/>
    <n v="0"/>
    <n v="27380"/>
    <n v="0.39784946236559138"/>
  </r>
  <r>
    <s v="TX00201"/>
    <x v="4"/>
    <s v="S03"/>
    <x v="2"/>
    <x v="1"/>
    <n v="1892"/>
    <n v="28"/>
    <n v="7.0000000000000007E-2"/>
    <n v="49267.68"/>
    <n v="28380"/>
    <n v="52976"/>
    <s v="2023-05"/>
    <x v="2"/>
    <x v="2"/>
    <x v="2"/>
    <n v="3708.3199999999997"/>
    <n v="26.04"/>
    <n v="15"/>
    <n v="28380"/>
    <n v="0"/>
    <n v="20887.68"/>
    <n v="0.42396313364055299"/>
  </r>
  <r>
    <s v="TX00202"/>
    <x v="4"/>
    <s v="S03"/>
    <x v="3"/>
    <x v="1"/>
    <n v="1252"/>
    <n v="35"/>
    <n v="0.06"/>
    <n v="41190.800000000003"/>
    <n v="22536"/>
    <n v="43820"/>
    <s v="2023-05"/>
    <x v="2"/>
    <x v="2"/>
    <x v="2"/>
    <n v="2629.1999999999971"/>
    <n v="32.900000000000006"/>
    <n v="18"/>
    <n v="22536"/>
    <n v="0"/>
    <n v="18654.800000000003"/>
    <n v="0.45288753799392101"/>
  </r>
  <r>
    <s v="TX00203"/>
    <x v="4"/>
    <s v="S03"/>
    <x v="4"/>
    <x v="2"/>
    <n v="1536"/>
    <n v="18"/>
    <n v="0.06"/>
    <n v="25989.119999999999"/>
    <n v="13824"/>
    <n v="27648"/>
    <s v="2023-05"/>
    <x v="2"/>
    <x v="2"/>
    <x v="3"/>
    <n v="1658.880000000001"/>
    <n v="16.919999999999998"/>
    <n v="9"/>
    <n v="13824"/>
    <n v="0"/>
    <n v="12165.119999999999"/>
    <n v="0.46808510638297868"/>
  </r>
  <r>
    <s v="TX00204"/>
    <x v="4"/>
    <s v="S03"/>
    <x v="5"/>
    <x v="2"/>
    <n v="1440"/>
    <n v="30"/>
    <n v="0.08"/>
    <n v="39744"/>
    <n v="20160"/>
    <n v="43200"/>
    <s v="2023-05"/>
    <x v="2"/>
    <x v="2"/>
    <x v="3"/>
    <n v="3456"/>
    <n v="27.6"/>
    <n v="14"/>
    <n v="20160"/>
    <n v="0"/>
    <n v="19584"/>
    <n v="0.49275362318840582"/>
  </r>
  <r>
    <s v="TX00205"/>
    <x v="4"/>
    <s v="S03"/>
    <x v="6"/>
    <x v="3"/>
    <n v="2580"/>
    <n v="40"/>
    <n v="0.08"/>
    <n v="94944"/>
    <n v="51600"/>
    <n v="103200"/>
    <s v="2023-05"/>
    <x v="2"/>
    <x v="2"/>
    <x v="4"/>
    <n v="8256"/>
    <n v="36.799999999999997"/>
    <n v="20"/>
    <n v="51600"/>
    <n v="0"/>
    <n v="43344"/>
    <n v="0.45652173913043476"/>
  </r>
  <r>
    <s v="TX00206"/>
    <x v="4"/>
    <s v="S03"/>
    <x v="7"/>
    <x v="4"/>
    <n v="1208"/>
    <n v="10"/>
    <n v="0.08"/>
    <n v="11113.6"/>
    <n v="4832"/>
    <n v="12080"/>
    <s v="2023-05"/>
    <x v="2"/>
    <x v="2"/>
    <x v="5"/>
    <n v="966.39999999999964"/>
    <n v="9.2000000000000011"/>
    <n v="4"/>
    <n v="4832"/>
    <n v="0"/>
    <n v="6281.6"/>
    <n v="0.56521739130434789"/>
  </r>
  <r>
    <s v="TX00207"/>
    <x v="4"/>
    <s v="S03"/>
    <x v="8"/>
    <x v="4"/>
    <n v="2572"/>
    <n v="22"/>
    <n v="0.09"/>
    <n v="51491.44"/>
    <n v="25720"/>
    <n v="56584"/>
    <s v="2023-05"/>
    <x v="2"/>
    <x v="2"/>
    <x v="5"/>
    <n v="5092.5599999999977"/>
    <n v="20.02"/>
    <n v="10"/>
    <n v="25720"/>
    <n v="0"/>
    <n v="25771.440000000002"/>
    <n v="0.50049950049950054"/>
  </r>
  <r>
    <s v="TX00208"/>
    <x v="4"/>
    <s v="S04"/>
    <x v="0"/>
    <x v="0"/>
    <n v="2252"/>
    <n v="24"/>
    <n v="0.06"/>
    <n v="50805.120000000003"/>
    <n v="27024"/>
    <n v="54048"/>
    <s v="2023-05"/>
    <x v="3"/>
    <x v="3"/>
    <x v="0"/>
    <n v="3242.8799999999974"/>
    <n v="22.560000000000002"/>
    <n v="12"/>
    <n v="27024"/>
    <n v="0"/>
    <n v="23781.120000000003"/>
    <n v="0.46808510638297873"/>
  </r>
  <r>
    <s v="TX00209"/>
    <x v="4"/>
    <s v="S04"/>
    <x v="1"/>
    <x v="0"/>
    <n v="1432"/>
    <n v="50"/>
    <n v="0.08"/>
    <n v="65872"/>
    <n v="40096"/>
    <n v="71600"/>
    <s v="2023-05"/>
    <x v="3"/>
    <x v="3"/>
    <x v="1"/>
    <n v="5728"/>
    <n v="46"/>
    <n v="28"/>
    <n v="40096"/>
    <n v="0"/>
    <n v="25776"/>
    <n v="0.39130434782608697"/>
  </r>
  <r>
    <s v="TX00210"/>
    <x v="4"/>
    <s v="S04"/>
    <x v="2"/>
    <x v="1"/>
    <n v="1652"/>
    <n v="28"/>
    <n v="0.08"/>
    <n v="42555.519999999997"/>
    <n v="24780"/>
    <n v="46256"/>
    <s v="2023-05"/>
    <x v="3"/>
    <x v="3"/>
    <x v="2"/>
    <n v="3700.4800000000032"/>
    <n v="25.759999999999998"/>
    <n v="15"/>
    <n v="24780"/>
    <n v="0"/>
    <n v="17775.519999999997"/>
    <n v="0.41770186335403725"/>
  </r>
  <r>
    <s v="TX00211"/>
    <x v="4"/>
    <s v="S04"/>
    <x v="3"/>
    <x v="1"/>
    <n v="1784"/>
    <n v="35"/>
    <n v="0.08"/>
    <n v="57444.800000000003"/>
    <n v="32112"/>
    <n v="62440"/>
    <s v="2023-05"/>
    <x v="3"/>
    <x v="3"/>
    <x v="2"/>
    <n v="4995.1999999999971"/>
    <n v="32.200000000000003"/>
    <n v="18"/>
    <n v="32112"/>
    <n v="0"/>
    <n v="25332.800000000003"/>
    <n v="0.44099378881987583"/>
  </r>
  <r>
    <s v="TX00212"/>
    <x v="4"/>
    <s v="S04"/>
    <x v="4"/>
    <x v="2"/>
    <n v="2780"/>
    <n v="18"/>
    <n v="0.06"/>
    <n v="47037.599999999999"/>
    <n v="25020"/>
    <n v="50040"/>
    <s v="2023-05"/>
    <x v="3"/>
    <x v="3"/>
    <x v="3"/>
    <n v="3002.4000000000015"/>
    <n v="16.919999999999998"/>
    <n v="9"/>
    <n v="25020"/>
    <n v="0"/>
    <n v="22017.599999999999"/>
    <n v="0.46808510638297873"/>
  </r>
  <r>
    <s v="TX00213"/>
    <x v="4"/>
    <s v="S04"/>
    <x v="5"/>
    <x v="2"/>
    <n v="1924"/>
    <n v="30"/>
    <n v="0.06"/>
    <n v="54256.800000000003"/>
    <n v="26936"/>
    <n v="57720"/>
    <s v="2023-05"/>
    <x v="3"/>
    <x v="3"/>
    <x v="3"/>
    <n v="3463.1999999999971"/>
    <n v="28.200000000000003"/>
    <n v="14"/>
    <n v="26936"/>
    <n v="0"/>
    <n v="27320.800000000003"/>
    <n v="0.5035460992907802"/>
  </r>
  <r>
    <s v="TX00214"/>
    <x v="4"/>
    <s v="S04"/>
    <x v="6"/>
    <x v="3"/>
    <n v="2664"/>
    <n v="40"/>
    <n v="0.1"/>
    <n v="95904"/>
    <n v="53280"/>
    <n v="106560"/>
    <s v="2023-05"/>
    <x v="3"/>
    <x v="3"/>
    <x v="4"/>
    <n v="10656"/>
    <n v="36"/>
    <n v="20"/>
    <n v="53280"/>
    <n v="0"/>
    <n v="42624"/>
    <n v="0.44444444444444442"/>
  </r>
  <r>
    <s v="TX00215"/>
    <x v="4"/>
    <s v="S04"/>
    <x v="7"/>
    <x v="4"/>
    <n v="1972"/>
    <n v="10"/>
    <n v="0.08"/>
    <n v="18142.400000000001"/>
    <n v="7888"/>
    <n v="19720"/>
    <s v="2023-05"/>
    <x v="3"/>
    <x v="3"/>
    <x v="5"/>
    <n v="1577.5999999999985"/>
    <n v="9.2000000000000011"/>
    <n v="4"/>
    <n v="7888"/>
    <n v="0"/>
    <n v="10254.400000000001"/>
    <n v="0.56521739130434789"/>
  </r>
  <r>
    <s v="TX00216"/>
    <x v="4"/>
    <s v="S04"/>
    <x v="8"/>
    <x v="4"/>
    <n v="1268"/>
    <n v="22"/>
    <n v="0.09"/>
    <n v="25385.360000000001"/>
    <n v="12680"/>
    <n v="27896"/>
    <s v="2023-05"/>
    <x v="3"/>
    <x v="3"/>
    <x v="5"/>
    <n v="2510.6399999999994"/>
    <n v="20.02"/>
    <n v="10"/>
    <n v="12680"/>
    <n v="0"/>
    <n v="12705.36"/>
    <n v="0.50049950049950054"/>
  </r>
  <r>
    <s v="TX00217"/>
    <x v="4"/>
    <s v="S05"/>
    <x v="0"/>
    <x v="0"/>
    <n v="2700"/>
    <n v="24"/>
    <n v="7.0000000000000007E-2"/>
    <n v="60264"/>
    <n v="32400"/>
    <n v="64800"/>
    <s v="2023-05"/>
    <x v="4"/>
    <x v="0"/>
    <x v="0"/>
    <n v="4536"/>
    <n v="22.32"/>
    <n v="12"/>
    <n v="32400"/>
    <n v="0"/>
    <n v="27864"/>
    <n v="0.46236559139784944"/>
  </r>
  <r>
    <s v="TX00218"/>
    <x v="4"/>
    <s v="S05"/>
    <x v="1"/>
    <x v="0"/>
    <n v="2040"/>
    <n v="50"/>
    <n v="0.08"/>
    <n v="93840"/>
    <n v="57120"/>
    <n v="102000"/>
    <s v="2023-05"/>
    <x v="4"/>
    <x v="0"/>
    <x v="1"/>
    <n v="8160"/>
    <n v="46"/>
    <n v="28"/>
    <n v="57120"/>
    <n v="0"/>
    <n v="36720"/>
    <n v="0.39130434782608697"/>
  </r>
  <r>
    <s v="TX00219"/>
    <x v="4"/>
    <s v="S05"/>
    <x v="2"/>
    <x v="1"/>
    <n v="2440"/>
    <n v="28"/>
    <n v="0.09"/>
    <n v="62171.199999999997"/>
    <n v="36600"/>
    <n v="68320"/>
    <s v="2023-05"/>
    <x v="4"/>
    <x v="0"/>
    <x v="2"/>
    <n v="6148.8000000000029"/>
    <n v="25.48"/>
    <n v="15"/>
    <n v="36600"/>
    <n v="0"/>
    <n v="25571.199999999997"/>
    <n v="0.41130298273155413"/>
  </r>
  <r>
    <s v="TX00220"/>
    <x v="4"/>
    <s v="S05"/>
    <x v="3"/>
    <x v="1"/>
    <n v="2468"/>
    <n v="35"/>
    <n v="0.09"/>
    <n v="78605.8"/>
    <n v="44424"/>
    <n v="86380"/>
    <s v="2023-05"/>
    <x v="4"/>
    <x v="0"/>
    <x v="2"/>
    <n v="7774.1999999999971"/>
    <n v="31.85"/>
    <n v="18"/>
    <n v="44424"/>
    <n v="0"/>
    <n v="34181.800000000003"/>
    <n v="0.43485086342229201"/>
  </r>
  <r>
    <s v="TX00221"/>
    <x v="4"/>
    <s v="S05"/>
    <x v="4"/>
    <x v="2"/>
    <n v="2348"/>
    <n v="18"/>
    <n v="0.06"/>
    <n v="39728.160000000003"/>
    <n v="21132"/>
    <n v="42264"/>
    <s v="2023-05"/>
    <x v="4"/>
    <x v="0"/>
    <x v="3"/>
    <n v="2535.8399999999965"/>
    <n v="16.920000000000002"/>
    <n v="9"/>
    <n v="21132"/>
    <n v="0"/>
    <n v="18596.160000000003"/>
    <n v="0.46808510638297879"/>
  </r>
  <r>
    <s v="TX00222"/>
    <x v="4"/>
    <s v="S05"/>
    <x v="5"/>
    <x v="2"/>
    <n v="1476"/>
    <n v="30"/>
    <n v="0.08"/>
    <n v="40737.599999999999"/>
    <n v="20664"/>
    <n v="44280"/>
    <s v="2023-05"/>
    <x v="4"/>
    <x v="0"/>
    <x v="3"/>
    <n v="3542.4000000000015"/>
    <n v="27.599999999999998"/>
    <n v="14"/>
    <n v="20664"/>
    <n v="0"/>
    <n v="20073.599999999999"/>
    <n v="0.49275362318840576"/>
  </r>
  <r>
    <s v="TX00223"/>
    <x v="4"/>
    <s v="S05"/>
    <x v="6"/>
    <x v="3"/>
    <n v="2360"/>
    <n v="40"/>
    <n v="0.06"/>
    <n v="88736"/>
    <n v="47200"/>
    <n v="94400"/>
    <s v="2023-05"/>
    <x v="4"/>
    <x v="0"/>
    <x v="4"/>
    <n v="5664"/>
    <n v="37.6"/>
    <n v="20"/>
    <n v="47200"/>
    <n v="0"/>
    <n v="41536"/>
    <n v="0.46808510638297873"/>
  </r>
  <r>
    <s v="TX00224"/>
    <x v="4"/>
    <s v="S05"/>
    <x v="7"/>
    <x v="4"/>
    <n v="1688"/>
    <n v="10"/>
    <n v="0.08"/>
    <n v="15529.6"/>
    <n v="6752"/>
    <n v="16880"/>
    <s v="2023-05"/>
    <x v="4"/>
    <x v="0"/>
    <x v="5"/>
    <n v="1350.3999999999996"/>
    <n v="9.2000000000000011"/>
    <n v="4"/>
    <n v="6752"/>
    <n v="0"/>
    <n v="8777.6"/>
    <n v="0.56521739130434778"/>
  </r>
  <r>
    <s v="TX00225"/>
    <x v="4"/>
    <s v="S05"/>
    <x v="8"/>
    <x v="4"/>
    <n v="1260"/>
    <n v="22"/>
    <n v="0.09"/>
    <n v="25225.200000000001"/>
    <n v="12600"/>
    <n v="27720"/>
    <s v="2023-05"/>
    <x v="4"/>
    <x v="0"/>
    <x v="5"/>
    <n v="2494.7999999999993"/>
    <n v="20.02"/>
    <n v="10"/>
    <n v="12600"/>
    <n v="0"/>
    <n v="12625.2"/>
    <n v="0.50049950049950054"/>
  </r>
  <r>
    <s v="TX00226"/>
    <x v="5"/>
    <s v="S01"/>
    <x v="0"/>
    <x v="0"/>
    <n v="1368"/>
    <n v="24"/>
    <n v="7.0000000000000007E-2"/>
    <n v="30533.759999999998"/>
    <n v="16416"/>
    <n v="32832"/>
    <s v="2023-06"/>
    <x v="0"/>
    <x v="0"/>
    <x v="0"/>
    <n v="2298.2400000000016"/>
    <n v="22.32"/>
    <n v="12"/>
    <n v="16416"/>
    <n v="0"/>
    <n v="14117.759999999998"/>
    <n v="0.46236559139784944"/>
  </r>
  <r>
    <s v="TX00227"/>
    <x v="5"/>
    <s v="S01"/>
    <x v="1"/>
    <x v="0"/>
    <n v="2596"/>
    <n v="50"/>
    <n v="0.09"/>
    <n v="118118"/>
    <n v="72688"/>
    <n v="129800"/>
    <s v="2023-06"/>
    <x v="0"/>
    <x v="0"/>
    <x v="1"/>
    <n v="11682"/>
    <n v="45.5"/>
    <n v="28"/>
    <n v="72688"/>
    <n v="0"/>
    <n v="45430"/>
    <n v="0.38461538461538464"/>
  </r>
  <r>
    <s v="TX00228"/>
    <x v="5"/>
    <s v="S01"/>
    <x v="2"/>
    <x v="1"/>
    <n v="2732"/>
    <n v="28"/>
    <n v="0.08"/>
    <n v="70376.320000000007"/>
    <n v="40980"/>
    <n v="76496"/>
    <s v="2023-06"/>
    <x v="0"/>
    <x v="0"/>
    <x v="2"/>
    <n v="6119.679999999993"/>
    <n v="25.76"/>
    <n v="15"/>
    <n v="40980"/>
    <n v="0"/>
    <n v="29396.320000000007"/>
    <n v="0.41770186335403731"/>
  </r>
  <r>
    <s v="TX00229"/>
    <x v="5"/>
    <s v="S01"/>
    <x v="3"/>
    <x v="1"/>
    <n v="2568"/>
    <n v="35"/>
    <n v="7.0000000000000007E-2"/>
    <n v="83588.399999999994"/>
    <n v="46224"/>
    <n v="89880"/>
    <s v="2023-06"/>
    <x v="0"/>
    <x v="0"/>
    <x v="2"/>
    <n v="6291.6000000000058"/>
    <n v="32.549999999999997"/>
    <n v="18"/>
    <n v="46224"/>
    <n v="0"/>
    <n v="37364.399999999994"/>
    <n v="0.44700460829493083"/>
  </r>
  <r>
    <s v="TX00230"/>
    <x v="5"/>
    <s v="S01"/>
    <x v="4"/>
    <x v="2"/>
    <n v="1908"/>
    <n v="18"/>
    <n v="0.05"/>
    <n v="32626.799999999999"/>
    <n v="17172"/>
    <n v="34344"/>
    <s v="2023-06"/>
    <x v="0"/>
    <x v="0"/>
    <x v="3"/>
    <n v="1717.2000000000007"/>
    <n v="17.099999999999998"/>
    <n v="9"/>
    <n v="17172"/>
    <n v="0"/>
    <n v="15454.8"/>
    <n v="0.47368421052631576"/>
  </r>
  <r>
    <s v="TX00231"/>
    <x v="5"/>
    <s v="S01"/>
    <x v="5"/>
    <x v="2"/>
    <n v="1328"/>
    <n v="30"/>
    <n v="0.08"/>
    <n v="36652.800000000003"/>
    <n v="18592"/>
    <n v="39840"/>
    <s v="2023-06"/>
    <x v="0"/>
    <x v="0"/>
    <x v="3"/>
    <n v="3187.1999999999971"/>
    <n v="27.6"/>
    <n v="14"/>
    <n v="18592"/>
    <n v="0"/>
    <n v="18060.800000000003"/>
    <n v="0.49275362318840582"/>
  </r>
  <r>
    <s v="TX00232"/>
    <x v="5"/>
    <s v="S01"/>
    <x v="6"/>
    <x v="3"/>
    <n v="2056"/>
    <n v="40"/>
    <n v="0.06"/>
    <n v="77305.600000000006"/>
    <n v="41120"/>
    <n v="82240"/>
    <s v="2023-06"/>
    <x v="0"/>
    <x v="0"/>
    <x v="4"/>
    <n v="4934.3999999999942"/>
    <n v="37.6"/>
    <n v="20"/>
    <n v="41120"/>
    <n v="0"/>
    <n v="36185.600000000006"/>
    <n v="0.46808510638297879"/>
  </r>
  <r>
    <s v="TX00233"/>
    <x v="5"/>
    <s v="S01"/>
    <x v="7"/>
    <x v="4"/>
    <n v="1632"/>
    <n v="10"/>
    <n v="0.08"/>
    <n v="15014.4"/>
    <n v="6528"/>
    <n v="16320"/>
    <s v="2023-06"/>
    <x v="0"/>
    <x v="0"/>
    <x v="5"/>
    <n v="1305.6000000000004"/>
    <n v="9.1999999999999993"/>
    <n v="4"/>
    <n v="6528"/>
    <n v="0"/>
    <n v="8486.4"/>
    <n v="0.56521739130434778"/>
  </r>
  <r>
    <s v="TX00234"/>
    <x v="5"/>
    <s v="S01"/>
    <x v="8"/>
    <x v="4"/>
    <n v="2640"/>
    <n v="22"/>
    <n v="0.1"/>
    <n v="52272"/>
    <n v="26400"/>
    <n v="58080"/>
    <s v="2023-06"/>
    <x v="0"/>
    <x v="0"/>
    <x v="5"/>
    <n v="5808"/>
    <n v="19.8"/>
    <n v="10"/>
    <n v="26400"/>
    <n v="0"/>
    <n v="25872"/>
    <n v="0.49494949494949497"/>
  </r>
  <r>
    <s v="TX00235"/>
    <x v="5"/>
    <s v="S02"/>
    <x v="0"/>
    <x v="0"/>
    <n v="1636"/>
    <n v="24"/>
    <n v="0.08"/>
    <n v="36122.879999999997"/>
    <n v="19632"/>
    <n v="39264"/>
    <s v="2023-06"/>
    <x v="1"/>
    <x v="1"/>
    <x v="0"/>
    <n v="3141.1200000000026"/>
    <n v="22.08"/>
    <n v="12"/>
    <n v="19632"/>
    <n v="0"/>
    <n v="16490.879999999997"/>
    <n v="0.45652173913043476"/>
  </r>
  <r>
    <s v="TX00236"/>
    <x v="5"/>
    <s v="S02"/>
    <x v="1"/>
    <x v="0"/>
    <n v="2100"/>
    <n v="50"/>
    <n v="7.0000000000000007E-2"/>
    <n v="97650"/>
    <n v="58800"/>
    <n v="105000"/>
    <s v="2023-06"/>
    <x v="1"/>
    <x v="1"/>
    <x v="1"/>
    <n v="7350"/>
    <n v="46.5"/>
    <n v="28"/>
    <n v="58800"/>
    <n v="0"/>
    <n v="38850"/>
    <n v="0.39784946236559138"/>
  </r>
  <r>
    <s v="TX00237"/>
    <x v="5"/>
    <s v="S02"/>
    <x v="2"/>
    <x v="1"/>
    <n v="1780"/>
    <n v="28"/>
    <n v="7.0000000000000007E-2"/>
    <n v="46351.199999999997"/>
    <n v="26700"/>
    <n v="49840"/>
    <s v="2023-06"/>
    <x v="1"/>
    <x v="1"/>
    <x v="2"/>
    <n v="3488.8000000000029"/>
    <n v="26.04"/>
    <n v="15"/>
    <n v="26700"/>
    <n v="0"/>
    <n v="19651.199999999997"/>
    <n v="0.42396313364055294"/>
  </r>
  <r>
    <s v="TX00238"/>
    <x v="5"/>
    <s v="S02"/>
    <x v="3"/>
    <x v="1"/>
    <n v="2124"/>
    <n v="35"/>
    <n v="0.08"/>
    <n v="68392.800000000003"/>
    <n v="38232"/>
    <n v="74340"/>
    <s v="2023-06"/>
    <x v="1"/>
    <x v="1"/>
    <x v="2"/>
    <n v="5947.1999999999971"/>
    <n v="32.200000000000003"/>
    <n v="18"/>
    <n v="38232"/>
    <n v="0"/>
    <n v="30160.800000000003"/>
    <n v="0.44099378881987578"/>
  </r>
  <r>
    <s v="TX00239"/>
    <x v="5"/>
    <s v="S02"/>
    <x v="4"/>
    <x v="2"/>
    <n v="2752"/>
    <n v="18"/>
    <n v="0.08"/>
    <n v="45573.120000000003"/>
    <n v="24768"/>
    <n v="49536"/>
    <s v="2023-06"/>
    <x v="1"/>
    <x v="1"/>
    <x v="3"/>
    <n v="3962.8799999999974"/>
    <n v="16.560000000000002"/>
    <n v="9"/>
    <n v="24768"/>
    <n v="0"/>
    <n v="20805.120000000003"/>
    <n v="0.45652173913043481"/>
  </r>
  <r>
    <s v="TX00240"/>
    <x v="5"/>
    <s v="S02"/>
    <x v="5"/>
    <x v="2"/>
    <n v="1640"/>
    <n v="30"/>
    <n v="7.0000000000000007E-2"/>
    <n v="45756"/>
    <n v="22960"/>
    <n v="49200"/>
    <s v="2023-06"/>
    <x v="1"/>
    <x v="1"/>
    <x v="3"/>
    <n v="3444"/>
    <n v="27.9"/>
    <n v="14"/>
    <n v="22960"/>
    <n v="0"/>
    <n v="22796"/>
    <n v="0.49820788530465948"/>
  </r>
  <r>
    <s v="TX00241"/>
    <x v="5"/>
    <s v="S02"/>
    <x v="6"/>
    <x v="3"/>
    <n v="2112"/>
    <n v="40"/>
    <n v="0.1"/>
    <n v="76032"/>
    <n v="42240"/>
    <n v="84480"/>
    <s v="2023-06"/>
    <x v="1"/>
    <x v="1"/>
    <x v="4"/>
    <n v="8448"/>
    <n v="36"/>
    <n v="20"/>
    <n v="42240"/>
    <n v="0"/>
    <n v="33792"/>
    <n v="0.44444444444444442"/>
  </r>
  <r>
    <s v="TX00242"/>
    <x v="5"/>
    <s v="S02"/>
    <x v="7"/>
    <x v="4"/>
    <n v="2440"/>
    <n v="10"/>
    <n v="0.09"/>
    <n v="22204"/>
    <n v="9760"/>
    <n v="24400"/>
    <s v="2023-06"/>
    <x v="1"/>
    <x v="1"/>
    <x v="5"/>
    <n v="2196"/>
    <n v="9.1"/>
    <n v="4"/>
    <n v="9760"/>
    <n v="0"/>
    <n v="12444"/>
    <n v="0.56043956043956045"/>
  </r>
  <r>
    <s v="TX00243"/>
    <x v="5"/>
    <s v="S02"/>
    <x v="8"/>
    <x v="4"/>
    <n v="2568"/>
    <n v="22"/>
    <n v="7.0000000000000007E-2"/>
    <n v="52541.279999999999"/>
    <n v="25680"/>
    <n v="56496"/>
    <s v="2023-06"/>
    <x v="1"/>
    <x v="1"/>
    <x v="5"/>
    <n v="3954.7200000000012"/>
    <n v="20.46"/>
    <n v="10"/>
    <n v="25680"/>
    <n v="0"/>
    <n v="26861.279999999999"/>
    <n v="0.51124144672531768"/>
  </r>
  <r>
    <s v="TX00244"/>
    <x v="5"/>
    <s v="S03"/>
    <x v="0"/>
    <x v="0"/>
    <n v="2188"/>
    <n v="24"/>
    <n v="0.1"/>
    <n v="47260.800000000003"/>
    <n v="26256"/>
    <n v="52512"/>
    <s v="2023-06"/>
    <x v="2"/>
    <x v="2"/>
    <x v="0"/>
    <n v="5251.1999999999971"/>
    <n v="21.6"/>
    <n v="12"/>
    <n v="26256"/>
    <n v="0"/>
    <n v="21004.800000000003"/>
    <n v="0.44444444444444448"/>
  </r>
  <r>
    <s v="TX00245"/>
    <x v="5"/>
    <s v="S03"/>
    <x v="1"/>
    <x v="0"/>
    <n v="2304"/>
    <n v="50"/>
    <n v="0.06"/>
    <n v="108288"/>
    <n v="64512"/>
    <n v="115200"/>
    <s v="2023-06"/>
    <x v="2"/>
    <x v="2"/>
    <x v="1"/>
    <n v="6912"/>
    <n v="47"/>
    <n v="28"/>
    <n v="64512"/>
    <n v="0"/>
    <n v="43776"/>
    <n v="0.40425531914893614"/>
  </r>
  <r>
    <s v="TX00246"/>
    <x v="5"/>
    <s v="S03"/>
    <x v="2"/>
    <x v="1"/>
    <n v="1244"/>
    <n v="28"/>
    <n v="7.0000000000000007E-2"/>
    <n v="32393.759999999998"/>
    <n v="18660"/>
    <n v="34832"/>
    <s v="2023-06"/>
    <x v="2"/>
    <x v="2"/>
    <x v="2"/>
    <n v="2438.2400000000016"/>
    <n v="26.04"/>
    <n v="15"/>
    <n v="18660"/>
    <n v="0"/>
    <n v="13733.759999999998"/>
    <n v="0.42396313364055299"/>
  </r>
  <r>
    <s v="TX00247"/>
    <x v="5"/>
    <s v="S03"/>
    <x v="3"/>
    <x v="1"/>
    <n v="2088"/>
    <n v="35"/>
    <n v="7.0000000000000007E-2"/>
    <n v="67964.399999999994"/>
    <n v="37584"/>
    <n v="73080"/>
    <s v="2023-06"/>
    <x v="2"/>
    <x v="2"/>
    <x v="2"/>
    <n v="5115.6000000000058"/>
    <n v="32.549999999999997"/>
    <n v="18"/>
    <n v="37584"/>
    <n v="0"/>
    <n v="30380.399999999994"/>
    <n v="0.44700460829493083"/>
  </r>
  <r>
    <s v="TX00248"/>
    <x v="5"/>
    <s v="S03"/>
    <x v="4"/>
    <x v="2"/>
    <n v="2184"/>
    <n v="18"/>
    <n v="0.1"/>
    <n v="35380.800000000003"/>
    <n v="19656"/>
    <n v="39312"/>
    <s v="2023-06"/>
    <x v="2"/>
    <x v="2"/>
    <x v="3"/>
    <n v="3931.1999999999971"/>
    <n v="16.200000000000003"/>
    <n v="9"/>
    <n v="19656"/>
    <n v="0"/>
    <n v="15724.800000000003"/>
    <n v="0.44444444444444448"/>
  </r>
  <r>
    <s v="TX00249"/>
    <x v="5"/>
    <s v="S03"/>
    <x v="5"/>
    <x v="2"/>
    <n v="2184"/>
    <n v="30"/>
    <n v="0.08"/>
    <n v="60278.400000000001"/>
    <n v="30576"/>
    <n v="65520"/>
    <s v="2023-06"/>
    <x v="2"/>
    <x v="2"/>
    <x v="3"/>
    <n v="5241.5999999999985"/>
    <n v="27.6"/>
    <n v="14"/>
    <n v="30576"/>
    <n v="0"/>
    <n v="29702.400000000001"/>
    <n v="0.49275362318840582"/>
  </r>
  <r>
    <s v="TX00250"/>
    <x v="5"/>
    <s v="S03"/>
    <x v="6"/>
    <x v="3"/>
    <n v="1884"/>
    <n v="40"/>
    <n v="0.08"/>
    <n v="69331.199999999997"/>
    <n v="37680"/>
    <n v="75360"/>
    <s v="2023-06"/>
    <x v="2"/>
    <x v="2"/>
    <x v="4"/>
    <n v="6028.8000000000029"/>
    <n v="36.799999999999997"/>
    <n v="20"/>
    <n v="37680"/>
    <n v="0"/>
    <n v="31651.199999999997"/>
    <n v="0.45652173913043476"/>
  </r>
  <r>
    <s v="TX00251"/>
    <x v="5"/>
    <s v="S03"/>
    <x v="7"/>
    <x v="4"/>
    <n v="2168"/>
    <n v="10"/>
    <n v="0.06"/>
    <n v="20379.2"/>
    <n v="8672"/>
    <n v="21680"/>
    <s v="2023-06"/>
    <x v="2"/>
    <x v="2"/>
    <x v="5"/>
    <n v="1300.7999999999993"/>
    <n v="9.4"/>
    <n v="4"/>
    <n v="8672"/>
    <n v="0"/>
    <n v="11707.2"/>
    <n v="0.57446808510638303"/>
  </r>
  <r>
    <s v="TX00252"/>
    <x v="5"/>
    <s v="S03"/>
    <x v="8"/>
    <x v="4"/>
    <n v="2584"/>
    <n v="22"/>
    <n v="0.09"/>
    <n v="51731.68"/>
    <n v="25840"/>
    <n v="56848"/>
    <s v="2023-06"/>
    <x v="2"/>
    <x v="2"/>
    <x v="5"/>
    <n v="5116.32"/>
    <n v="20.02"/>
    <n v="10"/>
    <n v="25840"/>
    <n v="0"/>
    <n v="25891.68"/>
    <n v="0.50049950049950054"/>
  </r>
  <r>
    <s v="TX00253"/>
    <x v="5"/>
    <s v="S04"/>
    <x v="0"/>
    <x v="0"/>
    <n v="1868"/>
    <n v="24"/>
    <n v="0.09"/>
    <n v="40797.120000000003"/>
    <n v="22416"/>
    <n v="44832"/>
    <s v="2023-06"/>
    <x v="3"/>
    <x v="3"/>
    <x v="0"/>
    <n v="4034.8799999999974"/>
    <n v="21.84"/>
    <n v="12"/>
    <n v="22416"/>
    <n v="0"/>
    <n v="18381.120000000003"/>
    <n v="0.45054945054945056"/>
  </r>
  <r>
    <s v="TX00254"/>
    <x v="5"/>
    <s v="S04"/>
    <x v="1"/>
    <x v="0"/>
    <n v="1896"/>
    <n v="50"/>
    <n v="7.0000000000000007E-2"/>
    <n v="88164"/>
    <n v="53088"/>
    <n v="94800"/>
    <s v="2023-06"/>
    <x v="3"/>
    <x v="3"/>
    <x v="1"/>
    <n v="6636"/>
    <n v="46.5"/>
    <n v="28"/>
    <n v="53088"/>
    <n v="0"/>
    <n v="35076"/>
    <n v="0.39784946236559138"/>
  </r>
  <r>
    <s v="TX00255"/>
    <x v="5"/>
    <s v="S04"/>
    <x v="2"/>
    <x v="1"/>
    <n v="2120"/>
    <n v="28"/>
    <n v="0.05"/>
    <n v="56392"/>
    <n v="31800"/>
    <n v="59360"/>
    <s v="2023-06"/>
    <x v="3"/>
    <x v="3"/>
    <x v="2"/>
    <n v="2968"/>
    <n v="26.6"/>
    <n v="15"/>
    <n v="31800"/>
    <n v="0"/>
    <n v="24592"/>
    <n v="0.43609022556390975"/>
  </r>
  <r>
    <s v="TX00256"/>
    <x v="5"/>
    <s v="S04"/>
    <x v="3"/>
    <x v="1"/>
    <n v="1288"/>
    <n v="35"/>
    <n v="0.08"/>
    <n v="41473.599999999999"/>
    <n v="23184"/>
    <n v="45080"/>
    <s v="2023-06"/>
    <x v="3"/>
    <x v="3"/>
    <x v="2"/>
    <n v="3606.4000000000015"/>
    <n v="32.199999999999996"/>
    <n v="18"/>
    <n v="23184"/>
    <n v="0"/>
    <n v="18289.599999999999"/>
    <n v="0.44099378881987578"/>
  </r>
  <r>
    <s v="TX00257"/>
    <x v="5"/>
    <s v="S04"/>
    <x v="4"/>
    <x v="2"/>
    <n v="2624"/>
    <n v="18"/>
    <n v="7.0000000000000007E-2"/>
    <n v="43925.760000000002"/>
    <n v="23616"/>
    <n v="47232"/>
    <s v="2023-06"/>
    <x v="3"/>
    <x v="3"/>
    <x v="3"/>
    <n v="3306.239999999998"/>
    <n v="16.740000000000002"/>
    <n v="9"/>
    <n v="23616"/>
    <n v="0"/>
    <n v="20309.760000000002"/>
    <n v="0.4623655913978495"/>
  </r>
  <r>
    <s v="TX00258"/>
    <x v="5"/>
    <s v="S04"/>
    <x v="5"/>
    <x v="2"/>
    <n v="2232"/>
    <n v="30"/>
    <n v="0.1"/>
    <n v="60264"/>
    <n v="31248"/>
    <n v="66960"/>
    <s v="2023-06"/>
    <x v="3"/>
    <x v="3"/>
    <x v="3"/>
    <n v="6696"/>
    <n v="27"/>
    <n v="14"/>
    <n v="31248"/>
    <n v="0"/>
    <n v="29016"/>
    <n v="0.48148148148148145"/>
  </r>
  <r>
    <s v="TX00259"/>
    <x v="5"/>
    <s v="S04"/>
    <x v="6"/>
    <x v="3"/>
    <n v="2216"/>
    <n v="40"/>
    <n v="0.08"/>
    <n v="81548.800000000003"/>
    <n v="44320"/>
    <n v="88640"/>
    <s v="2023-06"/>
    <x v="3"/>
    <x v="3"/>
    <x v="4"/>
    <n v="7091.1999999999971"/>
    <n v="36.800000000000004"/>
    <n v="20"/>
    <n v="44320"/>
    <n v="0"/>
    <n v="37228.800000000003"/>
    <n v="0.45652173913043481"/>
  </r>
  <r>
    <s v="TX00260"/>
    <x v="5"/>
    <s v="S04"/>
    <x v="7"/>
    <x v="4"/>
    <n v="1440"/>
    <n v="10"/>
    <n v="0.08"/>
    <n v="13248"/>
    <n v="5760"/>
    <n v="14400"/>
    <s v="2023-06"/>
    <x v="3"/>
    <x v="3"/>
    <x v="5"/>
    <n v="1152"/>
    <n v="9.1999999999999993"/>
    <n v="4"/>
    <n v="5760"/>
    <n v="0"/>
    <n v="7488"/>
    <n v="0.56521739130434778"/>
  </r>
  <r>
    <s v="TX00261"/>
    <x v="5"/>
    <s v="S04"/>
    <x v="8"/>
    <x v="4"/>
    <n v="2020"/>
    <n v="22"/>
    <n v="0.09"/>
    <n v="40440.400000000001"/>
    <n v="20200"/>
    <n v="44440"/>
    <s v="2023-06"/>
    <x v="3"/>
    <x v="3"/>
    <x v="5"/>
    <n v="3999.5999999999985"/>
    <n v="20.02"/>
    <n v="10"/>
    <n v="20200"/>
    <n v="0"/>
    <n v="20240.400000000001"/>
    <n v="0.50049950049950054"/>
  </r>
  <r>
    <s v="TX00262"/>
    <x v="5"/>
    <s v="S05"/>
    <x v="0"/>
    <x v="0"/>
    <n v="1592"/>
    <n v="24"/>
    <n v="0.06"/>
    <n v="35915.519999999997"/>
    <n v="19104"/>
    <n v="38208"/>
    <s v="2023-06"/>
    <x v="4"/>
    <x v="0"/>
    <x v="0"/>
    <n v="2292.4800000000032"/>
    <n v="22.56"/>
    <n v="12"/>
    <n v="19104"/>
    <n v="0"/>
    <n v="16811.519999999997"/>
    <n v="0.46808510638297868"/>
  </r>
  <r>
    <s v="TX00263"/>
    <x v="5"/>
    <s v="S05"/>
    <x v="1"/>
    <x v="0"/>
    <n v="2660"/>
    <n v="50"/>
    <n v="0.08"/>
    <n v="122360"/>
    <n v="74480"/>
    <n v="133000"/>
    <s v="2023-06"/>
    <x v="4"/>
    <x v="0"/>
    <x v="1"/>
    <n v="10640"/>
    <n v="46"/>
    <n v="28"/>
    <n v="74480"/>
    <n v="0"/>
    <n v="47880"/>
    <n v="0.39130434782608697"/>
  </r>
  <r>
    <s v="TX00264"/>
    <x v="5"/>
    <s v="S05"/>
    <x v="2"/>
    <x v="1"/>
    <n v="2000"/>
    <n v="28"/>
    <n v="7.0000000000000007E-2"/>
    <n v="52080"/>
    <n v="30000"/>
    <n v="56000"/>
    <s v="2023-06"/>
    <x v="4"/>
    <x v="0"/>
    <x v="2"/>
    <n v="3920"/>
    <n v="26.04"/>
    <n v="15"/>
    <n v="30000"/>
    <n v="0"/>
    <n v="22080"/>
    <n v="0.42396313364055299"/>
  </r>
  <r>
    <s v="TX00265"/>
    <x v="5"/>
    <s v="S05"/>
    <x v="3"/>
    <x v="1"/>
    <n v="2192"/>
    <n v="35"/>
    <n v="0.05"/>
    <n v="72884"/>
    <n v="39456"/>
    <n v="76720"/>
    <s v="2023-06"/>
    <x v="4"/>
    <x v="0"/>
    <x v="2"/>
    <n v="3836"/>
    <n v="33.25"/>
    <n v="18"/>
    <n v="39456"/>
    <n v="0"/>
    <n v="33428"/>
    <n v="0.45864661654135336"/>
  </r>
  <r>
    <s v="TX00266"/>
    <x v="5"/>
    <s v="S05"/>
    <x v="4"/>
    <x v="2"/>
    <n v="1404"/>
    <n v="18"/>
    <n v="0.05"/>
    <n v="24008.400000000001"/>
    <n v="12636"/>
    <n v="25272"/>
    <s v="2023-06"/>
    <x v="4"/>
    <x v="0"/>
    <x v="3"/>
    <n v="1263.5999999999985"/>
    <n v="17.100000000000001"/>
    <n v="9"/>
    <n v="12636"/>
    <n v="0"/>
    <n v="11372.400000000001"/>
    <n v="0.47368421052631582"/>
  </r>
  <r>
    <s v="TX00267"/>
    <x v="5"/>
    <s v="S05"/>
    <x v="5"/>
    <x v="2"/>
    <n v="1608"/>
    <n v="30"/>
    <n v="0.05"/>
    <n v="45828"/>
    <n v="22512"/>
    <n v="48240"/>
    <s v="2023-06"/>
    <x v="4"/>
    <x v="0"/>
    <x v="3"/>
    <n v="2412"/>
    <n v="28.5"/>
    <n v="14"/>
    <n v="22512"/>
    <n v="0"/>
    <n v="23316"/>
    <n v="0.50877192982456143"/>
  </r>
  <r>
    <s v="TX00268"/>
    <x v="5"/>
    <s v="S05"/>
    <x v="6"/>
    <x v="3"/>
    <n v="1628"/>
    <n v="40"/>
    <n v="0.08"/>
    <n v="59910.400000000001"/>
    <n v="32560"/>
    <n v="65120"/>
    <s v="2023-06"/>
    <x v="4"/>
    <x v="0"/>
    <x v="4"/>
    <n v="5209.5999999999985"/>
    <n v="36.800000000000004"/>
    <n v="20"/>
    <n v="32560"/>
    <n v="0"/>
    <n v="27350.400000000001"/>
    <n v="0.45652173913043481"/>
  </r>
  <r>
    <s v="TX00269"/>
    <x v="5"/>
    <s v="S05"/>
    <x v="7"/>
    <x v="4"/>
    <n v="1560"/>
    <n v="10"/>
    <n v="0.08"/>
    <n v="14352"/>
    <n v="6240"/>
    <n v="15600"/>
    <s v="2023-06"/>
    <x v="4"/>
    <x v="0"/>
    <x v="5"/>
    <n v="1248"/>
    <n v="9.1999999999999993"/>
    <n v="4"/>
    <n v="6240"/>
    <n v="0"/>
    <n v="8112"/>
    <n v="0.56521739130434778"/>
  </r>
  <r>
    <s v="TX00270"/>
    <x v="5"/>
    <s v="S05"/>
    <x v="8"/>
    <x v="4"/>
    <n v="1440"/>
    <n v="22"/>
    <n v="0.06"/>
    <n v="29779.200000000001"/>
    <n v="14400"/>
    <n v="31680"/>
    <s v="2023-06"/>
    <x v="4"/>
    <x v="0"/>
    <x v="5"/>
    <n v="1900.7999999999993"/>
    <n v="20.68"/>
    <n v="10"/>
    <n v="14400"/>
    <n v="0"/>
    <n v="15379.2"/>
    <n v="0.51644100580270791"/>
  </r>
  <r>
    <s v="TX00271"/>
    <x v="6"/>
    <s v="S01"/>
    <x v="0"/>
    <x v="0"/>
    <n v="1716"/>
    <n v="24"/>
    <n v="0.09"/>
    <n v="37477.440000000002"/>
    <n v="20592"/>
    <n v="41184"/>
    <s v="2023-07"/>
    <x v="0"/>
    <x v="0"/>
    <x v="0"/>
    <n v="3706.5599999999977"/>
    <n v="21.84"/>
    <n v="12"/>
    <n v="20592"/>
    <n v="0"/>
    <n v="16885.440000000002"/>
    <n v="0.45054945054945056"/>
  </r>
  <r>
    <s v="TX00272"/>
    <x v="6"/>
    <s v="S01"/>
    <x v="1"/>
    <x v="0"/>
    <n v="2472"/>
    <n v="50"/>
    <n v="0.06"/>
    <n v="116184"/>
    <n v="69216"/>
    <n v="123600"/>
    <s v="2023-07"/>
    <x v="0"/>
    <x v="0"/>
    <x v="1"/>
    <n v="7416"/>
    <n v="47"/>
    <n v="28"/>
    <n v="69216"/>
    <n v="0"/>
    <n v="46968"/>
    <n v="0.40425531914893614"/>
  </r>
  <r>
    <s v="TX00273"/>
    <x v="6"/>
    <s v="S01"/>
    <x v="2"/>
    <x v="1"/>
    <n v="1264"/>
    <n v="28"/>
    <n v="0.05"/>
    <n v="33622.400000000001"/>
    <n v="18960"/>
    <n v="35392"/>
    <s v="2023-07"/>
    <x v="0"/>
    <x v="0"/>
    <x v="2"/>
    <n v="1769.5999999999985"/>
    <n v="26.6"/>
    <n v="15"/>
    <n v="18960"/>
    <n v="0"/>
    <n v="14662.400000000001"/>
    <n v="0.43609022556390981"/>
  </r>
  <r>
    <s v="TX00274"/>
    <x v="6"/>
    <s v="S01"/>
    <x v="3"/>
    <x v="1"/>
    <n v="2616"/>
    <n v="35"/>
    <n v="0.08"/>
    <n v="84235.199999999997"/>
    <n v="47088"/>
    <n v="91560"/>
    <s v="2023-07"/>
    <x v="0"/>
    <x v="0"/>
    <x v="2"/>
    <n v="7324.8000000000029"/>
    <n v="32.199999999999996"/>
    <n v="18"/>
    <n v="47088"/>
    <n v="0"/>
    <n v="37147.199999999997"/>
    <n v="0.44099378881987578"/>
  </r>
  <r>
    <s v="TX00275"/>
    <x v="6"/>
    <s v="S01"/>
    <x v="4"/>
    <x v="2"/>
    <n v="1952"/>
    <n v="18"/>
    <n v="0.08"/>
    <n v="32325.119999999999"/>
    <n v="17568"/>
    <n v="35136"/>
    <s v="2023-07"/>
    <x v="0"/>
    <x v="0"/>
    <x v="3"/>
    <n v="2810.880000000001"/>
    <n v="16.559999999999999"/>
    <n v="9"/>
    <n v="17568"/>
    <n v="0"/>
    <n v="14757.119999999999"/>
    <n v="0.45652173913043476"/>
  </r>
  <r>
    <s v="TX00276"/>
    <x v="6"/>
    <s v="S01"/>
    <x v="5"/>
    <x v="2"/>
    <n v="2436"/>
    <n v="30"/>
    <n v="0.06"/>
    <n v="68695.199999999997"/>
    <n v="34104"/>
    <n v="73080"/>
    <s v="2023-07"/>
    <x v="0"/>
    <x v="0"/>
    <x v="3"/>
    <n v="4384.8000000000029"/>
    <n v="28.2"/>
    <n v="14"/>
    <n v="34104"/>
    <n v="0"/>
    <n v="34591.199999999997"/>
    <n v="0.50354609929078009"/>
  </r>
  <r>
    <s v="TX00277"/>
    <x v="6"/>
    <s v="S01"/>
    <x v="6"/>
    <x v="3"/>
    <n v="2596"/>
    <n v="40"/>
    <n v="7.0000000000000007E-2"/>
    <n v="96571.199999999997"/>
    <n v="51920"/>
    <n v="103840"/>
    <s v="2023-07"/>
    <x v="0"/>
    <x v="0"/>
    <x v="4"/>
    <n v="7268.8000000000029"/>
    <n v="37.199999999999996"/>
    <n v="20"/>
    <n v="51920"/>
    <n v="0"/>
    <n v="44651.199999999997"/>
    <n v="0.46236559139784944"/>
  </r>
  <r>
    <s v="TX00278"/>
    <x v="6"/>
    <s v="S01"/>
    <x v="7"/>
    <x v="4"/>
    <n v="2756"/>
    <n v="10"/>
    <n v="0.1"/>
    <n v="24804"/>
    <n v="11024"/>
    <n v="27560"/>
    <s v="2023-07"/>
    <x v="0"/>
    <x v="0"/>
    <x v="5"/>
    <n v="2756"/>
    <n v="9"/>
    <n v="4"/>
    <n v="11024"/>
    <n v="0"/>
    <n v="13780"/>
    <n v="0.55555555555555558"/>
  </r>
  <r>
    <s v="TX00279"/>
    <x v="6"/>
    <s v="S01"/>
    <x v="8"/>
    <x v="4"/>
    <n v="1708"/>
    <n v="22"/>
    <n v="0.09"/>
    <n v="34194.160000000003"/>
    <n v="17080"/>
    <n v="37576"/>
    <s v="2023-07"/>
    <x v="0"/>
    <x v="0"/>
    <x v="5"/>
    <n v="3381.8399999999965"/>
    <n v="20.020000000000003"/>
    <n v="10"/>
    <n v="17080"/>
    <n v="0"/>
    <n v="17114.160000000003"/>
    <n v="0.50049950049950054"/>
  </r>
  <r>
    <s v="TX00280"/>
    <x v="6"/>
    <s v="S02"/>
    <x v="0"/>
    <x v="0"/>
    <n v="1672"/>
    <n v="24"/>
    <n v="0.1"/>
    <n v="36115.199999999997"/>
    <n v="20064"/>
    <n v="40128"/>
    <s v="2023-07"/>
    <x v="1"/>
    <x v="1"/>
    <x v="0"/>
    <n v="4012.8000000000029"/>
    <n v="21.599999999999998"/>
    <n v="12"/>
    <n v="20064"/>
    <n v="0"/>
    <n v="16051.199999999997"/>
    <n v="0.44444444444444442"/>
  </r>
  <r>
    <s v="TX00281"/>
    <x v="6"/>
    <s v="S02"/>
    <x v="1"/>
    <x v="0"/>
    <n v="2652"/>
    <n v="50"/>
    <n v="0.05"/>
    <n v="125970"/>
    <n v="74256"/>
    <n v="132600"/>
    <s v="2023-07"/>
    <x v="1"/>
    <x v="1"/>
    <x v="1"/>
    <n v="6630"/>
    <n v="47.5"/>
    <n v="28"/>
    <n v="74256"/>
    <n v="0"/>
    <n v="51714"/>
    <n v="0.41052631578947368"/>
  </r>
  <r>
    <s v="TX00282"/>
    <x v="6"/>
    <s v="S02"/>
    <x v="2"/>
    <x v="1"/>
    <n v="1572"/>
    <n v="28"/>
    <n v="0.08"/>
    <n v="40494.720000000001"/>
    <n v="23580"/>
    <n v="44016"/>
    <s v="2023-07"/>
    <x v="1"/>
    <x v="1"/>
    <x v="2"/>
    <n v="3521.2799999999988"/>
    <n v="25.76"/>
    <n v="15"/>
    <n v="23580"/>
    <n v="0"/>
    <n v="16914.72"/>
    <n v="0.41770186335403731"/>
  </r>
  <r>
    <s v="TX00283"/>
    <x v="6"/>
    <s v="S02"/>
    <x v="3"/>
    <x v="1"/>
    <n v="2036"/>
    <n v="35"/>
    <n v="0.09"/>
    <n v="64846.6"/>
    <n v="36648"/>
    <n v="71260"/>
    <s v="2023-07"/>
    <x v="1"/>
    <x v="1"/>
    <x v="2"/>
    <n v="6413.4000000000015"/>
    <n v="31.849999999999998"/>
    <n v="18"/>
    <n v="36648"/>
    <n v="0"/>
    <n v="28198.6"/>
    <n v="0.43485086342229196"/>
  </r>
  <r>
    <s v="TX00284"/>
    <x v="6"/>
    <s v="S02"/>
    <x v="4"/>
    <x v="2"/>
    <n v="1356"/>
    <n v="18"/>
    <n v="0.06"/>
    <n v="22943.52"/>
    <n v="12204"/>
    <n v="24408"/>
    <s v="2023-07"/>
    <x v="1"/>
    <x v="1"/>
    <x v="3"/>
    <n v="1464.4799999999996"/>
    <n v="16.920000000000002"/>
    <n v="9"/>
    <n v="12204"/>
    <n v="0"/>
    <n v="10739.52"/>
    <n v="0.46808510638297873"/>
  </r>
  <r>
    <s v="TX00285"/>
    <x v="6"/>
    <s v="S02"/>
    <x v="5"/>
    <x v="2"/>
    <n v="1276"/>
    <n v="30"/>
    <n v="0.05"/>
    <n v="36366"/>
    <n v="17864"/>
    <n v="38280"/>
    <s v="2023-07"/>
    <x v="1"/>
    <x v="1"/>
    <x v="3"/>
    <n v="1914"/>
    <n v="28.5"/>
    <n v="14"/>
    <n v="17864"/>
    <n v="0"/>
    <n v="18502"/>
    <n v="0.50877192982456143"/>
  </r>
  <r>
    <s v="TX00286"/>
    <x v="6"/>
    <s v="S02"/>
    <x v="6"/>
    <x v="3"/>
    <n v="1816"/>
    <n v="40"/>
    <n v="0.1"/>
    <n v="65376"/>
    <n v="36320"/>
    <n v="72640"/>
    <s v="2023-07"/>
    <x v="1"/>
    <x v="1"/>
    <x v="4"/>
    <n v="7264"/>
    <n v="36"/>
    <n v="20"/>
    <n v="36320"/>
    <n v="0"/>
    <n v="29056"/>
    <n v="0.44444444444444442"/>
  </r>
  <r>
    <s v="TX00287"/>
    <x v="6"/>
    <s v="S02"/>
    <x v="7"/>
    <x v="4"/>
    <n v="1672"/>
    <n v="10"/>
    <n v="0.1"/>
    <n v="15048"/>
    <n v="6688"/>
    <n v="16720"/>
    <s v="2023-07"/>
    <x v="1"/>
    <x v="1"/>
    <x v="5"/>
    <n v="1672"/>
    <n v="9"/>
    <n v="4"/>
    <n v="6688"/>
    <n v="0"/>
    <n v="8360"/>
    <n v="0.55555555555555558"/>
  </r>
  <r>
    <s v="TX00288"/>
    <x v="6"/>
    <s v="S02"/>
    <x v="8"/>
    <x v="4"/>
    <n v="1448"/>
    <n v="22"/>
    <n v="0.09"/>
    <n v="28988.959999999999"/>
    <n v="14480"/>
    <n v="31856"/>
    <s v="2023-07"/>
    <x v="1"/>
    <x v="1"/>
    <x v="5"/>
    <n v="2867.0400000000009"/>
    <n v="20.02"/>
    <n v="10"/>
    <n v="14480"/>
    <n v="0"/>
    <n v="14508.96"/>
    <n v="0.50049950049950054"/>
  </r>
  <r>
    <s v="TX00289"/>
    <x v="6"/>
    <s v="S03"/>
    <x v="0"/>
    <x v="0"/>
    <n v="2596"/>
    <n v="24"/>
    <n v="0.06"/>
    <n v="58565.760000000002"/>
    <n v="31152"/>
    <n v="62304"/>
    <s v="2023-07"/>
    <x v="2"/>
    <x v="2"/>
    <x v="0"/>
    <n v="3738.239999999998"/>
    <n v="22.560000000000002"/>
    <n v="12"/>
    <n v="31152"/>
    <n v="0"/>
    <n v="27413.760000000002"/>
    <n v="0.46808510638297873"/>
  </r>
  <r>
    <s v="TX00290"/>
    <x v="6"/>
    <s v="S03"/>
    <x v="1"/>
    <x v="0"/>
    <n v="1524"/>
    <n v="50"/>
    <n v="0.1"/>
    <n v="68580"/>
    <n v="42672"/>
    <n v="76200"/>
    <s v="2023-07"/>
    <x v="2"/>
    <x v="2"/>
    <x v="1"/>
    <n v="7620"/>
    <n v="45"/>
    <n v="28"/>
    <n v="42672"/>
    <n v="0"/>
    <n v="25908"/>
    <n v="0.37777777777777777"/>
  </r>
  <r>
    <s v="TX00291"/>
    <x v="6"/>
    <s v="S03"/>
    <x v="2"/>
    <x v="1"/>
    <n v="1536"/>
    <n v="28"/>
    <n v="0.08"/>
    <n v="39567.360000000001"/>
    <n v="23040"/>
    <n v="43008"/>
    <s v="2023-07"/>
    <x v="2"/>
    <x v="2"/>
    <x v="2"/>
    <n v="3440.6399999999994"/>
    <n v="25.76"/>
    <n v="15"/>
    <n v="23040"/>
    <n v="0"/>
    <n v="16527.36"/>
    <n v="0.41770186335403725"/>
  </r>
  <r>
    <s v="TX00292"/>
    <x v="6"/>
    <s v="S03"/>
    <x v="3"/>
    <x v="1"/>
    <n v="1848"/>
    <n v="35"/>
    <n v="0.06"/>
    <n v="60799.199999999997"/>
    <n v="33264"/>
    <n v="64680"/>
    <s v="2023-07"/>
    <x v="2"/>
    <x v="2"/>
    <x v="2"/>
    <n v="3880.8000000000029"/>
    <n v="32.9"/>
    <n v="18"/>
    <n v="33264"/>
    <n v="0"/>
    <n v="27535.199999999997"/>
    <n v="0.45288753799392095"/>
  </r>
  <r>
    <s v="TX00293"/>
    <x v="6"/>
    <s v="S03"/>
    <x v="4"/>
    <x v="2"/>
    <n v="2188"/>
    <n v="18"/>
    <n v="0.05"/>
    <n v="37414.800000000003"/>
    <n v="19692"/>
    <n v="39384"/>
    <s v="2023-07"/>
    <x v="2"/>
    <x v="2"/>
    <x v="3"/>
    <n v="1969.1999999999971"/>
    <n v="17.100000000000001"/>
    <n v="9"/>
    <n v="19692"/>
    <n v="0"/>
    <n v="17722.800000000003"/>
    <n v="0.47368421052631582"/>
  </r>
  <r>
    <s v="TX00294"/>
    <x v="6"/>
    <s v="S03"/>
    <x v="5"/>
    <x v="2"/>
    <n v="1236"/>
    <n v="30"/>
    <n v="0.09"/>
    <n v="33742.800000000003"/>
    <n v="17304"/>
    <n v="37080"/>
    <s v="2023-07"/>
    <x v="2"/>
    <x v="2"/>
    <x v="3"/>
    <n v="3337.1999999999971"/>
    <n v="27.3"/>
    <n v="14"/>
    <n v="17304"/>
    <n v="0"/>
    <n v="16438.800000000003"/>
    <n v="0.48717948717948723"/>
  </r>
  <r>
    <s v="TX00295"/>
    <x v="6"/>
    <s v="S03"/>
    <x v="6"/>
    <x v="3"/>
    <n v="1256"/>
    <n v="40"/>
    <n v="0.09"/>
    <n v="45718.400000000001"/>
    <n v="25120"/>
    <n v="50240"/>
    <s v="2023-07"/>
    <x v="2"/>
    <x v="2"/>
    <x v="4"/>
    <n v="4521.5999999999985"/>
    <n v="36.4"/>
    <n v="20"/>
    <n v="25120"/>
    <n v="0"/>
    <n v="20598.400000000001"/>
    <n v="0.45054945054945056"/>
  </r>
  <r>
    <s v="TX00296"/>
    <x v="6"/>
    <s v="S03"/>
    <x v="7"/>
    <x v="4"/>
    <n v="1384"/>
    <n v="10"/>
    <n v="0.08"/>
    <n v="12732.8"/>
    <n v="5536"/>
    <n v="13840"/>
    <s v="2023-07"/>
    <x v="2"/>
    <x v="2"/>
    <x v="5"/>
    <n v="1107.2000000000007"/>
    <n v="9.1999999999999993"/>
    <n v="4"/>
    <n v="5536"/>
    <n v="0"/>
    <n v="7196.7999999999993"/>
    <n v="0.56521739130434778"/>
  </r>
  <r>
    <s v="TX00297"/>
    <x v="6"/>
    <s v="S03"/>
    <x v="8"/>
    <x v="4"/>
    <n v="2032"/>
    <n v="22"/>
    <n v="0.06"/>
    <n v="42021.760000000002"/>
    <n v="20320"/>
    <n v="44704"/>
    <s v="2023-07"/>
    <x v="2"/>
    <x v="2"/>
    <x v="5"/>
    <n v="2682.239999999998"/>
    <n v="20.68"/>
    <n v="10"/>
    <n v="20320"/>
    <n v="0"/>
    <n v="21701.760000000002"/>
    <n v="0.51644100580270791"/>
  </r>
  <r>
    <s v="TX00298"/>
    <x v="6"/>
    <s v="S04"/>
    <x v="0"/>
    <x v="0"/>
    <n v="2368"/>
    <n v="24"/>
    <n v="0.09"/>
    <n v="51717.120000000003"/>
    <n v="28416"/>
    <n v="56832"/>
    <s v="2023-07"/>
    <x v="3"/>
    <x v="3"/>
    <x v="0"/>
    <n v="5114.8799999999974"/>
    <n v="21.84"/>
    <n v="12"/>
    <n v="28416"/>
    <n v="0"/>
    <n v="23301.120000000003"/>
    <n v="0.45054945054945056"/>
  </r>
  <r>
    <s v="TX00299"/>
    <x v="6"/>
    <s v="S04"/>
    <x v="1"/>
    <x v="0"/>
    <n v="1724"/>
    <n v="50"/>
    <n v="0.09"/>
    <n v="78442"/>
    <n v="48272"/>
    <n v="86200"/>
    <s v="2023-07"/>
    <x v="3"/>
    <x v="3"/>
    <x v="1"/>
    <n v="7758"/>
    <n v="45.5"/>
    <n v="28"/>
    <n v="48272"/>
    <n v="0"/>
    <n v="30170"/>
    <n v="0.38461538461538464"/>
  </r>
  <r>
    <s v="TX00300"/>
    <x v="6"/>
    <s v="S04"/>
    <x v="2"/>
    <x v="1"/>
    <n v="1808"/>
    <n v="28"/>
    <n v="0.06"/>
    <n v="47586.559999999998"/>
    <n v="27120"/>
    <n v="50624"/>
    <s v="2023-07"/>
    <x v="3"/>
    <x v="3"/>
    <x v="2"/>
    <n v="3037.4400000000023"/>
    <n v="26.32"/>
    <n v="15"/>
    <n v="27120"/>
    <n v="0"/>
    <n v="20466.559999999998"/>
    <n v="0.43009118541033431"/>
  </r>
  <r>
    <s v="TX00301"/>
    <x v="6"/>
    <s v="S04"/>
    <x v="3"/>
    <x v="1"/>
    <n v="1684"/>
    <n v="35"/>
    <n v="0.05"/>
    <n v="55993"/>
    <n v="30312"/>
    <n v="58940"/>
    <s v="2023-07"/>
    <x v="3"/>
    <x v="3"/>
    <x v="2"/>
    <n v="2947"/>
    <n v="33.25"/>
    <n v="18"/>
    <n v="30312"/>
    <n v="0"/>
    <n v="25681"/>
    <n v="0.45864661654135336"/>
  </r>
  <r>
    <s v="TX00302"/>
    <x v="6"/>
    <s v="S04"/>
    <x v="4"/>
    <x v="2"/>
    <n v="1208"/>
    <n v="18"/>
    <n v="7.0000000000000007E-2"/>
    <n v="20221.919999999998"/>
    <n v="10872"/>
    <n v="21744"/>
    <s v="2023-07"/>
    <x v="3"/>
    <x v="3"/>
    <x v="3"/>
    <n v="1522.0800000000017"/>
    <n v="16.739999999999998"/>
    <n v="9"/>
    <n v="10872"/>
    <n v="0"/>
    <n v="9349.9199999999983"/>
    <n v="0.46236559139784944"/>
  </r>
  <r>
    <s v="TX00303"/>
    <x v="6"/>
    <s v="S04"/>
    <x v="5"/>
    <x v="2"/>
    <n v="1604"/>
    <n v="30"/>
    <n v="0.09"/>
    <n v="43789.2"/>
    <n v="22456"/>
    <n v="48120"/>
    <s v="2023-07"/>
    <x v="3"/>
    <x v="3"/>
    <x v="3"/>
    <n v="4330.8000000000029"/>
    <n v="27.299999999999997"/>
    <n v="14"/>
    <n v="22456"/>
    <n v="0"/>
    <n v="21333.199999999997"/>
    <n v="0.48717948717948717"/>
  </r>
  <r>
    <s v="TX00304"/>
    <x v="6"/>
    <s v="S04"/>
    <x v="6"/>
    <x v="3"/>
    <n v="1540"/>
    <n v="40"/>
    <n v="7.0000000000000007E-2"/>
    <n v="57288"/>
    <n v="30800"/>
    <n v="61600"/>
    <s v="2023-07"/>
    <x v="3"/>
    <x v="3"/>
    <x v="4"/>
    <n v="4312"/>
    <n v="37.200000000000003"/>
    <n v="20"/>
    <n v="30800"/>
    <n v="0"/>
    <n v="26488"/>
    <n v="0.46236559139784944"/>
  </r>
  <r>
    <s v="TX00305"/>
    <x v="6"/>
    <s v="S04"/>
    <x v="7"/>
    <x v="4"/>
    <n v="1724"/>
    <n v="10"/>
    <n v="0.05"/>
    <n v="16378"/>
    <n v="6896"/>
    <n v="17240"/>
    <s v="2023-07"/>
    <x v="3"/>
    <x v="3"/>
    <x v="5"/>
    <n v="862"/>
    <n v="9.5"/>
    <n v="4"/>
    <n v="6896"/>
    <n v="0"/>
    <n v="9482"/>
    <n v="0.57894736842105265"/>
  </r>
  <r>
    <s v="TX00306"/>
    <x v="6"/>
    <s v="S04"/>
    <x v="8"/>
    <x v="4"/>
    <n v="2116"/>
    <n v="22"/>
    <n v="0.08"/>
    <n v="42827.839999999997"/>
    <n v="21160"/>
    <n v="46552"/>
    <s v="2023-07"/>
    <x v="3"/>
    <x v="3"/>
    <x v="5"/>
    <n v="3724.1600000000035"/>
    <n v="20.239999999999998"/>
    <n v="10"/>
    <n v="21160"/>
    <n v="0"/>
    <n v="21667.839999999997"/>
    <n v="0.50592885375494068"/>
  </r>
  <r>
    <s v="TX00307"/>
    <x v="6"/>
    <s v="S05"/>
    <x v="0"/>
    <x v="0"/>
    <n v="2452"/>
    <n v="24"/>
    <n v="0.08"/>
    <n v="54140.160000000003"/>
    <n v="29424"/>
    <n v="58848"/>
    <s v="2023-07"/>
    <x v="4"/>
    <x v="0"/>
    <x v="0"/>
    <n v="4707.8399999999965"/>
    <n v="22.080000000000002"/>
    <n v="12"/>
    <n v="29424"/>
    <n v="0"/>
    <n v="24716.160000000003"/>
    <n v="0.45652173913043481"/>
  </r>
  <r>
    <s v="TX00308"/>
    <x v="6"/>
    <s v="S05"/>
    <x v="1"/>
    <x v="0"/>
    <n v="1388"/>
    <n v="50"/>
    <n v="0.08"/>
    <n v="63848"/>
    <n v="38864"/>
    <n v="69400"/>
    <s v="2023-07"/>
    <x v="4"/>
    <x v="0"/>
    <x v="1"/>
    <n v="5552"/>
    <n v="46"/>
    <n v="28"/>
    <n v="38864"/>
    <n v="0"/>
    <n v="24984"/>
    <n v="0.39130434782608697"/>
  </r>
  <r>
    <s v="TX00309"/>
    <x v="6"/>
    <s v="S05"/>
    <x v="2"/>
    <x v="1"/>
    <n v="2596"/>
    <n v="28"/>
    <n v="0.05"/>
    <n v="69053.600000000006"/>
    <n v="38940"/>
    <n v="72688"/>
    <s v="2023-07"/>
    <x v="4"/>
    <x v="0"/>
    <x v="2"/>
    <n v="3634.3999999999942"/>
    <n v="26.6"/>
    <n v="15"/>
    <n v="38940"/>
    <n v="0"/>
    <n v="30113.600000000006"/>
    <n v="0.43609022556390981"/>
  </r>
  <r>
    <s v="TX00310"/>
    <x v="6"/>
    <s v="S05"/>
    <x v="3"/>
    <x v="1"/>
    <n v="1368"/>
    <n v="35"/>
    <n v="0.06"/>
    <n v="45007.199999999997"/>
    <n v="24624"/>
    <n v="47880"/>
    <s v="2023-07"/>
    <x v="4"/>
    <x v="0"/>
    <x v="2"/>
    <n v="2872.8000000000029"/>
    <n v="32.9"/>
    <n v="18"/>
    <n v="24624"/>
    <n v="0"/>
    <n v="20383.199999999997"/>
    <n v="0.45288753799392095"/>
  </r>
  <r>
    <s v="TX00311"/>
    <x v="6"/>
    <s v="S05"/>
    <x v="4"/>
    <x v="2"/>
    <n v="1884"/>
    <n v="18"/>
    <n v="0.05"/>
    <n v="32216.400000000001"/>
    <n v="16956"/>
    <n v="33912"/>
    <s v="2023-07"/>
    <x v="4"/>
    <x v="0"/>
    <x v="3"/>
    <n v="1695.5999999999985"/>
    <n v="17.100000000000001"/>
    <n v="9"/>
    <n v="16956"/>
    <n v="0"/>
    <n v="15260.400000000001"/>
    <n v="0.47368421052631582"/>
  </r>
  <r>
    <s v="TX00312"/>
    <x v="6"/>
    <s v="S05"/>
    <x v="5"/>
    <x v="2"/>
    <n v="2532"/>
    <n v="30"/>
    <n v="0.06"/>
    <n v="71402.399999999994"/>
    <n v="35448"/>
    <n v="75960"/>
    <s v="2023-07"/>
    <x v="4"/>
    <x v="0"/>
    <x v="3"/>
    <n v="4557.6000000000058"/>
    <n v="28.2"/>
    <n v="14"/>
    <n v="35448"/>
    <n v="0"/>
    <n v="35954.399999999994"/>
    <n v="0.50354609929078009"/>
  </r>
  <r>
    <s v="TX00313"/>
    <x v="6"/>
    <s v="S05"/>
    <x v="6"/>
    <x v="3"/>
    <n v="1352"/>
    <n v="40"/>
    <n v="0.09"/>
    <n v="49212.800000000003"/>
    <n v="27040"/>
    <n v="54080"/>
    <s v="2023-07"/>
    <x v="4"/>
    <x v="0"/>
    <x v="4"/>
    <n v="4867.1999999999971"/>
    <n v="36.400000000000006"/>
    <n v="20"/>
    <n v="27040"/>
    <n v="0"/>
    <n v="22172.800000000003"/>
    <n v="0.45054945054945056"/>
  </r>
  <r>
    <s v="TX00314"/>
    <x v="6"/>
    <s v="S05"/>
    <x v="7"/>
    <x v="4"/>
    <n v="2032"/>
    <n v="10"/>
    <n v="7.0000000000000007E-2"/>
    <n v="18897.599999999999"/>
    <n v="8128"/>
    <n v="20320"/>
    <s v="2023-07"/>
    <x v="4"/>
    <x v="0"/>
    <x v="5"/>
    <n v="1422.4000000000015"/>
    <n v="9.2999999999999989"/>
    <n v="4"/>
    <n v="8128"/>
    <n v="0"/>
    <n v="10769.599999999999"/>
    <n v="0.56989247311827951"/>
  </r>
  <r>
    <s v="TX00315"/>
    <x v="6"/>
    <s v="S05"/>
    <x v="8"/>
    <x v="4"/>
    <n v="1888"/>
    <n v="22"/>
    <n v="0.09"/>
    <n v="37797.760000000002"/>
    <n v="18880"/>
    <n v="41536"/>
    <s v="2023-07"/>
    <x v="4"/>
    <x v="0"/>
    <x v="5"/>
    <n v="3738.239999999998"/>
    <n v="20.02"/>
    <n v="10"/>
    <n v="18880"/>
    <n v="0"/>
    <n v="18917.760000000002"/>
    <n v="0.50049950049950054"/>
  </r>
  <r>
    <s v="TX00316"/>
    <x v="7"/>
    <s v="S01"/>
    <x v="0"/>
    <x v="0"/>
    <n v="1916"/>
    <n v="24"/>
    <n v="0.09"/>
    <n v="41845.440000000002"/>
    <n v="22992"/>
    <n v="45984"/>
    <s v="2023-08"/>
    <x v="0"/>
    <x v="0"/>
    <x v="0"/>
    <n v="4138.5599999999977"/>
    <n v="21.84"/>
    <n v="12"/>
    <n v="22992"/>
    <n v="0"/>
    <n v="18853.440000000002"/>
    <n v="0.45054945054945056"/>
  </r>
  <r>
    <s v="TX00317"/>
    <x v="7"/>
    <s v="S01"/>
    <x v="1"/>
    <x v="0"/>
    <n v="1300"/>
    <n v="50"/>
    <n v="7.0000000000000007E-2"/>
    <n v="60450"/>
    <n v="36400"/>
    <n v="65000"/>
    <s v="2023-08"/>
    <x v="0"/>
    <x v="0"/>
    <x v="1"/>
    <n v="4550"/>
    <n v="46.5"/>
    <n v="28"/>
    <n v="36400"/>
    <n v="0"/>
    <n v="24050"/>
    <n v="0.39784946236559138"/>
  </r>
  <r>
    <s v="TX00318"/>
    <x v="7"/>
    <s v="S01"/>
    <x v="2"/>
    <x v="1"/>
    <n v="2728"/>
    <n v="28"/>
    <n v="0.06"/>
    <n v="71800.960000000006"/>
    <n v="40920"/>
    <n v="76384"/>
    <s v="2023-08"/>
    <x v="0"/>
    <x v="0"/>
    <x v="2"/>
    <n v="4583.0399999999936"/>
    <n v="26.320000000000004"/>
    <n v="15"/>
    <n v="40920"/>
    <n v="0"/>
    <n v="30880.960000000006"/>
    <n v="0.43009118541033442"/>
  </r>
  <r>
    <s v="TX00319"/>
    <x v="7"/>
    <s v="S01"/>
    <x v="3"/>
    <x v="1"/>
    <n v="2236"/>
    <n v="35"/>
    <n v="0.09"/>
    <n v="71216.600000000006"/>
    <n v="40248"/>
    <n v="78260"/>
    <s v="2023-08"/>
    <x v="0"/>
    <x v="0"/>
    <x v="2"/>
    <n v="7043.3999999999942"/>
    <n v="31.85"/>
    <n v="18"/>
    <n v="40248"/>
    <n v="0"/>
    <n v="30968.600000000006"/>
    <n v="0.43485086342229207"/>
  </r>
  <r>
    <s v="TX00320"/>
    <x v="7"/>
    <s v="S01"/>
    <x v="4"/>
    <x v="2"/>
    <n v="2300"/>
    <n v="18"/>
    <n v="0.09"/>
    <n v="37674"/>
    <n v="20700"/>
    <n v="41400"/>
    <s v="2023-08"/>
    <x v="0"/>
    <x v="0"/>
    <x v="3"/>
    <n v="3726"/>
    <n v="16.38"/>
    <n v="9"/>
    <n v="20700"/>
    <n v="0"/>
    <n v="16974"/>
    <n v="0.45054945054945056"/>
  </r>
  <r>
    <s v="TX00321"/>
    <x v="7"/>
    <s v="S01"/>
    <x v="5"/>
    <x v="2"/>
    <n v="1620"/>
    <n v="30"/>
    <n v="0.1"/>
    <n v="43740"/>
    <n v="22680"/>
    <n v="48600"/>
    <s v="2023-08"/>
    <x v="0"/>
    <x v="0"/>
    <x v="3"/>
    <n v="4860"/>
    <n v="27"/>
    <n v="14"/>
    <n v="22680"/>
    <n v="0"/>
    <n v="21060"/>
    <n v="0.48148148148148145"/>
  </r>
  <r>
    <s v="TX00322"/>
    <x v="7"/>
    <s v="S01"/>
    <x v="6"/>
    <x v="3"/>
    <n v="1772"/>
    <n v="40"/>
    <n v="0.09"/>
    <n v="64500.800000000003"/>
    <n v="35440"/>
    <n v="70880"/>
    <s v="2023-08"/>
    <x v="0"/>
    <x v="0"/>
    <x v="4"/>
    <n v="6379.1999999999971"/>
    <n v="36.4"/>
    <n v="20"/>
    <n v="35440"/>
    <n v="0"/>
    <n v="29060.800000000003"/>
    <n v="0.45054945054945056"/>
  </r>
  <r>
    <s v="TX00323"/>
    <x v="7"/>
    <s v="S01"/>
    <x v="7"/>
    <x v="4"/>
    <n v="2332"/>
    <n v="10"/>
    <n v="0.08"/>
    <n v="21454.400000000001"/>
    <n v="9328"/>
    <n v="23320"/>
    <s v="2023-08"/>
    <x v="0"/>
    <x v="0"/>
    <x v="5"/>
    <n v="1865.5999999999985"/>
    <n v="9.2000000000000011"/>
    <n v="4"/>
    <n v="9328"/>
    <n v="0"/>
    <n v="12126.400000000001"/>
    <n v="0.56521739130434789"/>
  </r>
  <r>
    <s v="TX00324"/>
    <x v="7"/>
    <s v="S01"/>
    <x v="8"/>
    <x v="4"/>
    <n v="1360"/>
    <n v="22"/>
    <n v="7.0000000000000007E-2"/>
    <n v="27825.599999999999"/>
    <n v="13600"/>
    <n v="29920"/>
    <s v="2023-08"/>
    <x v="0"/>
    <x v="0"/>
    <x v="5"/>
    <n v="2094.4000000000015"/>
    <n v="20.459999999999997"/>
    <n v="10"/>
    <n v="13600"/>
    <n v="0"/>
    <n v="14225.599999999999"/>
    <n v="0.51124144672531768"/>
  </r>
  <r>
    <s v="TX00325"/>
    <x v="7"/>
    <s v="S02"/>
    <x v="0"/>
    <x v="0"/>
    <n v="2216"/>
    <n v="24"/>
    <n v="0.05"/>
    <n v="50524.800000000003"/>
    <n v="26592"/>
    <n v="53184"/>
    <s v="2023-08"/>
    <x v="1"/>
    <x v="1"/>
    <x v="0"/>
    <n v="2659.1999999999971"/>
    <n v="22.8"/>
    <n v="12"/>
    <n v="26592"/>
    <n v="0"/>
    <n v="23932.800000000003"/>
    <n v="0.47368421052631582"/>
  </r>
  <r>
    <s v="TX00326"/>
    <x v="7"/>
    <s v="S02"/>
    <x v="1"/>
    <x v="0"/>
    <n v="2800"/>
    <n v="50"/>
    <n v="0.06"/>
    <n v="131600"/>
    <n v="78400"/>
    <n v="140000"/>
    <s v="2023-08"/>
    <x v="1"/>
    <x v="1"/>
    <x v="1"/>
    <n v="8400"/>
    <n v="47"/>
    <n v="28"/>
    <n v="78400"/>
    <n v="0"/>
    <n v="53200"/>
    <n v="0.40425531914893614"/>
  </r>
  <r>
    <s v="TX00327"/>
    <x v="7"/>
    <s v="S02"/>
    <x v="2"/>
    <x v="1"/>
    <n v="2256"/>
    <n v="28"/>
    <n v="0.08"/>
    <n v="58114.559999999998"/>
    <n v="33840"/>
    <n v="63168"/>
    <s v="2023-08"/>
    <x v="1"/>
    <x v="1"/>
    <x v="2"/>
    <n v="5053.4400000000023"/>
    <n v="25.759999999999998"/>
    <n v="15"/>
    <n v="33840"/>
    <n v="0"/>
    <n v="24274.559999999998"/>
    <n v="0.41770186335403725"/>
  </r>
  <r>
    <s v="TX00328"/>
    <x v="7"/>
    <s v="S02"/>
    <x v="3"/>
    <x v="1"/>
    <n v="2424"/>
    <n v="35"/>
    <n v="0.06"/>
    <n v="79749.600000000006"/>
    <n v="43632"/>
    <n v="84840"/>
    <s v="2023-08"/>
    <x v="1"/>
    <x v="1"/>
    <x v="2"/>
    <n v="5090.3999999999942"/>
    <n v="32.900000000000006"/>
    <n v="18"/>
    <n v="43632"/>
    <n v="0"/>
    <n v="36117.600000000006"/>
    <n v="0.45288753799392101"/>
  </r>
  <r>
    <s v="TX00329"/>
    <x v="7"/>
    <s v="S02"/>
    <x v="4"/>
    <x v="2"/>
    <n v="2192"/>
    <n v="18"/>
    <n v="0.06"/>
    <n v="37088.639999999999"/>
    <n v="19728"/>
    <n v="39456"/>
    <s v="2023-08"/>
    <x v="1"/>
    <x v="1"/>
    <x v="3"/>
    <n v="2367.3600000000006"/>
    <n v="16.919999999999998"/>
    <n v="9"/>
    <n v="19728"/>
    <n v="0"/>
    <n v="17360.64"/>
    <n v="0.46808510638297873"/>
  </r>
  <r>
    <s v="TX00330"/>
    <x v="7"/>
    <s v="S02"/>
    <x v="5"/>
    <x v="2"/>
    <n v="2592"/>
    <n v="30"/>
    <n v="0.06"/>
    <n v="73094.399999999994"/>
    <n v="36288"/>
    <n v="77760"/>
    <s v="2023-08"/>
    <x v="1"/>
    <x v="1"/>
    <x v="3"/>
    <n v="4665.6000000000058"/>
    <n v="28.2"/>
    <n v="14"/>
    <n v="36288"/>
    <n v="0"/>
    <n v="36806.399999999994"/>
    <n v="0.50354609929078009"/>
  </r>
  <r>
    <s v="TX00331"/>
    <x v="7"/>
    <s v="S02"/>
    <x v="6"/>
    <x v="3"/>
    <n v="1800"/>
    <n v="40"/>
    <n v="0.09"/>
    <n v="65520"/>
    <n v="36000"/>
    <n v="72000"/>
    <s v="2023-08"/>
    <x v="1"/>
    <x v="1"/>
    <x v="4"/>
    <n v="6480"/>
    <n v="36.4"/>
    <n v="20"/>
    <n v="36000"/>
    <n v="0"/>
    <n v="29520"/>
    <n v="0.45054945054945056"/>
  </r>
  <r>
    <s v="TX00332"/>
    <x v="7"/>
    <s v="S02"/>
    <x v="7"/>
    <x v="4"/>
    <n v="2360"/>
    <n v="10"/>
    <n v="0.1"/>
    <n v="21240"/>
    <n v="9440"/>
    <n v="23600"/>
    <s v="2023-08"/>
    <x v="1"/>
    <x v="1"/>
    <x v="5"/>
    <n v="2360"/>
    <n v="9"/>
    <n v="4"/>
    <n v="9440"/>
    <n v="0"/>
    <n v="11800"/>
    <n v="0.55555555555555558"/>
  </r>
  <r>
    <s v="TX00333"/>
    <x v="7"/>
    <s v="S02"/>
    <x v="8"/>
    <x v="4"/>
    <n v="1672"/>
    <n v="22"/>
    <n v="0.08"/>
    <n v="33841.279999999999"/>
    <n v="16720"/>
    <n v="36784"/>
    <s v="2023-08"/>
    <x v="1"/>
    <x v="1"/>
    <x v="5"/>
    <n v="2942.7200000000012"/>
    <n v="20.239999999999998"/>
    <n v="10"/>
    <n v="16720"/>
    <n v="0"/>
    <n v="17121.28"/>
    <n v="0.50592885375494068"/>
  </r>
  <r>
    <s v="TX00334"/>
    <x v="7"/>
    <s v="S03"/>
    <x v="0"/>
    <x v="0"/>
    <n v="1428"/>
    <n v="24"/>
    <n v="0.05"/>
    <n v="32558.400000000001"/>
    <n v="17136"/>
    <n v="34272"/>
    <s v="2023-08"/>
    <x v="2"/>
    <x v="2"/>
    <x v="0"/>
    <n v="1713.5999999999985"/>
    <n v="22.8"/>
    <n v="12"/>
    <n v="17136"/>
    <n v="0"/>
    <n v="15422.400000000001"/>
    <n v="0.47368421052631582"/>
  </r>
  <r>
    <s v="TX00335"/>
    <x v="7"/>
    <s v="S03"/>
    <x v="1"/>
    <x v="0"/>
    <n v="2724"/>
    <n v="50"/>
    <n v="0.09"/>
    <n v="123942"/>
    <n v="76272"/>
    <n v="136200"/>
    <s v="2023-08"/>
    <x v="2"/>
    <x v="2"/>
    <x v="1"/>
    <n v="12258"/>
    <n v="45.5"/>
    <n v="28"/>
    <n v="76272"/>
    <n v="0"/>
    <n v="47670"/>
    <n v="0.38461538461538464"/>
  </r>
  <r>
    <s v="TX00336"/>
    <x v="7"/>
    <s v="S03"/>
    <x v="2"/>
    <x v="1"/>
    <n v="1388"/>
    <n v="28"/>
    <n v="7.0000000000000007E-2"/>
    <n v="36143.519999999997"/>
    <n v="20820"/>
    <n v="38864"/>
    <s v="2023-08"/>
    <x v="2"/>
    <x v="2"/>
    <x v="2"/>
    <n v="2720.4800000000032"/>
    <n v="26.04"/>
    <n v="15"/>
    <n v="20820"/>
    <n v="0"/>
    <n v="15323.519999999997"/>
    <n v="0.42396313364055294"/>
  </r>
  <r>
    <s v="TX00337"/>
    <x v="7"/>
    <s v="S03"/>
    <x v="3"/>
    <x v="1"/>
    <n v="1236"/>
    <n v="35"/>
    <n v="0.08"/>
    <n v="39799.199999999997"/>
    <n v="22248"/>
    <n v="43260"/>
    <s v="2023-08"/>
    <x v="2"/>
    <x v="2"/>
    <x v="2"/>
    <n v="3460.8000000000029"/>
    <n v="32.199999999999996"/>
    <n v="18"/>
    <n v="22248"/>
    <n v="0"/>
    <n v="17551.199999999997"/>
    <n v="0.44099378881987572"/>
  </r>
  <r>
    <s v="TX00338"/>
    <x v="7"/>
    <s v="S03"/>
    <x v="4"/>
    <x v="2"/>
    <n v="2132"/>
    <n v="18"/>
    <n v="7.0000000000000007E-2"/>
    <n v="35689.68"/>
    <n v="19188"/>
    <n v="38376"/>
    <s v="2023-08"/>
    <x v="2"/>
    <x v="2"/>
    <x v="3"/>
    <n v="2686.3199999999997"/>
    <n v="16.739999999999998"/>
    <n v="9"/>
    <n v="19188"/>
    <n v="0"/>
    <n v="16501.68"/>
    <n v="0.46236559139784944"/>
  </r>
  <r>
    <s v="TX00339"/>
    <x v="7"/>
    <s v="S03"/>
    <x v="5"/>
    <x v="2"/>
    <n v="2436"/>
    <n v="30"/>
    <n v="0.05"/>
    <n v="69426"/>
    <n v="34104"/>
    <n v="73080"/>
    <s v="2023-08"/>
    <x v="2"/>
    <x v="2"/>
    <x v="3"/>
    <n v="3654"/>
    <n v="28.5"/>
    <n v="14"/>
    <n v="34104"/>
    <n v="0"/>
    <n v="35322"/>
    <n v="0.50877192982456143"/>
  </r>
  <r>
    <s v="TX00340"/>
    <x v="7"/>
    <s v="S03"/>
    <x v="6"/>
    <x v="3"/>
    <n v="2156"/>
    <n v="40"/>
    <n v="0.05"/>
    <n v="81928"/>
    <n v="43120"/>
    <n v="86240"/>
    <s v="2023-08"/>
    <x v="2"/>
    <x v="2"/>
    <x v="4"/>
    <n v="4312"/>
    <n v="38"/>
    <n v="20"/>
    <n v="43120"/>
    <n v="0"/>
    <n v="38808"/>
    <n v="0.47368421052631576"/>
  </r>
  <r>
    <s v="TX00341"/>
    <x v="7"/>
    <s v="S03"/>
    <x v="7"/>
    <x v="4"/>
    <n v="2048"/>
    <n v="10"/>
    <n v="0.06"/>
    <n v="19251.2"/>
    <n v="8192"/>
    <n v="20480"/>
    <s v="2023-08"/>
    <x v="2"/>
    <x v="2"/>
    <x v="5"/>
    <n v="1228.7999999999993"/>
    <n v="9.4"/>
    <n v="4"/>
    <n v="8192"/>
    <n v="0"/>
    <n v="11059.2"/>
    <n v="0.57446808510638303"/>
  </r>
  <r>
    <s v="TX00342"/>
    <x v="7"/>
    <s v="S03"/>
    <x v="8"/>
    <x v="4"/>
    <n v="1932"/>
    <n v="22"/>
    <n v="0.08"/>
    <n v="39103.68"/>
    <n v="19320"/>
    <n v="42504"/>
    <s v="2023-08"/>
    <x v="2"/>
    <x v="2"/>
    <x v="5"/>
    <n v="3400.3199999999997"/>
    <n v="20.239999999999998"/>
    <n v="10"/>
    <n v="19320"/>
    <n v="0"/>
    <n v="19783.68"/>
    <n v="0.50592885375494068"/>
  </r>
  <r>
    <s v="TX00343"/>
    <x v="7"/>
    <s v="S04"/>
    <x v="0"/>
    <x v="0"/>
    <n v="1304"/>
    <n v="24"/>
    <n v="0.08"/>
    <n v="28792.32"/>
    <n v="15648"/>
    <n v="31296"/>
    <s v="2023-08"/>
    <x v="3"/>
    <x v="3"/>
    <x v="0"/>
    <n v="2503.6800000000003"/>
    <n v="22.08"/>
    <n v="12"/>
    <n v="15648"/>
    <n v="0"/>
    <n v="13144.32"/>
    <n v="0.45652173913043476"/>
  </r>
  <r>
    <s v="TX00344"/>
    <x v="7"/>
    <s v="S04"/>
    <x v="1"/>
    <x v="0"/>
    <n v="2216"/>
    <n v="50"/>
    <n v="0.08"/>
    <n v="101936"/>
    <n v="62048"/>
    <n v="110800"/>
    <s v="2023-08"/>
    <x v="3"/>
    <x v="3"/>
    <x v="1"/>
    <n v="8864"/>
    <n v="46"/>
    <n v="28"/>
    <n v="62048"/>
    <n v="0"/>
    <n v="39888"/>
    <n v="0.39130434782608697"/>
  </r>
  <r>
    <s v="TX00345"/>
    <x v="7"/>
    <s v="S04"/>
    <x v="2"/>
    <x v="1"/>
    <n v="2284"/>
    <n v="28"/>
    <n v="0.06"/>
    <n v="60114.879999999997"/>
    <n v="34260"/>
    <n v="63952"/>
    <s v="2023-08"/>
    <x v="3"/>
    <x v="3"/>
    <x v="2"/>
    <n v="3837.1200000000026"/>
    <n v="26.32"/>
    <n v="15"/>
    <n v="34260"/>
    <n v="0"/>
    <n v="25854.879999999997"/>
    <n v="0.43009118541033431"/>
  </r>
  <r>
    <s v="TX00346"/>
    <x v="7"/>
    <s v="S04"/>
    <x v="3"/>
    <x v="1"/>
    <n v="2728"/>
    <n v="35"/>
    <n v="0.09"/>
    <n v="86886.8"/>
    <n v="49104"/>
    <n v="95480"/>
    <s v="2023-08"/>
    <x v="3"/>
    <x v="3"/>
    <x v="2"/>
    <n v="8593.1999999999971"/>
    <n v="31.85"/>
    <n v="18"/>
    <n v="49104"/>
    <n v="0"/>
    <n v="37782.800000000003"/>
    <n v="0.43485086342229201"/>
  </r>
  <r>
    <s v="TX00347"/>
    <x v="7"/>
    <s v="S04"/>
    <x v="4"/>
    <x v="2"/>
    <n v="2664"/>
    <n v="18"/>
    <n v="0.09"/>
    <n v="43636.32"/>
    <n v="23976"/>
    <n v="47952"/>
    <s v="2023-08"/>
    <x v="3"/>
    <x v="3"/>
    <x v="3"/>
    <n v="4315.68"/>
    <n v="16.38"/>
    <n v="9"/>
    <n v="23976"/>
    <n v="0"/>
    <n v="19660.32"/>
    <n v="0.45054945054945056"/>
  </r>
  <r>
    <s v="TX00348"/>
    <x v="7"/>
    <s v="S04"/>
    <x v="5"/>
    <x v="2"/>
    <n v="1528"/>
    <n v="30"/>
    <n v="0.1"/>
    <n v="41256"/>
    <n v="21392"/>
    <n v="45840"/>
    <s v="2023-08"/>
    <x v="3"/>
    <x v="3"/>
    <x v="3"/>
    <n v="4584"/>
    <n v="27"/>
    <n v="14"/>
    <n v="21392"/>
    <n v="0"/>
    <n v="19864"/>
    <n v="0.48148148148148145"/>
  </r>
  <r>
    <s v="TX00349"/>
    <x v="7"/>
    <s v="S04"/>
    <x v="6"/>
    <x v="3"/>
    <n v="1392"/>
    <n v="40"/>
    <n v="0.06"/>
    <n v="52339.199999999997"/>
    <n v="27840"/>
    <n v="55680"/>
    <s v="2023-08"/>
    <x v="3"/>
    <x v="3"/>
    <x v="4"/>
    <n v="3340.8000000000029"/>
    <n v="37.6"/>
    <n v="20"/>
    <n v="27840"/>
    <n v="0"/>
    <n v="24499.199999999997"/>
    <n v="0.46808510638297868"/>
  </r>
  <r>
    <s v="TX00350"/>
    <x v="7"/>
    <s v="S04"/>
    <x v="7"/>
    <x v="4"/>
    <n v="2784"/>
    <n v="10"/>
    <n v="0.1"/>
    <n v="25056"/>
    <n v="11136"/>
    <n v="27840"/>
    <s v="2023-08"/>
    <x v="3"/>
    <x v="3"/>
    <x v="5"/>
    <n v="2784"/>
    <n v="9"/>
    <n v="4"/>
    <n v="11136"/>
    <n v="0"/>
    <n v="13920"/>
    <n v="0.55555555555555558"/>
  </r>
  <r>
    <s v="TX00351"/>
    <x v="7"/>
    <s v="S04"/>
    <x v="8"/>
    <x v="4"/>
    <n v="2676"/>
    <n v="22"/>
    <n v="0.1"/>
    <n v="52984.800000000003"/>
    <n v="26760"/>
    <n v="58872"/>
    <s v="2023-08"/>
    <x v="3"/>
    <x v="3"/>
    <x v="5"/>
    <n v="5887.1999999999971"/>
    <n v="19.8"/>
    <n v="10"/>
    <n v="26760"/>
    <n v="0"/>
    <n v="26224.800000000003"/>
    <n v="0.49494949494949497"/>
  </r>
  <r>
    <s v="TX00352"/>
    <x v="7"/>
    <s v="S05"/>
    <x v="0"/>
    <x v="0"/>
    <n v="1564"/>
    <n v="24"/>
    <n v="0.08"/>
    <n v="34533.120000000003"/>
    <n v="18768"/>
    <n v="37536"/>
    <s v="2023-08"/>
    <x v="4"/>
    <x v="0"/>
    <x v="0"/>
    <n v="3002.8799999999974"/>
    <n v="22.080000000000002"/>
    <n v="12"/>
    <n v="18768"/>
    <n v="0"/>
    <n v="15765.120000000003"/>
    <n v="0.45652173913043481"/>
  </r>
  <r>
    <s v="TX00353"/>
    <x v="7"/>
    <s v="S05"/>
    <x v="1"/>
    <x v="0"/>
    <n v="2152"/>
    <n v="50"/>
    <n v="7.0000000000000007E-2"/>
    <n v="100068"/>
    <n v="60256"/>
    <n v="107600"/>
    <s v="2023-08"/>
    <x v="4"/>
    <x v="0"/>
    <x v="1"/>
    <n v="7532"/>
    <n v="46.5"/>
    <n v="28"/>
    <n v="60256"/>
    <n v="0"/>
    <n v="39812"/>
    <n v="0.39784946236559138"/>
  </r>
  <r>
    <s v="TX00354"/>
    <x v="7"/>
    <s v="S05"/>
    <x v="2"/>
    <x v="1"/>
    <n v="2284"/>
    <n v="28"/>
    <n v="0.09"/>
    <n v="58196.32"/>
    <n v="34260"/>
    <n v="63952"/>
    <s v="2023-08"/>
    <x v="4"/>
    <x v="0"/>
    <x v="2"/>
    <n v="5755.68"/>
    <n v="25.48"/>
    <n v="15"/>
    <n v="34260"/>
    <n v="0"/>
    <n v="23936.32"/>
    <n v="0.41130298273155413"/>
  </r>
  <r>
    <s v="TX00355"/>
    <x v="7"/>
    <s v="S05"/>
    <x v="3"/>
    <x v="1"/>
    <n v="2364"/>
    <n v="35"/>
    <n v="0.05"/>
    <n v="78603"/>
    <n v="42552"/>
    <n v="82740"/>
    <s v="2023-08"/>
    <x v="4"/>
    <x v="0"/>
    <x v="2"/>
    <n v="4137"/>
    <n v="33.25"/>
    <n v="18"/>
    <n v="42552"/>
    <n v="0"/>
    <n v="36051"/>
    <n v="0.45864661654135336"/>
  </r>
  <r>
    <s v="TX00356"/>
    <x v="7"/>
    <s v="S05"/>
    <x v="4"/>
    <x v="2"/>
    <n v="2776"/>
    <n v="18"/>
    <n v="0.06"/>
    <n v="46969.919999999998"/>
    <n v="24984"/>
    <n v="49968"/>
    <s v="2023-08"/>
    <x v="4"/>
    <x v="0"/>
    <x v="3"/>
    <n v="2998.0800000000017"/>
    <n v="16.919999999999998"/>
    <n v="9"/>
    <n v="24984"/>
    <n v="0"/>
    <n v="21985.919999999998"/>
    <n v="0.46808510638297868"/>
  </r>
  <r>
    <s v="TX00357"/>
    <x v="7"/>
    <s v="S05"/>
    <x v="5"/>
    <x v="2"/>
    <n v="2068"/>
    <n v="30"/>
    <n v="0.06"/>
    <n v="58317.599999999999"/>
    <n v="28952"/>
    <n v="62040"/>
    <s v="2023-08"/>
    <x v="4"/>
    <x v="0"/>
    <x v="3"/>
    <n v="3722.4000000000015"/>
    <n v="28.2"/>
    <n v="14"/>
    <n v="28952"/>
    <n v="0"/>
    <n v="29365.599999999999"/>
    <n v="0.50354609929078009"/>
  </r>
  <r>
    <s v="TX00358"/>
    <x v="7"/>
    <s v="S05"/>
    <x v="6"/>
    <x v="3"/>
    <n v="1448"/>
    <n v="40"/>
    <n v="7.0000000000000007E-2"/>
    <n v="53865.599999999999"/>
    <n v="28960"/>
    <n v="57920"/>
    <s v="2023-08"/>
    <x v="4"/>
    <x v="0"/>
    <x v="4"/>
    <n v="4054.4000000000015"/>
    <n v="37.199999999999996"/>
    <n v="20"/>
    <n v="28960"/>
    <n v="0"/>
    <n v="24905.599999999999"/>
    <n v="0.46236559139784944"/>
  </r>
  <r>
    <s v="TX00359"/>
    <x v="7"/>
    <s v="S05"/>
    <x v="7"/>
    <x v="4"/>
    <n v="1700"/>
    <n v="10"/>
    <n v="0.1"/>
    <n v="15300"/>
    <n v="6800"/>
    <n v="17000"/>
    <s v="2023-08"/>
    <x v="4"/>
    <x v="0"/>
    <x v="5"/>
    <n v="1700"/>
    <n v="9"/>
    <n v="4"/>
    <n v="6800"/>
    <n v="0"/>
    <n v="8500"/>
    <n v="0.55555555555555558"/>
  </r>
  <r>
    <s v="TX00360"/>
    <x v="7"/>
    <s v="S05"/>
    <x v="8"/>
    <x v="4"/>
    <n v="2116"/>
    <n v="22"/>
    <n v="0.08"/>
    <n v="42827.839999999997"/>
    <n v="21160"/>
    <n v="46552"/>
    <s v="2023-08"/>
    <x v="4"/>
    <x v="0"/>
    <x v="5"/>
    <n v="3724.1600000000035"/>
    <n v="20.239999999999998"/>
    <n v="10"/>
    <n v="21160"/>
    <n v="0"/>
    <n v="21667.839999999997"/>
    <n v="0.50592885375494068"/>
  </r>
  <r>
    <s v="TX00361"/>
    <x v="8"/>
    <s v="S01"/>
    <x v="0"/>
    <x v="0"/>
    <n v="2008"/>
    <n v="24"/>
    <n v="7.0000000000000007E-2"/>
    <n v="44818.559999999998"/>
    <n v="24096"/>
    <n v="48192"/>
    <s v="2023-09"/>
    <x v="0"/>
    <x v="0"/>
    <x v="0"/>
    <n v="3373.4400000000023"/>
    <n v="22.32"/>
    <n v="12"/>
    <n v="24096"/>
    <n v="0"/>
    <n v="20722.559999999998"/>
    <n v="0.46236559139784944"/>
  </r>
  <r>
    <s v="TX00362"/>
    <x v="8"/>
    <s v="S01"/>
    <x v="1"/>
    <x v="0"/>
    <n v="2236"/>
    <n v="50"/>
    <n v="0.09"/>
    <n v="101738"/>
    <n v="62608"/>
    <n v="111800"/>
    <s v="2023-09"/>
    <x v="0"/>
    <x v="0"/>
    <x v="1"/>
    <n v="10062"/>
    <n v="45.5"/>
    <n v="28"/>
    <n v="62608"/>
    <n v="0"/>
    <n v="39130"/>
    <n v="0.38461538461538464"/>
  </r>
  <r>
    <s v="TX00363"/>
    <x v="8"/>
    <s v="S01"/>
    <x v="2"/>
    <x v="1"/>
    <n v="2632"/>
    <n v="28"/>
    <n v="7.0000000000000007E-2"/>
    <n v="68537.279999999999"/>
    <n v="39480"/>
    <n v="73696"/>
    <s v="2023-09"/>
    <x v="0"/>
    <x v="0"/>
    <x v="2"/>
    <n v="5158.7200000000012"/>
    <n v="26.04"/>
    <n v="15"/>
    <n v="39480"/>
    <n v="0"/>
    <n v="29057.279999999999"/>
    <n v="0.42396313364055299"/>
  </r>
  <r>
    <s v="TX00364"/>
    <x v="8"/>
    <s v="S01"/>
    <x v="3"/>
    <x v="1"/>
    <n v="2728"/>
    <n v="35"/>
    <n v="0.06"/>
    <n v="89751.2"/>
    <n v="49104"/>
    <n v="95480"/>
    <s v="2023-09"/>
    <x v="0"/>
    <x v="0"/>
    <x v="2"/>
    <n v="5728.8000000000029"/>
    <n v="32.9"/>
    <n v="18"/>
    <n v="49104"/>
    <n v="0"/>
    <n v="40647.199999999997"/>
    <n v="0.45288753799392095"/>
  </r>
  <r>
    <s v="TX00365"/>
    <x v="8"/>
    <s v="S01"/>
    <x v="4"/>
    <x v="2"/>
    <n v="2060"/>
    <n v="18"/>
    <n v="0.06"/>
    <n v="34855.199999999997"/>
    <n v="18540"/>
    <n v="37080"/>
    <s v="2023-09"/>
    <x v="0"/>
    <x v="0"/>
    <x v="3"/>
    <n v="2224.8000000000029"/>
    <n v="16.919999999999998"/>
    <n v="9"/>
    <n v="18540"/>
    <n v="0"/>
    <n v="16315.199999999997"/>
    <n v="0.46808510638297868"/>
  </r>
  <r>
    <s v="TX00366"/>
    <x v="8"/>
    <s v="S01"/>
    <x v="5"/>
    <x v="2"/>
    <n v="2744"/>
    <n v="30"/>
    <n v="0.05"/>
    <n v="78204"/>
    <n v="38416"/>
    <n v="82320"/>
    <s v="2023-09"/>
    <x v="0"/>
    <x v="0"/>
    <x v="3"/>
    <n v="4116"/>
    <n v="28.5"/>
    <n v="14"/>
    <n v="38416"/>
    <n v="0"/>
    <n v="39788"/>
    <n v="0.50877192982456143"/>
  </r>
  <r>
    <s v="TX00367"/>
    <x v="8"/>
    <s v="S01"/>
    <x v="6"/>
    <x v="3"/>
    <n v="2668"/>
    <n v="40"/>
    <n v="0.06"/>
    <n v="100316.8"/>
    <n v="53360"/>
    <n v="106720"/>
    <s v="2023-09"/>
    <x v="0"/>
    <x v="0"/>
    <x v="4"/>
    <n v="6403.1999999999971"/>
    <n v="37.6"/>
    <n v="20"/>
    <n v="53360"/>
    <n v="0"/>
    <n v="46956.800000000003"/>
    <n v="0.46808510638297873"/>
  </r>
  <r>
    <s v="TX00368"/>
    <x v="8"/>
    <s v="S01"/>
    <x v="7"/>
    <x v="4"/>
    <n v="1728"/>
    <n v="10"/>
    <n v="0.08"/>
    <n v="15897.6"/>
    <n v="6912"/>
    <n v="17280"/>
    <s v="2023-09"/>
    <x v="0"/>
    <x v="0"/>
    <x v="5"/>
    <n v="1382.3999999999996"/>
    <n v="9.2000000000000011"/>
    <n v="4"/>
    <n v="6912"/>
    <n v="0"/>
    <n v="8985.6"/>
    <n v="0.56521739130434778"/>
  </r>
  <r>
    <s v="TX00369"/>
    <x v="8"/>
    <s v="S01"/>
    <x v="8"/>
    <x v="4"/>
    <n v="1392"/>
    <n v="22"/>
    <n v="7.0000000000000007E-2"/>
    <n v="28480.32"/>
    <n v="13920"/>
    <n v="30624"/>
    <s v="2023-09"/>
    <x v="0"/>
    <x v="0"/>
    <x v="5"/>
    <n v="2143.6800000000003"/>
    <n v="20.46"/>
    <n v="10"/>
    <n v="13920"/>
    <n v="0"/>
    <n v="14560.32"/>
    <n v="0.51124144672531768"/>
  </r>
  <r>
    <s v="TX00370"/>
    <x v="8"/>
    <s v="S02"/>
    <x v="0"/>
    <x v="0"/>
    <n v="1372"/>
    <n v="24"/>
    <n v="0.06"/>
    <n v="30952.32"/>
    <n v="16464"/>
    <n v="32928"/>
    <s v="2023-09"/>
    <x v="1"/>
    <x v="1"/>
    <x v="0"/>
    <n v="1975.6800000000003"/>
    <n v="22.56"/>
    <n v="12"/>
    <n v="16464"/>
    <n v="0"/>
    <n v="14488.32"/>
    <n v="0.46808510638297873"/>
  </r>
  <r>
    <s v="TX00371"/>
    <x v="8"/>
    <s v="S02"/>
    <x v="1"/>
    <x v="0"/>
    <n v="1908"/>
    <n v="50"/>
    <n v="0.06"/>
    <n v="89676"/>
    <n v="53424"/>
    <n v="95400"/>
    <s v="2023-09"/>
    <x v="1"/>
    <x v="1"/>
    <x v="1"/>
    <n v="5724"/>
    <n v="47"/>
    <n v="28"/>
    <n v="53424"/>
    <n v="0"/>
    <n v="36252"/>
    <n v="0.40425531914893614"/>
  </r>
  <r>
    <s v="TX00372"/>
    <x v="8"/>
    <s v="S02"/>
    <x v="2"/>
    <x v="1"/>
    <n v="1804"/>
    <n v="28"/>
    <n v="0.09"/>
    <n v="45965.919999999998"/>
    <n v="27060"/>
    <n v="50512"/>
    <s v="2023-09"/>
    <x v="1"/>
    <x v="1"/>
    <x v="2"/>
    <n v="4546.0800000000017"/>
    <n v="25.48"/>
    <n v="15"/>
    <n v="27060"/>
    <n v="0"/>
    <n v="18905.919999999998"/>
    <n v="0.41130298273155413"/>
  </r>
  <r>
    <s v="TX00373"/>
    <x v="8"/>
    <s v="S02"/>
    <x v="3"/>
    <x v="1"/>
    <n v="2528"/>
    <n v="35"/>
    <n v="0.08"/>
    <n v="81401.600000000006"/>
    <n v="45504"/>
    <n v="88480"/>
    <s v="2023-09"/>
    <x v="1"/>
    <x v="1"/>
    <x v="2"/>
    <n v="7078.3999999999942"/>
    <n v="32.200000000000003"/>
    <n v="18"/>
    <n v="45504"/>
    <n v="0"/>
    <n v="35897.600000000006"/>
    <n v="0.44099378881987583"/>
  </r>
  <r>
    <s v="TX00374"/>
    <x v="8"/>
    <s v="S02"/>
    <x v="4"/>
    <x v="2"/>
    <n v="1256"/>
    <n v="18"/>
    <n v="0.06"/>
    <n v="21251.52"/>
    <n v="11304"/>
    <n v="22608"/>
    <s v="2023-09"/>
    <x v="1"/>
    <x v="1"/>
    <x v="3"/>
    <n v="1356.4799999999996"/>
    <n v="16.920000000000002"/>
    <n v="9"/>
    <n v="11304"/>
    <n v="0"/>
    <n v="9947.52"/>
    <n v="0.46808510638297873"/>
  </r>
  <r>
    <s v="TX00375"/>
    <x v="8"/>
    <s v="S02"/>
    <x v="5"/>
    <x v="2"/>
    <n v="2796"/>
    <n v="30"/>
    <n v="0.06"/>
    <n v="78847.199999999997"/>
    <n v="39144"/>
    <n v="83880"/>
    <s v="2023-09"/>
    <x v="1"/>
    <x v="1"/>
    <x v="3"/>
    <n v="5032.8000000000029"/>
    <n v="28.2"/>
    <n v="14"/>
    <n v="39144"/>
    <n v="0"/>
    <n v="39703.199999999997"/>
    <n v="0.50354609929078009"/>
  </r>
  <r>
    <s v="TX00376"/>
    <x v="8"/>
    <s v="S02"/>
    <x v="6"/>
    <x v="3"/>
    <n v="1680"/>
    <n v="40"/>
    <n v="0.08"/>
    <n v="61824"/>
    <n v="33600"/>
    <n v="67200"/>
    <s v="2023-09"/>
    <x v="1"/>
    <x v="1"/>
    <x v="4"/>
    <n v="5376"/>
    <n v="36.799999999999997"/>
    <n v="20"/>
    <n v="33600"/>
    <n v="0"/>
    <n v="28224"/>
    <n v="0.45652173913043476"/>
  </r>
  <r>
    <s v="TX00377"/>
    <x v="8"/>
    <s v="S02"/>
    <x v="7"/>
    <x v="4"/>
    <n v="2300"/>
    <n v="10"/>
    <n v="0.09"/>
    <n v="20930"/>
    <n v="9200"/>
    <n v="23000"/>
    <s v="2023-09"/>
    <x v="1"/>
    <x v="1"/>
    <x v="5"/>
    <n v="2070"/>
    <n v="9.1"/>
    <n v="4"/>
    <n v="9200"/>
    <n v="0"/>
    <n v="11730"/>
    <n v="0.56043956043956045"/>
  </r>
  <r>
    <s v="TX00378"/>
    <x v="8"/>
    <s v="S02"/>
    <x v="8"/>
    <x v="4"/>
    <n v="1520"/>
    <n v="22"/>
    <n v="0.05"/>
    <n v="31768"/>
    <n v="15200"/>
    <n v="33440"/>
    <s v="2023-09"/>
    <x v="1"/>
    <x v="1"/>
    <x v="5"/>
    <n v="1672"/>
    <n v="20.9"/>
    <n v="10"/>
    <n v="15200"/>
    <n v="0"/>
    <n v="16568"/>
    <n v="0.52153110047846885"/>
  </r>
  <r>
    <s v="TX00379"/>
    <x v="8"/>
    <s v="S03"/>
    <x v="0"/>
    <x v="0"/>
    <n v="1696"/>
    <n v="24"/>
    <n v="0.05"/>
    <n v="38668.800000000003"/>
    <n v="20352"/>
    <n v="40704"/>
    <s v="2023-09"/>
    <x v="2"/>
    <x v="2"/>
    <x v="0"/>
    <n v="2035.1999999999971"/>
    <n v="22.8"/>
    <n v="12"/>
    <n v="20352"/>
    <n v="0"/>
    <n v="18316.800000000003"/>
    <n v="0.47368421052631582"/>
  </r>
  <r>
    <s v="TX00380"/>
    <x v="8"/>
    <s v="S03"/>
    <x v="1"/>
    <x v="0"/>
    <n v="1716"/>
    <n v="50"/>
    <n v="0.09"/>
    <n v="78078"/>
    <n v="48048"/>
    <n v="85800"/>
    <s v="2023-09"/>
    <x v="2"/>
    <x v="2"/>
    <x v="1"/>
    <n v="7722"/>
    <n v="45.5"/>
    <n v="28"/>
    <n v="48048"/>
    <n v="0"/>
    <n v="30030"/>
    <n v="0.38461538461538464"/>
  </r>
  <r>
    <s v="TX00381"/>
    <x v="8"/>
    <s v="S03"/>
    <x v="2"/>
    <x v="1"/>
    <n v="2172"/>
    <n v="28"/>
    <n v="0.08"/>
    <n v="55950.720000000001"/>
    <n v="32580"/>
    <n v="60816"/>
    <s v="2023-09"/>
    <x v="2"/>
    <x v="2"/>
    <x v="2"/>
    <n v="4865.2799999999988"/>
    <n v="25.76"/>
    <n v="15"/>
    <n v="32580"/>
    <n v="0"/>
    <n v="23370.720000000001"/>
    <n v="0.41770186335403731"/>
  </r>
  <r>
    <s v="TX00382"/>
    <x v="8"/>
    <s v="S03"/>
    <x v="3"/>
    <x v="1"/>
    <n v="2404"/>
    <n v="35"/>
    <n v="0.06"/>
    <n v="79091.600000000006"/>
    <n v="43272"/>
    <n v="84140"/>
    <s v="2023-09"/>
    <x v="2"/>
    <x v="2"/>
    <x v="2"/>
    <n v="5048.3999999999942"/>
    <n v="32.900000000000006"/>
    <n v="18"/>
    <n v="43272"/>
    <n v="0"/>
    <n v="35819.600000000006"/>
    <n v="0.45288753799392101"/>
  </r>
  <r>
    <s v="TX00383"/>
    <x v="8"/>
    <s v="S03"/>
    <x v="4"/>
    <x v="2"/>
    <n v="2188"/>
    <n v="18"/>
    <n v="0.09"/>
    <n v="35839.440000000002"/>
    <n v="19692"/>
    <n v="39384"/>
    <s v="2023-09"/>
    <x v="2"/>
    <x v="2"/>
    <x v="3"/>
    <n v="3544.5599999999977"/>
    <n v="16.380000000000003"/>
    <n v="9"/>
    <n v="19692"/>
    <n v="0"/>
    <n v="16147.440000000002"/>
    <n v="0.45054945054945056"/>
  </r>
  <r>
    <s v="TX00384"/>
    <x v="8"/>
    <s v="S03"/>
    <x v="5"/>
    <x v="2"/>
    <n v="1636"/>
    <n v="30"/>
    <n v="0.06"/>
    <n v="46135.199999999997"/>
    <n v="22904"/>
    <n v="49080"/>
    <s v="2023-09"/>
    <x v="2"/>
    <x v="2"/>
    <x v="3"/>
    <n v="2944.8000000000029"/>
    <n v="28.2"/>
    <n v="14"/>
    <n v="22904"/>
    <n v="0"/>
    <n v="23231.199999999997"/>
    <n v="0.50354609929078009"/>
  </r>
  <r>
    <s v="TX00385"/>
    <x v="8"/>
    <s v="S03"/>
    <x v="6"/>
    <x v="3"/>
    <n v="1364"/>
    <n v="40"/>
    <n v="0.08"/>
    <n v="50195.199999999997"/>
    <n v="27280"/>
    <n v="54560"/>
    <s v="2023-09"/>
    <x v="2"/>
    <x v="2"/>
    <x v="4"/>
    <n v="4364.8000000000029"/>
    <n v="36.799999999999997"/>
    <n v="20"/>
    <n v="27280"/>
    <n v="0"/>
    <n v="22915.199999999997"/>
    <n v="0.45652173913043476"/>
  </r>
  <r>
    <s v="TX00386"/>
    <x v="8"/>
    <s v="S03"/>
    <x v="7"/>
    <x v="4"/>
    <n v="1504"/>
    <n v="10"/>
    <n v="0.1"/>
    <n v="13536"/>
    <n v="6016"/>
    <n v="15040"/>
    <s v="2023-09"/>
    <x v="2"/>
    <x v="2"/>
    <x v="5"/>
    <n v="1504"/>
    <n v="9"/>
    <n v="4"/>
    <n v="6016"/>
    <n v="0"/>
    <n v="7520"/>
    <n v="0.55555555555555558"/>
  </r>
  <r>
    <s v="TX00387"/>
    <x v="8"/>
    <s v="S03"/>
    <x v="8"/>
    <x v="4"/>
    <n v="2532"/>
    <n v="22"/>
    <n v="0.06"/>
    <n v="52361.760000000002"/>
    <n v="25320"/>
    <n v="55704"/>
    <s v="2023-09"/>
    <x v="2"/>
    <x v="2"/>
    <x v="5"/>
    <n v="3342.239999999998"/>
    <n v="20.68"/>
    <n v="10"/>
    <n v="25320"/>
    <n v="0"/>
    <n v="27041.760000000002"/>
    <n v="0.51644100580270791"/>
  </r>
  <r>
    <s v="TX00388"/>
    <x v="8"/>
    <s v="S04"/>
    <x v="0"/>
    <x v="0"/>
    <n v="2220"/>
    <n v="24"/>
    <n v="0.09"/>
    <n v="48484.800000000003"/>
    <n v="26640"/>
    <n v="53280"/>
    <s v="2023-09"/>
    <x v="3"/>
    <x v="3"/>
    <x v="0"/>
    <n v="4795.1999999999971"/>
    <n v="21.84"/>
    <n v="12"/>
    <n v="26640"/>
    <n v="0"/>
    <n v="21844.800000000003"/>
    <n v="0.45054945054945056"/>
  </r>
  <r>
    <s v="TX00389"/>
    <x v="8"/>
    <s v="S04"/>
    <x v="1"/>
    <x v="0"/>
    <n v="1264"/>
    <n v="50"/>
    <n v="0.06"/>
    <n v="59408"/>
    <n v="35392"/>
    <n v="63200"/>
    <s v="2023-09"/>
    <x v="3"/>
    <x v="3"/>
    <x v="1"/>
    <n v="3792"/>
    <n v="47"/>
    <n v="28"/>
    <n v="35392"/>
    <n v="0"/>
    <n v="24016"/>
    <n v="0.40425531914893614"/>
  </r>
  <r>
    <s v="TX00390"/>
    <x v="8"/>
    <s v="S04"/>
    <x v="2"/>
    <x v="1"/>
    <n v="1488"/>
    <n v="28"/>
    <n v="0.06"/>
    <n v="39164.160000000003"/>
    <n v="22320"/>
    <n v="41664"/>
    <s v="2023-09"/>
    <x v="3"/>
    <x v="3"/>
    <x v="2"/>
    <n v="2499.8399999999965"/>
    <n v="26.320000000000004"/>
    <n v="15"/>
    <n v="22320"/>
    <n v="0"/>
    <n v="16844.160000000003"/>
    <n v="0.43009118541033442"/>
  </r>
  <r>
    <s v="TX00391"/>
    <x v="8"/>
    <s v="S04"/>
    <x v="3"/>
    <x v="1"/>
    <n v="1568"/>
    <n v="35"/>
    <n v="0.05"/>
    <n v="52136"/>
    <n v="28224"/>
    <n v="54880"/>
    <s v="2023-09"/>
    <x v="3"/>
    <x v="3"/>
    <x v="2"/>
    <n v="2744"/>
    <n v="33.25"/>
    <n v="18"/>
    <n v="28224"/>
    <n v="0"/>
    <n v="23912"/>
    <n v="0.45864661654135336"/>
  </r>
  <r>
    <s v="TX00392"/>
    <x v="8"/>
    <s v="S04"/>
    <x v="4"/>
    <x v="2"/>
    <n v="1308"/>
    <n v="18"/>
    <n v="0.09"/>
    <n v="21425.040000000001"/>
    <n v="11772"/>
    <n v="23544"/>
    <s v="2023-09"/>
    <x v="3"/>
    <x v="3"/>
    <x v="3"/>
    <n v="2118.9599999999991"/>
    <n v="16.38"/>
    <n v="9"/>
    <n v="11772"/>
    <n v="0"/>
    <n v="9653.0400000000009"/>
    <n v="0.45054945054945056"/>
  </r>
  <r>
    <s v="TX00393"/>
    <x v="8"/>
    <s v="S04"/>
    <x v="5"/>
    <x v="2"/>
    <n v="1296"/>
    <n v="30"/>
    <n v="0.06"/>
    <n v="36547.199999999997"/>
    <n v="18144"/>
    <n v="38880"/>
    <s v="2023-09"/>
    <x v="3"/>
    <x v="3"/>
    <x v="3"/>
    <n v="2332.8000000000029"/>
    <n v="28.2"/>
    <n v="14"/>
    <n v="18144"/>
    <n v="0"/>
    <n v="18403.199999999997"/>
    <n v="0.50354609929078009"/>
  </r>
  <r>
    <s v="TX00394"/>
    <x v="8"/>
    <s v="S04"/>
    <x v="6"/>
    <x v="3"/>
    <n v="2124"/>
    <n v="40"/>
    <n v="0.05"/>
    <n v="80712"/>
    <n v="42480"/>
    <n v="84960"/>
    <s v="2023-09"/>
    <x v="3"/>
    <x v="3"/>
    <x v="4"/>
    <n v="4248"/>
    <n v="38"/>
    <n v="20"/>
    <n v="42480"/>
    <n v="0"/>
    <n v="38232"/>
    <n v="0.47368421052631576"/>
  </r>
  <r>
    <s v="TX00395"/>
    <x v="8"/>
    <s v="S04"/>
    <x v="7"/>
    <x v="4"/>
    <n v="1840"/>
    <n v="10"/>
    <n v="0.06"/>
    <n v="17296"/>
    <n v="7360"/>
    <n v="18400"/>
    <s v="2023-09"/>
    <x v="3"/>
    <x v="3"/>
    <x v="5"/>
    <n v="1104"/>
    <n v="9.4"/>
    <n v="4"/>
    <n v="7360"/>
    <n v="0"/>
    <n v="9936"/>
    <n v="0.57446808510638303"/>
  </r>
  <r>
    <s v="TX00396"/>
    <x v="8"/>
    <s v="S04"/>
    <x v="8"/>
    <x v="4"/>
    <n v="1992"/>
    <n v="22"/>
    <n v="0.06"/>
    <n v="41194.559999999998"/>
    <n v="19920"/>
    <n v="43824"/>
    <s v="2023-09"/>
    <x v="3"/>
    <x v="3"/>
    <x v="5"/>
    <n v="2629.4400000000023"/>
    <n v="20.68"/>
    <n v="10"/>
    <n v="19920"/>
    <n v="0"/>
    <n v="21274.559999999998"/>
    <n v="0.51644100580270791"/>
  </r>
  <r>
    <s v="TX00397"/>
    <x v="8"/>
    <s v="S05"/>
    <x v="0"/>
    <x v="0"/>
    <n v="2688"/>
    <n v="24"/>
    <n v="0.09"/>
    <n v="58705.919999999998"/>
    <n v="32256"/>
    <n v="64512"/>
    <s v="2023-09"/>
    <x v="4"/>
    <x v="0"/>
    <x v="0"/>
    <n v="5806.0800000000017"/>
    <n v="21.84"/>
    <n v="12"/>
    <n v="32256"/>
    <n v="0"/>
    <n v="26449.919999999998"/>
    <n v="0.45054945054945056"/>
  </r>
  <r>
    <s v="TX00398"/>
    <x v="8"/>
    <s v="S05"/>
    <x v="1"/>
    <x v="0"/>
    <n v="2444"/>
    <n v="50"/>
    <n v="0.09"/>
    <n v="111202"/>
    <n v="68432"/>
    <n v="122200"/>
    <s v="2023-09"/>
    <x v="4"/>
    <x v="0"/>
    <x v="1"/>
    <n v="10998"/>
    <n v="45.5"/>
    <n v="28"/>
    <n v="68432"/>
    <n v="0"/>
    <n v="42770"/>
    <n v="0.38461538461538464"/>
  </r>
  <r>
    <s v="TX00399"/>
    <x v="8"/>
    <s v="S05"/>
    <x v="2"/>
    <x v="1"/>
    <n v="2752"/>
    <n v="28"/>
    <n v="0.09"/>
    <n v="70120.960000000006"/>
    <n v="41280"/>
    <n v="77056"/>
    <s v="2023-09"/>
    <x v="4"/>
    <x v="0"/>
    <x v="2"/>
    <n v="6935.0399999999936"/>
    <n v="25.480000000000004"/>
    <n v="15"/>
    <n v="41280"/>
    <n v="0"/>
    <n v="28840.960000000006"/>
    <n v="0.41130298273155419"/>
  </r>
  <r>
    <s v="TX00400"/>
    <x v="8"/>
    <s v="S05"/>
    <x v="3"/>
    <x v="1"/>
    <n v="1296"/>
    <n v="35"/>
    <n v="0.06"/>
    <n v="42638.400000000001"/>
    <n v="23328"/>
    <n v="45360"/>
    <s v="2023-09"/>
    <x v="4"/>
    <x v="0"/>
    <x v="2"/>
    <n v="2721.5999999999985"/>
    <n v="32.9"/>
    <n v="18"/>
    <n v="23328"/>
    <n v="0"/>
    <n v="19310.400000000001"/>
    <n v="0.45288753799392101"/>
  </r>
  <r>
    <s v="TX00401"/>
    <x v="8"/>
    <s v="S05"/>
    <x v="4"/>
    <x v="2"/>
    <n v="1572"/>
    <n v="18"/>
    <n v="0.06"/>
    <n v="26598.240000000002"/>
    <n v="14148"/>
    <n v="28296"/>
    <s v="2023-09"/>
    <x v="4"/>
    <x v="0"/>
    <x v="3"/>
    <n v="1697.7599999999984"/>
    <n v="16.920000000000002"/>
    <n v="9"/>
    <n v="14148"/>
    <n v="0"/>
    <n v="12450.240000000002"/>
    <n v="0.46808510638297873"/>
  </r>
  <r>
    <s v="TX00402"/>
    <x v="8"/>
    <s v="S05"/>
    <x v="5"/>
    <x v="2"/>
    <n v="2600"/>
    <n v="30"/>
    <n v="0.09"/>
    <n v="70980"/>
    <n v="36400"/>
    <n v="78000"/>
    <s v="2023-09"/>
    <x v="4"/>
    <x v="0"/>
    <x v="3"/>
    <n v="7020"/>
    <n v="27.3"/>
    <n v="14"/>
    <n v="36400"/>
    <n v="0"/>
    <n v="34580"/>
    <n v="0.48717948717948717"/>
  </r>
  <r>
    <s v="TX00403"/>
    <x v="8"/>
    <s v="S05"/>
    <x v="6"/>
    <x v="3"/>
    <n v="2448"/>
    <n v="40"/>
    <n v="0.1"/>
    <n v="88128"/>
    <n v="48960"/>
    <n v="97920"/>
    <s v="2023-09"/>
    <x v="4"/>
    <x v="0"/>
    <x v="4"/>
    <n v="9792"/>
    <n v="36"/>
    <n v="20"/>
    <n v="48960"/>
    <n v="0"/>
    <n v="39168"/>
    <n v="0.44444444444444442"/>
  </r>
  <r>
    <s v="TX00404"/>
    <x v="8"/>
    <s v="S05"/>
    <x v="7"/>
    <x v="4"/>
    <n v="1244"/>
    <n v="10"/>
    <n v="0.09"/>
    <n v="11320.4"/>
    <n v="4976"/>
    <n v="12440"/>
    <s v="2023-09"/>
    <x v="4"/>
    <x v="0"/>
    <x v="5"/>
    <n v="1119.6000000000004"/>
    <n v="9.1"/>
    <n v="4"/>
    <n v="4976"/>
    <n v="0"/>
    <n v="6344.4"/>
    <n v="0.56043956043956045"/>
  </r>
  <r>
    <s v="TX00405"/>
    <x v="8"/>
    <s v="S05"/>
    <x v="8"/>
    <x v="4"/>
    <n v="2408"/>
    <n v="22"/>
    <n v="0.06"/>
    <n v="49797.440000000002"/>
    <n v="24080"/>
    <n v="52976"/>
    <s v="2023-09"/>
    <x v="4"/>
    <x v="0"/>
    <x v="5"/>
    <n v="3178.5599999999977"/>
    <n v="20.68"/>
    <n v="10"/>
    <n v="24080"/>
    <n v="0"/>
    <n v="25717.440000000002"/>
    <n v="0.51644100580270791"/>
  </r>
  <r>
    <s v="TX00406"/>
    <x v="9"/>
    <s v="S01"/>
    <x v="0"/>
    <x v="0"/>
    <n v="1372"/>
    <n v="24"/>
    <n v="7.0000000000000007E-2"/>
    <n v="30623.040000000001"/>
    <n v="16464"/>
    <n v="32928"/>
    <s v="2023-10"/>
    <x v="0"/>
    <x v="0"/>
    <x v="0"/>
    <n v="2304.9599999999991"/>
    <n v="22.32"/>
    <n v="12"/>
    <n v="16464"/>
    <n v="0"/>
    <n v="14159.04"/>
    <n v="0.4623655913978495"/>
  </r>
  <r>
    <s v="TX00407"/>
    <x v="9"/>
    <s v="S01"/>
    <x v="1"/>
    <x v="0"/>
    <n v="2768"/>
    <n v="50"/>
    <n v="0.09"/>
    <n v="125944"/>
    <n v="77504"/>
    <n v="138400"/>
    <s v="2023-10"/>
    <x v="0"/>
    <x v="0"/>
    <x v="1"/>
    <n v="12456"/>
    <n v="45.5"/>
    <n v="28"/>
    <n v="77504"/>
    <n v="0"/>
    <n v="48440"/>
    <n v="0.38461538461538464"/>
  </r>
  <r>
    <s v="TX00408"/>
    <x v="9"/>
    <s v="S01"/>
    <x v="2"/>
    <x v="1"/>
    <n v="2024"/>
    <n v="28"/>
    <n v="7.0000000000000007E-2"/>
    <n v="52704.959999999999"/>
    <n v="30360"/>
    <n v="56672"/>
    <s v="2023-10"/>
    <x v="0"/>
    <x v="0"/>
    <x v="2"/>
    <n v="3967.0400000000009"/>
    <n v="26.04"/>
    <n v="15"/>
    <n v="30360"/>
    <n v="0"/>
    <n v="22344.959999999999"/>
    <n v="0.42396313364055299"/>
  </r>
  <r>
    <s v="TX00409"/>
    <x v="9"/>
    <s v="S01"/>
    <x v="3"/>
    <x v="1"/>
    <n v="2196"/>
    <n v="35"/>
    <n v="0.08"/>
    <n v="70711.199999999997"/>
    <n v="39528"/>
    <n v="76860"/>
    <s v="2023-10"/>
    <x v="0"/>
    <x v="0"/>
    <x v="2"/>
    <n v="6148.8000000000029"/>
    <n v="32.199999999999996"/>
    <n v="18"/>
    <n v="39528"/>
    <n v="0"/>
    <n v="31183.199999999997"/>
    <n v="0.44099378881987578"/>
  </r>
  <r>
    <s v="TX00410"/>
    <x v="9"/>
    <s v="S01"/>
    <x v="4"/>
    <x v="2"/>
    <n v="1484"/>
    <n v="18"/>
    <n v="7.0000000000000007E-2"/>
    <n v="24842.16"/>
    <n v="13356"/>
    <n v="26712"/>
    <s v="2023-10"/>
    <x v="0"/>
    <x v="0"/>
    <x v="3"/>
    <n v="1869.8400000000001"/>
    <n v="16.739999999999998"/>
    <n v="9"/>
    <n v="13356"/>
    <n v="0"/>
    <n v="11486.16"/>
    <n v="0.46236559139784944"/>
  </r>
  <r>
    <s v="TX00411"/>
    <x v="9"/>
    <s v="S01"/>
    <x v="5"/>
    <x v="2"/>
    <n v="1528"/>
    <n v="30"/>
    <n v="0.06"/>
    <n v="43089.599999999999"/>
    <n v="21392"/>
    <n v="45840"/>
    <s v="2023-10"/>
    <x v="0"/>
    <x v="0"/>
    <x v="3"/>
    <n v="2750.4000000000015"/>
    <n v="28.2"/>
    <n v="14"/>
    <n v="21392"/>
    <n v="0"/>
    <n v="21697.599999999999"/>
    <n v="0.50354609929078009"/>
  </r>
  <r>
    <s v="TX00412"/>
    <x v="9"/>
    <s v="S01"/>
    <x v="6"/>
    <x v="3"/>
    <n v="2420"/>
    <n v="40"/>
    <n v="0.05"/>
    <n v="91960"/>
    <n v="48400"/>
    <n v="96800"/>
    <s v="2023-10"/>
    <x v="0"/>
    <x v="0"/>
    <x v="4"/>
    <n v="4840"/>
    <n v="38"/>
    <n v="20"/>
    <n v="48400"/>
    <n v="0"/>
    <n v="43560"/>
    <n v="0.47368421052631576"/>
  </r>
  <r>
    <s v="TX00413"/>
    <x v="9"/>
    <s v="S01"/>
    <x v="7"/>
    <x v="4"/>
    <n v="1812"/>
    <n v="10"/>
    <n v="7.0000000000000007E-2"/>
    <n v="16851.599999999999"/>
    <n v="7248"/>
    <n v="18120"/>
    <s v="2023-10"/>
    <x v="0"/>
    <x v="0"/>
    <x v="5"/>
    <n v="1268.4000000000015"/>
    <n v="9.2999999999999989"/>
    <n v="4"/>
    <n v="7248"/>
    <n v="0"/>
    <n v="9603.5999999999985"/>
    <n v="0.56989247311827951"/>
  </r>
  <r>
    <s v="TX00414"/>
    <x v="9"/>
    <s v="S01"/>
    <x v="8"/>
    <x v="4"/>
    <n v="2204"/>
    <n v="22"/>
    <n v="0.09"/>
    <n v="44124.08"/>
    <n v="22040"/>
    <n v="48488"/>
    <s v="2023-10"/>
    <x v="0"/>
    <x v="0"/>
    <x v="5"/>
    <n v="4363.9199999999983"/>
    <n v="20.02"/>
    <n v="10"/>
    <n v="22040"/>
    <n v="0"/>
    <n v="22084.080000000002"/>
    <n v="0.50049950049950054"/>
  </r>
  <r>
    <s v="TX00415"/>
    <x v="9"/>
    <s v="S02"/>
    <x v="0"/>
    <x v="0"/>
    <n v="1328"/>
    <n v="24"/>
    <n v="0.1"/>
    <n v="28684.799999999999"/>
    <n v="15936"/>
    <n v="31872"/>
    <s v="2023-10"/>
    <x v="1"/>
    <x v="1"/>
    <x v="0"/>
    <n v="3187.2000000000007"/>
    <n v="21.599999999999998"/>
    <n v="12"/>
    <n v="15936"/>
    <n v="0"/>
    <n v="12748.8"/>
    <n v="0.44444444444444442"/>
  </r>
  <r>
    <s v="TX00416"/>
    <x v="9"/>
    <s v="S02"/>
    <x v="1"/>
    <x v="0"/>
    <n v="2068"/>
    <n v="50"/>
    <n v="0.08"/>
    <n v="95128"/>
    <n v="57904"/>
    <n v="103400"/>
    <s v="2023-10"/>
    <x v="1"/>
    <x v="1"/>
    <x v="1"/>
    <n v="8272"/>
    <n v="46"/>
    <n v="28"/>
    <n v="57904"/>
    <n v="0"/>
    <n v="37224"/>
    <n v="0.39130434782608697"/>
  </r>
  <r>
    <s v="TX00417"/>
    <x v="9"/>
    <s v="S02"/>
    <x v="2"/>
    <x v="1"/>
    <n v="1224"/>
    <n v="28"/>
    <n v="0.06"/>
    <n v="32215.68"/>
    <n v="18360"/>
    <n v="34272"/>
    <s v="2023-10"/>
    <x v="1"/>
    <x v="1"/>
    <x v="2"/>
    <n v="2056.3199999999997"/>
    <n v="26.32"/>
    <n v="15"/>
    <n v="18360"/>
    <n v="0"/>
    <n v="13855.68"/>
    <n v="0.43009118541033436"/>
  </r>
  <r>
    <s v="TX00418"/>
    <x v="9"/>
    <s v="S02"/>
    <x v="3"/>
    <x v="1"/>
    <n v="1212"/>
    <n v="35"/>
    <n v="0.05"/>
    <n v="40299"/>
    <n v="21816"/>
    <n v="42420"/>
    <s v="2023-10"/>
    <x v="1"/>
    <x v="1"/>
    <x v="2"/>
    <n v="2121"/>
    <n v="33.25"/>
    <n v="18"/>
    <n v="21816"/>
    <n v="0"/>
    <n v="18483"/>
    <n v="0.45864661654135336"/>
  </r>
  <r>
    <s v="TX00419"/>
    <x v="9"/>
    <s v="S02"/>
    <x v="4"/>
    <x v="2"/>
    <n v="2084"/>
    <n v="18"/>
    <n v="0.05"/>
    <n v="35636.400000000001"/>
    <n v="18756"/>
    <n v="37512"/>
    <s v="2023-10"/>
    <x v="1"/>
    <x v="1"/>
    <x v="3"/>
    <n v="1875.5999999999985"/>
    <n v="17.100000000000001"/>
    <n v="9"/>
    <n v="18756"/>
    <n v="0"/>
    <n v="16880.400000000001"/>
    <n v="0.47368421052631582"/>
  </r>
  <r>
    <s v="TX00420"/>
    <x v="9"/>
    <s v="S02"/>
    <x v="5"/>
    <x v="2"/>
    <n v="1516"/>
    <n v="30"/>
    <n v="0.06"/>
    <n v="42751.199999999997"/>
    <n v="21224"/>
    <n v="45480"/>
    <s v="2023-10"/>
    <x v="1"/>
    <x v="1"/>
    <x v="3"/>
    <n v="2728.8000000000029"/>
    <n v="28.2"/>
    <n v="14"/>
    <n v="21224"/>
    <n v="0"/>
    <n v="21527.199999999997"/>
    <n v="0.50354609929078009"/>
  </r>
  <r>
    <s v="TX00421"/>
    <x v="9"/>
    <s v="S02"/>
    <x v="6"/>
    <x v="3"/>
    <n v="1728"/>
    <n v="40"/>
    <n v="0.08"/>
    <n v="63590.400000000001"/>
    <n v="34560"/>
    <n v="69120"/>
    <s v="2023-10"/>
    <x v="1"/>
    <x v="1"/>
    <x v="4"/>
    <n v="5529.5999999999985"/>
    <n v="36.800000000000004"/>
    <n v="20"/>
    <n v="34560"/>
    <n v="0"/>
    <n v="29030.400000000001"/>
    <n v="0.45652173913043481"/>
  </r>
  <r>
    <s v="TX00422"/>
    <x v="9"/>
    <s v="S02"/>
    <x v="7"/>
    <x v="4"/>
    <n v="1724"/>
    <n v="10"/>
    <n v="7.0000000000000007E-2"/>
    <n v="16033.2"/>
    <n v="6896"/>
    <n v="17240"/>
    <s v="2023-10"/>
    <x v="1"/>
    <x v="1"/>
    <x v="5"/>
    <n v="1206.7999999999993"/>
    <n v="9.3000000000000007"/>
    <n v="4"/>
    <n v="6896"/>
    <n v="0"/>
    <n v="9137.2000000000007"/>
    <n v="0.56989247311827962"/>
  </r>
  <r>
    <s v="TX00423"/>
    <x v="9"/>
    <s v="S02"/>
    <x v="8"/>
    <x v="4"/>
    <n v="2716"/>
    <n v="22"/>
    <n v="0.09"/>
    <n v="54374.32"/>
    <n v="27160"/>
    <n v="59752"/>
    <s v="2023-10"/>
    <x v="1"/>
    <x v="1"/>
    <x v="5"/>
    <n v="5377.68"/>
    <n v="20.02"/>
    <n v="10"/>
    <n v="27160"/>
    <n v="0"/>
    <n v="27214.32"/>
    <n v="0.50049950049950054"/>
  </r>
  <r>
    <s v="TX00424"/>
    <x v="9"/>
    <s v="S03"/>
    <x v="0"/>
    <x v="0"/>
    <n v="1592"/>
    <n v="24"/>
    <n v="0.06"/>
    <n v="35915.519999999997"/>
    <n v="19104"/>
    <n v="38208"/>
    <s v="2023-10"/>
    <x v="2"/>
    <x v="2"/>
    <x v="0"/>
    <n v="2292.4800000000032"/>
    <n v="22.56"/>
    <n v="12"/>
    <n v="19104"/>
    <n v="0"/>
    <n v="16811.519999999997"/>
    <n v="0.46808510638297868"/>
  </r>
  <r>
    <s v="TX00425"/>
    <x v="9"/>
    <s v="S03"/>
    <x v="1"/>
    <x v="0"/>
    <n v="1712"/>
    <n v="50"/>
    <n v="0.06"/>
    <n v="80464"/>
    <n v="47936"/>
    <n v="85600"/>
    <s v="2023-10"/>
    <x v="2"/>
    <x v="2"/>
    <x v="1"/>
    <n v="5136"/>
    <n v="47"/>
    <n v="28"/>
    <n v="47936"/>
    <n v="0"/>
    <n v="32528"/>
    <n v="0.40425531914893614"/>
  </r>
  <r>
    <s v="TX00426"/>
    <x v="9"/>
    <s v="S03"/>
    <x v="2"/>
    <x v="1"/>
    <n v="2176"/>
    <n v="28"/>
    <n v="0.09"/>
    <n v="55444.480000000003"/>
    <n v="32640"/>
    <n v="60928"/>
    <s v="2023-10"/>
    <x v="2"/>
    <x v="2"/>
    <x v="2"/>
    <n v="5483.5199999999968"/>
    <n v="25.48"/>
    <n v="15"/>
    <n v="32640"/>
    <n v="0"/>
    <n v="22804.480000000003"/>
    <n v="0.41130298273155419"/>
  </r>
  <r>
    <s v="TX00427"/>
    <x v="9"/>
    <s v="S03"/>
    <x v="3"/>
    <x v="1"/>
    <n v="1736"/>
    <n v="35"/>
    <n v="0.08"/>
    <n v="55899.199999999997"/>
    <n v="31248"/>
    <n v="60760"/>
    <s v="2023-10"/>
    <x v="2"/>
    <x v="2"/>
    <x v="2"/>
    <n v="4860.8000000000029"/>
    <n v="32.199999999999996"/>
    <n v="18"/>
    <n v="31248"/>
    <n v="0"/>
    <n v="24651.199999999997"/>
    <n v="0.44099378881987572"/>
  </r>
  <r>
    <s v="TX00428"/>
    <x v="9"/>
    <s v="S03"/>
    <x v="4"/>
    <x v="2"/>
    <n v="2000"/>
    <n v="18"/>
    <n v="7.0000000000000007E-2"/>
    <n v="33480"/>
    <n v="18000"/>
    <n v="36000"/>
    <s v="2023-10"/>
    <x v="2"/>
    <x v="2"/>
    <x v="3"/>
    <n v="2520"/>
    <n v="16.739999999999998"/>
    <n v="9"/>
    <n v="18000"/>
    <n v="0"/>
    <n v="15480"/>
    <n v="0.46236559139784944"/>
  </r>
  <r>
    <s v="TX00429"/>
    <x v="9"/>
    <s v="S03"/>
    <x v="5"/>
    <x v="2"/>
    <n v="2372"/>
    <n v="30"/>
    <n v="0.09"/>
    <n v="64755.6"/>
    <n v="33208"/>
    <n v="71160"/>
    <s v="2023-10"/>
    <x v="2"/>
    <x v="2"/>
    <x v="3"/>
    <n v="6404.4000000000015"/>
    <n v="27.3"/>
    <n v="14"/>
    <n v="33208"/>
    <n v="0"/>
    <n v="31547.599999999999"/>
    <n v="0.48717948717948717"/>
  </r>
  <r>
    <s v="TX00430"/>
    <x v="9"/>
    <s v="S03"/>
    <x v="6"/>
    <x v="3"/>
    <n v="2732"/>
    <n v="40"/>
    <n v="0.08"/>
    <n v="100537.60000000001"/>
    <n v="54640"/>
    <n v="109280"/>
    <s v="2023-10"/>
    <x v="2"/>
    <x v="2"/>
    <x v="4"/>
    <n v="8742.3999999999942"/>
    <n v="36.800000000000004"/>
    <n v="20"/>
    <n v="54640"/>
    <n v="0"/>
    <n v="45897.600000000006"/>
    <n v="0.45652173913043481"/>
  </r>
  <r>
    <s v="TX00431"/>
    <x v="9"/>
    <s v="S03"/>
    <x v="7"/>
    <x v="4"/>
    <n v="2260"/>
    <n v="10"/>
    <n v="0.09"/>
    <n v="20566"/>
    <n v="9040"/>
    <n v="22600"/>
    <s v="2023-10"/>
    <x v="2"/>
    <x v="2"/>
    <x v="5"/>
    <n v="2034"/>
    <n v="9.1"/>
    <n v="4"/>
    <n v="9040"/>
    <n v="0"/>
    <n v="11526"/>
    <n v="0.56043956043956045"/>
  </r>
  <r>
    <s v="TX00432"/>
    <x v="9"/>
    <s v="S03"/>
    <x v="8"/>
    <x v="4"/>
    <n v="2696"/>
    <n v="22"/>
    <n v="0.06"/>
    <n v="55753.279999999999"/>
    <n v="26960"/>
    <n v="59312"/>
    <s v="2023-10"/>
    <x v="2"/>
    <x v="2"/>
    <x v="5"/>
    <n v="3558.7200000000012"/>
    <n v="20.68"/>
    <n v="10"/>
    <n v="26960"/>
    <n v="0"/>
    <n v="28793.279999999999"/>
    <n v="0.51644100580270791"/>
  </r>
  <r>
    <s v="TX00433"/>
    <x v="9"/>
    <s v="S04"/>
    <x v="0"/>
    <x v="0"/>
    <n v="1968"/>
    <n v="24"/>
    <n v="0.05"/>
    <n v="44870.400000000001"/>
    <n v="23616"/>
    <n v="47232"/>
    <s v="2023-10"/>
    <x v="3"/>
    <x v="3"/>
    <x v="0"/>
    <n v="2361.5999999999985"/>
    <n v="22.8"/>
    <n v="12"/>
    <n v="23616"/>
    <n v="0"/>
    <n v="21254.400000000001"/>
    <n v="0.47368421052631582"/>
  </r>
  <r>
    <s v="TX00434"/>
    <x v="9"/>
    <s v="S04"/>
    <x v="1"/>
    <x v="0"/>
    <n v="1456"/>
    <n v="50"/>
    <n v="0.06"/>
    <n v="68432"/>
    <n v="40768"/>
    <n v="72800"/>
    <s v="2023-10"/>
    <x v="3"/>
    <x v="3"/>
    <x v="1"/>
    <n v="4368"/>
    <n v="47"/>
    <n v="28"/>
    <n v="40768"/>
    <n v="0"/>
    <n v="27664"/>
    <n v="0.40425531914893614"/>
  </r>
  <r>
    <s v="TX00435"/>
    <x v="9"/>
    <s v="S04"/>
    <x v="2"/>
    <x v="1"/>
    <n v="2516"/>
    <n v="28"/>
    <n v="0.08"/>
    <n v="64812.160000000003"/>
    <n v="37740"/>
    <n v="70448"/>
    <s v="2023-10"/>
    <x v="3"/>
    <x v="3"/>
    <x v="2"/>
    <n v="5635.8399999999965"/>
    <n v="25.76"/>
    <n v="15"/>
    <n v="37740"/>
    <n v="0"/>
    <n v="27072.160000000003"/>
    <n v="0.41770186335403731"/>
  </r>
  <r>
    <s v="TX00436"/>
    <x v="9"/>
    <s v="S04"/>
    <x v="3"/>
    <x v="1"/>
    <n v="1272"/>
    <n v="35"/>
    <n v="0.08"/>
    <n v="40958.400000000001"/>
    <n v="22896"/>
    <n v="44520"/>
    <s v="2023-10"/>
    <x v="3"/>
    <x v="3"/>
    <x v="2"/>
    <n v="3561.5999999999985"/>
    <n v="32.200000000000003"/>
    <n v="18"/>
    <n v="22896"/>
    <n v="0"/>
    <n v="18062.400000000001"/>
    <n v="0.44099378881987578"/>
  </r>
  <r>
    <s v="TX00437"/>
    <x v="9"/>
    <s v="S04"/>
    <x v="4"/>
    <x v="2"/>
    <n v="1672"/>
    <n v="18"/>
    <n v="0.09"/>
    <n v="27387.360000000001"/>
    <n v="15048"/>
    <n v="30096"/>
    <s v="2023-10"/>
    <x v="3"/>
    <x v="3"/>
    <x v="3"/>
    <n v="2708.6399999999994"/>
    <n v="16.38"/>
    <n v="9"/>
    <n v="15048"/>
    <n v="0"/>
    <n v="12339.36"/>
    <n v="0.45054945054945056"/>
  </r>
  <r>
    <s v="TX00438"/>
    <x v="9"/>
    <s v="S04"/>
    <x v="5"/>
    <x v="2"/>
    <n v="2056"/>
    <n v="30"/>
    <n v="0.1"/>
    <n v="55512"/>
    <n v="28784"/>
    <n v="61680"/>
    <s v="2023-10"/>
    <x v="3"/>
    <x v="3"/>
    <x v="3"/>
    <n v="6168"/>
    <n v="27"/>
    <n v="14"/>
    <n v="28784"/>
    <n v="0"/>
    <n v="26728"/>
    <n v="0.48148148148148145"/>
  </r>
  <r>
    <s v="TX00439"/>
    <x v="9"/>
    <s v="S04"/>
    <x v="6"/>
    <x v="3"/>
    <n v="2184"/>
    <n v="40"/>
    <n v="0.05"/>
    <n v="82992"/>
    <n v="43680"/>
    <n v="87360"/>
    <s v="2023-10"/>
    <x v="3"/>
    <x v="3"/>
    <x v="4"/>
    <n v="4368"/>
    <n v="38"/>
    <n v="20"/>
    <n v="43680"/>
    <n v="0"/>
    <n v="39312"/>
    <n v="0.47368421052631576"/>
  </r>
  <r>
    <s v="TX00440"/>
    <x v="9"/>
    <s v="S04"/>
    <x v="7"/>
    <x v="4"/>
    <n v="2152"/>
    <n v="10"/>
    <n v="0.05"/>
    <n v="20444"/>
    <n v="8608"/>
    <n v="21520"/>
    <s v="2023-10"/>
    <x v="3"/>
    <x v="3"/>
    <x v="5"/>
    <n v="1076"/>
    <n v="9.5"/>
    <n v="4"/>
    <n v="8608"/>
    <n v="0"/>
    <n v="11836"/>
    <n v="0.57894736842105265"/>
  </r>
  <r>
    <s v="TX00441"/>
    <x v="9"/>
    <s v="S04"/>
    <x v="8"/>
    <x v="4"/>
    <n v="1448"/>
    <n v="22"/>
    <n v="0.08"/>
    <n v="29307.52"/>
    <n v="14480"/>
    <n v="31856"/>
    <s v="2023-10"/>
    <x v="3"/>
    <x v="3"/>
    <x v="5"/>
    <n v="2548.4799999999996"/>
    <n v="20.240000000000002"/>
    <n v="10"/>
    <n v="14480"/>
    <n v="0"/>
    <n v="14827.52"/>
    <n v="0.50592885375494068"/>
  </r>
  <r>
    <s v="TX00442"/>
    <x v="9"/>
    <s v="S05"/>
    <x v="0"/>
    <x v="0"/>
    <n v="1380"/>
    <n v="24"/>
    <n v="0.06"/>
    <n v="31132.799999999999"/>
    <n v="16560"/>
    <n v="33120"/>
    <s v="2023-10"/>
    <x v="4"/>
    <x v="0"/>
    <x v="0"/>
    <n v="1987.2000000000007"/>
    <n v="22.56"/>
    <n v="12"/>
    <n v="16560"/>
    <n v="0"/>
    <n v="14572.8"/>
    <n v="0.46808510638297873"/>
  </r>
  <r>
    <s v="TX00443"/>
    <x v="9"/>
    <s v="S05"/>
    <x v="1"/>
    <x v="0"/>
    <n v="1512"/>
    <n v="50"/>
    <n v="0.05"/>
    <n v="71820"/>
    <n v="42336"/>
    <n v="75600"/>
    <s v="2023-10"/>
    <x v="4"/>
    <x v="0"/>
    <x v="1"/>
    <n v="3780"/>
    <n v="47.5"/>
    <n v="28"/>
    <n v="42336"/>
    <n v="0"/>
    <n v="29484"/>
    <n v="0.41052631578947368"/>
  </r>
  <r>
    <s v="TX00444"/>
    <x v="9"/>
    <s v="S05"/>
    <x v="2"/>
    <x v="1"/>
    <n v="2276"/>
    <n v="28"/>
    <n v="0.08"/>
    <n v="58629.760000000002"/>
    <n v="34140"/>
    <n v="63728"/>
    <s v="2023-10"/>
    <x v="4"/>
    <x v="0"/>
    <x v="2"/>
    <n v="5098.239999999998"/>
    <n v="25.76"/>
    <n v="15"/>
    <n v="34140"/>
    <n v="0"/>
    <n v="24489.760000000002"/>
    <n v="0.41770186335403731"/>
  </r>
  <r>
    <s v="TX00445"/>
    <x v="9"/>
    <s v="S05"/>
    <x v="3"/>
    <x v="1"/>
    <n v="2352"/>
    <n v="35"/>
    <n v="0.05"/>
    <n v="78204"/>
    <n v="42336"/>
    <n v="82320"/>
    <s v="2023-10"/>
    <x v="4"/>
    <x v="0"/>
    <x v="2"/>
    <n v="4116"/>
    <n v="33.25"/>
    <n v="18"/>
    <n v="42336"/>
    <n v="0"/>
    <n v="35868"/>
    <n v="0.45864661654135336"/>
  </r>
  <r>
    <s v="TX00446"/>
    <x v="9"/>
    <s v="S05"/>
    <x v="4"/>
    <x v="2"/>
    <n v="2024"/>
    <n v="18"/>
    <n v="0.09"/>
    <n v="33153.120000000003"/>
    <n v="18216"/>
    <n v="36432"/>
    <s v="2023-10"/>
    <x v="4"/>
    <x v="0"/>
    <x v="3"/>
    <n v="3278.8799999999974"/>
    <n v="16.380000000000003"/>
    <n v="9"/>
    <n v="18216"/>
    <n v="0"/>
    <n v="14937.120000000003"/>
    <n v="0.45054945054945061"/>
  </r>
  <r>
    <s v="TX00447"/>
    <x v="9"/>
    <s v="S05"/>
    <x v="5"/>
    <x v="2"/>
    <n v="1520"/>
    <n v="30"/>
    <n v="0.08"/>
    <n v="41952"/>
    <n v="21280"/>
    <n v="45600"/>
    <s v="2023-10"/>
    <x v="4"/>
    <x v="0"/>
    <x v="3"/>
    <n v="3648"/>
    <n v="27.6"/>
    <n v="14"/>
    <n v="21280"/>
    <n v="0"/>
    <n v="20672"/>
    <n v="0.49275362318840582"/>
  </r>
  <r>
    <s v="TX00448"/>
    <x v="9"/>
    <s v="S05"/>
    <x v="6"/>
    <x v="3"/>
    <n v="1772"/>
    <n v="40"/>
    <n v="0.06"/>
    <n v="66627.199999999997"/>
    <n v="35440"/>
    <n v="70880"/>
    <s v="2023-10"/>
    <x v="4"/>
    <x v="0"/>
    <x v="4"/>
    <n v="4252.8000000000029"/>
    <n v="37.6"/>
    <n v="20"/>
    <n v="35440"/>
    <n v="0"/>
    <n v="31187.199999999997"/>
    <n v="0.46808510638297868"/>
  </r>
  <r>
    <s v="TX00449"/>
    <x v="9"/>
    <s v="S05"/>
    <x v="7"/>
    <x v="4"/>
    <n v="2780"/>
    <n v="10"/>
    <n v="0.06"/>
    <n v="26132"/>
    <n v="11120"/>
    <n v="27800"/>
    <s v="2023-10"/>
    <x v="4"/>
    <x v="0"/>
    <x v="5"/>
    <n v="1668"/>
    <n v="9.4"/>
    <n v="4"/>
    <n v="11120"/>
    <n v="0"/>
    <n v="15012"/>
    <n v="0.57446808510638303"/>
  </r>
  <r>
    <s v="TX00450"/>
    <x v="9"/>
    <s v="S05"/>
    <x v="8"/>
    <x v="4"/>
    <n v="1440"/>
    <n v="22"/>
    <n v="0.05"/>
    <n v="30096"/>
    <n v="14400"/>
    <n v="31680"/>
    <s v="2023-10"/>
    <x v="4"/>
    <x v="0"/>
    <x v="5"/>
    <n v="1584"/>
    <n v="20.9"/>
    <n v="10"/>
    <n v="14400"/>
    <n v="0"/>
    <n v="15696"/>
    <n v="0.52153110047846885"/>
  </r>
  <r>
    <s v="TX00451"/>
    <x v="10"/>
    <s v="S01"/>
    <x v="0"/>
    <x v="0"/>
    <n v="1568"/>
    <n v="24"/>
    <n v="0.05"/>
    <n v="35750.400000000001"/>
    <n v="18816"/>
    <n v="37632"/>
    <s v="2023-11"/>
    <x v="0"/>
    <x v="0"/>
    <x v="0"/>
    <n v="1881.5999999999985"/>
    <n v="22.8"/>
    <n v="12"/>
    <n v="18816"/>
    <n v="0"/>
    <n v="16934.400000000001"/>
    <n v="0.47368421052631582"/>
  </r>
  <r>
    <s v="TX00452"/>
    <x v="10"/>
    <s v="S01"/>
    <x v="1"/>
    <x v="0"/>
    <n v="1536"/>
    <n v="50"/>
    <n v="0.09"/>
    <n v="69888"/>
    <n v="43008"/>
    <n v="76800"/>
    <s v="2023-11"/>
    <x v="0"/>
    <x v="0"/>
    <x v="1"/>
    <n v="6912"/>
    <n v="45.5"/>
    <n v="28"/>
    <n v="43008"/>
    <n v="0"/>
    <n v="26880"/>
    <n v="0.38461538461538464"/>
  </r>
  <r>
    <s v="TX00453"/>
    <x v="10"/>
    <s v="S01"/>
    <x v="2"/>
    <x v="1"/>
    <n v="2372"/>
    <n v="28"/>
    <n v="0.05"/>
    <n v="63095.199999999997"/>
    <n v="35580"/>
    <n v="66416"/>
    <s v="2023-11"/>
    <x v="0"/>
    <x v="0"/>
    <x v="2"/>
    <n v="3320.8000000000029"/>
    <n v="26.599999999999998"/>
    <n v="15"/>
    <n v="35580"/>
    <n v="0"/>
    <n v="27515.199999999997"/>
    <n v="0.43609022556390975"/>
  </r>
  <r>
    <s v="TX00454"/>
    <x v="10"/>
    <s v="S01"/>
    <x v="3"/>
    <x v="1"/>
    <n v="1924"/>
    <n v="35"/>
    <n v="0.08"/>
    <n v="61952.800000000003"/>
    <n v="34632"/>
    <n v="67340"/>
    <s v="2023-11"/>
    <x v="0"/>
    <x v="0"/>
    <x v="2"/>
    <n v="5387.1999999999971"/>
    <n v="32.200000000000003"/>
    <n v="18"/>
    <n v="34632"/>
    <n v="0"/>
    <n v="27320.800000000003"/>
    <n v="0.44099378881987578"/>
  </r>
  <r>
    <s v="TX00455"/>
    <x v="10"/>
    <s v="S01"/>
    <x v="4"/>
    <x v="2"/>
    <n v="2580"/>
    <n v="18"/>
    <n v="0.09"/>
    <n v="42260.4"/>
    <n v="23220"/>
    <n v="46440"/>
    <s v="2023-11"/>
    <x v="0"/>
    <x v="0"/>
    <x v="3"/>
    <n v="4179.5999999999985"/>
    <n v="16.38"/>
    <n v="9"/>
    <n v="23220"/>
    <n v="0"/>
    <n v="19040.400000000001"/>
    <n v="0.45054945054945056"/>
  </r>
  <r>
    <s v="TX00456"/>
    <x v="10"/>
    <s v="S01"/>
    <x v="5"/>
    <x v="2"/>
    <n v="2368"/>
    <n v="30"/>
    <n v="0.08"/>
    <n v="65356.800000000003"/>
    <n v="33152"/>
    <n v="71040"/>
    <s v="2023-11"/>
    <x v="0"/>
    <x v="0"/>
    <x v="3"/>
    <n v="5683.1999999999971"/>
    <n v="27.6"/>
    <n v="14"/>
    <n v="33152"/>
    <n v="0"/>
    <n v="32204.800000000003"/>
    <n v="0.49275362318840582"/>
  </r>
  <r>
    <s v="TX00457"/>
    <x v="10"/>
    <s v="S01"/>
    <x v="6"/>
    <x v="3"/>
    <n v="2128"/>
    <n v="40"/>
    <n v="0.09"/>
    <n v="77459.199999999997"/>
    <n v="42560"/>
    <n v="85120"/>
    <s v="2023-11"/>
    <x v="0"/>
    <x v="0"/>
    <x v="4"/>
    <n v="7660.8000000000029"/>
    <n v="36.4"/>
    <n v="20"/>
    <n v="42560"/>
    <n v="0"/>
    <n v="34899.199999999997"/>
    <n v="0.4505494505494505"/>
  </r>
  <r>
    <s v="TX00458"/>
    <x v="10"/>
    <s v="S01"/>
    <x v="7"/>
    <x v="4"/>
    <n v="2400"/>
    <n v="10"/>
    <n v="0.08"/>
    <n v="22080"/>
    <n v="9600"/>
    <n v="24000"/>
    <s v="2023-11"/>
    <x v="0"/>
    <x v="0"/>
    <x v="5"/>
    <n v="1920"/>
    <n v="9.1999999999999993"/>
    <n v="4"/>
    <n v="9600"/>
    <n v="0"/>
    <n v="12480"/>
    <n v="0.56521739130434778"/>
  </r>
  <r>
    <s v="TX00459"/>
    <x v="10"/>
    <s v="S01"/>
    <x v="8"/>
    <x v="4"/>
    <n v="1892"/>
    <n v="22"/>
    <n v="0.06"/>
    <n v="39126.559999999998"/>
    <n v="18920"/>
    <n v="41624"/>
    <s v="2023-11"/>
    <x v="0"/>
    <x v="0"/>
    <x v="5"/>
    <n v="2497.4400000000023"/>
    <n v="20.68"/>
    <n v="10"/>
    <n v="18920"/>
    <n v="0"/>
    <n v="20206.559999999998"/>
    <n v="0.51644100580270791"/>
  </r>
  <r>
    <s v="TX00460"/>
    <x v="10"/>
    <s v="S02"/>
    <x v="0"/>
    <x v="0"/>
    <n v="2760"/>
    <n v="24"/>
    <n v="0.08"/>
    <n v="60940.800000000003"/>
    <n v="33120"/>
    <n v="66240"/>
    <s v="2023-11"/>
    <x v="1"/>
    <x v="1"/>
    <x v="0"/>
    <n v="5299.1999999999971"/>
    <n v="22.080000000000002"/>
    <n v="12"/>
    <n v="33120"/>
    <n v="0"/>
    <n v="27820.800000000003"/>
    <n v="0.45652173913043481"/>
  </r>
  <r>
    <s v="TX00461"/>
    <x v="10"/>
    <s v="S02"/>
    <x v="1"/>
    <x v="0"/>
    <n v="1240"/>
    <n v="50"/>
    <n v="7.0000000000000007E-2"/>
    <n v="57660"/>
    <n v="34720"/>
    <n v="62000"/>
    <s v="2023-11"/>
    <x v="1"/>
    <x v="1"/>
    <x v="1"/>
    <n v="4340"/>
    <n v="46.5"/>
    <n v="28"/>
    <n v="34720"/>
    <n v="0"/>
    <n v="22940"/>
    <n v="0.39784946236559138"/>
  </r>
  <r>
    <s v="TX00462"/>
    <x v="10"/>
    <s v="S02"/>
    <x v="2"/>
    <x v="1"/>
    <n v="1660"/>
    <n v="28"/>
    <n v="0.08"/>
    <n v="42761.599999999999"/>
    <n v="24900"/>
    <n v="46480"/>
    <s v="2023-11"/>
    <x v="1"/>
    <x v="1"/>
    <x v="2"/>
    <n v="3718.4000000000015"/>
    <n v="25.759999999999998"/>
    <n v="15"/>
    <n v="24900"/>
    <n v="0"/>
    <n v="17861.599999999999"/>
    <n v="0.41770186335403725"/>
  </r>
  <r>
    <s v="TX00463"/>
    <x v="10"/>
    <s v="S02"/>
    <x v="3"/>
    <x v="1"/>
    <n v="1636"/>
    <n v="35"/>
    <n v="0.09"/>
    <n v="52106.6"/>
    <n v="29448"/>
    <n v="57260"/>
    <s v="2023-11"/>
    <x v="1"/>
    <x v="1"/>
    <x v="2"/>
    <n v="5153.4000000000015"/>
    <n v="31.849999999999998"/>
    <n v="18"/>
    <n v="29448"/>
    <n v="0"/>
    <n v="22658.6"/>
    <n v="0.43485086342229196"/>
  </r>
  <r>
    <s v="TX00464"/>
    <x v="10"/>
    <s v="S02"/>
    <x v="4"/>
    <x v="2"/>
    <n v="2264"/>
    <n v="18"/>
    <n v="0.05"/>
    <n v="38714.400000000001"/>
    <n v="20376"/>
    <n v="40752"/>
    <s v="2023-11"/>
    <x v="1"/>
    <x v="1"/>
    <x v="3"/>
    <n v="2037.5999999999985"/>
    <n v="17.100000000000001"/>
    <n v="9"/>
    <n v="20376"/>
    <n v="0"/>
    <n v="18338.400000000001"/>
    <n v="0.47368421052631582"/>
  </r>
  <r>
    <s v="TX00465"/>
    <x v="10"/>
    <s v="S02"/>
    <x v="5"/>
    <x v="2"/>
    <n v="1692"/>
    <n v="30"/>
    <n v="0.06"/>
    <n v="47714.400000000001"/>
    <n v="23688"/>
    <n v="50760"/>
    <s v="2023-11"/>
    <x v="1"/>
    <x v="1"/>
    <x v="3"/>
    <n v="3045.5999999999985"/>
    <n v="28.2"/>
    <n v="14"/>
    <n v="23688"/>
    <n v="0"/>
    <n v="24026.400000000001"/>
    <n v="0.5035460992907802"/>
  </r>
  <r>
    <s v="TX00466"/>
    <x v="10"/>
    <s v="S02"/>
    <x v="6"/>
    <x v="3"/>
    <n v="1992"/>
    <n v="40"/>
    <n v="0.06"/>
    <n v="74899.199999999997"/>
    <n v="39840"/>
    <n v="79680"/>
    <s v="2023-11"/>
    <x v="1"/>
    <x v="1"/>
    <x v="4"/>
    <n v="4780.8000000000029"/>
    <n v="37.6"/>
    <n v="20"/>
    <n v="39840"/>
    <n v="0"/>
    <n v="35059.199999999997"/>
    <n v="0.46808510638297868"/>
  </r>
  <r>
    <s v="TX00467"/>
    <x v="10"/>
    <s v="S02"/>
    <x v="7"/>
    <x v="4"/>
    <n v="2180"/>
    <n v="10"/>
    <n v="0.05"/>
    <n v="20710"/>
    <n v="8720"/>
    <n v="21800"/>
    <s v="2023-11"/>
    <x v="1"/>
    <x v="1"/>
    <x v="5"/>
    <n v="1090"/>
    <n v="9.5"/>
    <n v="4"/>
    <n v="8720"/>
    <n v="0"/>
    <n v="11990"/>
    <n v="0.57894736842105265"/>
  </r>
  <r>
    <s v="TX00468"/>
    <x v="10"/>
    <s v="S02"/>
    <x v="8"/>
    <x v="4"/>
    <n v="2084"/>
    <n v="22"/>
    <n v="7.0000000000000007E-2"/>
    <n v="42638.64"/>
    <n v="20840"/>
    <n v="45848"/>
    <s v="2023-11"/>
    <x v="1"/>
    <x v="1"/>
    <x v="5"/>
    <n v="3209.3600000000006"/>
    <n v="20.46"/>
    <n v="10"/>
    <n v="20840"/>
    <n v="0"/>
    <n v="21798.639999999999"/>
    <n v="0.51124144672531768"/>
  </r>
  <r>
    <s v="TX00469"/>
    <x v="10"/>
    <s v="S03"/>
    <x v="0"/>
    <x v="0"/>
    <n v="2112"/>
    <n v="24"/>
    <n v="0.08"/>
    <n v="46632.959999999999"/>
    <n v="25344"/>
    <n v="50688"/>
    <s v="2023-11"/>
    <x v="2"/>
    <x v="2"/>
    <x v="0"/>
    <n v="4055.0400000000009"/>
    <n v="22.08"/>
    <n v="12"/>
    <n v="25344"/>
    <n v="0"/>
    <n v="21288.959999999999"/>
    <n v="0.45652173913043476"/>
  </r>
  <r>
    <s v="TX00470"/>
    <x v="10"/>
    <s v="S03"/>
    <x v="1"/>
    <x v="0"/>
    <n v="1384"/>
    <n v="50"/>
    <n v="0.06"/>
    <n v="65048"/>
    <n v="38752"/>
    <n v="69200"/>
    <s v="2023-11"/>
    <x v="2"/>
    <x v="2"/>
    <x v="1"/>
    <n v="4152"/>
    <n v="47"/>
    <n v="28"/>
    <n v="38752"/>
    <n v="0"/>
    <n v="26296"/>
    <n v="0.40425531914893614"/>
  </r>
  <r>
    <s v="TX00471"/>
    <x v="10"/>
    <s v="S03"/>
    <x v="2"/>
    <x v="1"/>
    <n v="1472"/>
    <n v="28"/>
    <n v="7.0000000000000007E-2"/>
    <n v="38330.879999999997"/>
    <n v="22080"/>
    <n v="41216"/>
    <s v="2023-11"/>
    <x v="2"/>
    <x v="2"/>
    <x v="2"/>
    <n v="2885.1200000000026"/>
    <n v="26.04"/>
    <n v="15"/>
    <n v="22080"/>
    <n v="0"/>
    <n v="16250.879999999997"/>
    <n v="0.42396313364055294"/>
  </r>
  <r>
    <s v="TX00472"/>
    <x v="10"/>
    <s v="S03"/>
    <x v="3"/>
    <x v="1"/>
    <n v="2656"/>
    <n v="35"/>
    <n v="7.0000000000000007E-2"/>
    <n v="86452.800000000003"/>
    <n v="47808"/>
    <n v="92960"/>
    <s v="2023-11"/>
    <x v="2"/>
    <x v="2"/>
    <x v="2"/>
    <n v="6507.1999999999971"/>
    <n v="32.550000000000004"/>
    <n v="18"/>
    <n v="47808"/>
    <n v="0"/>
    <n v="38644.800000000003"/>
    <n v="0.44700460829493088"/>
  </r>
  <r>
    <s v="TX00473"/>
    <x v="10"/>
    <s v="S03"/>
    <x v="4"/>
    <x v="2"/>
    <n v="2072"/>
    <n v="18"/>
    <n v="0.06"/>
    <n v="35058.239999999998"/>
    <n v="18648"/>
    <n v="37296"/>
    <s v="2023-11"/>
    <x v="2"/>
    <x v="2"/>
    <x v="3"/>
    <n v="2237.760000000002"/>
    <n v="16.919999999999998"/>
    <n v="9"/>
    <n v="18648"/>
    <n v="0"/>
    <n v="16410.239999999998"/>
    <n v="0.46808510638297868"/>
  </r>
  <r>
    <s v="TX00474"/>
    <x v="10"/>
    <s v="S03"/>
    <x v="5"/>
    <x v="2"/>
    <n v="1564"/>
    <n v="30"/>
    <n v="7.0000000000000007E-2"/>
    <n v="43635.6"/>
    <n v="21896"/>
    <n v="46920"/>
    <s v="2023-11"/>
    <x v="2"/>
    <x v="2"/>
    <x v="3"/>
    <n v="3284.4000000000015"/>
    <n v="27.9"/>
    <n v="14"/>
    <n v="21896"/>
    <n v="0"/>
    <n v="21739.599999999999"/>
    <n v="0.49820788530465948"/>
  </r>
  <r>
    <s v="TX00475"/>
    <x v="10"/>
    <s v="S03"/>
    <x v="6"/>
    <x v="3"/>
    <n v="1920"/>
    <n v="40"/>
    <n v="0.08"/>
    <n v="70656"/>
    <n v="38400"/>
    <n v="76800"/>
    <s v="2023-11"/>
    <x v="2"/>
    <x v="2"/>
    <x v="4"/>
    <n v="6144"/>
    <n v="36.799999999999997"/>
    <n v="20"/>
    <n v="38400"/>
    <n v="0"/>
    <n v="32256"/>
    <n v="0.45652173913043476"/>
  </r>
  <r>
    <s v="TX00476"/>
    <x v="10"/>
    <s v="S03"/>
    <x v="7"/>
    <x v="4"/>
    <n v="2676"/>
    <n v="10"/>
    <n v="0.08"/>
    <n v="24619.200000000001"/>
    <n v="10704"/>
    <n v="26760"/>
    <s v="2023-11"/>
    <x v="2"/>
    <x v="2"/>
    <x v="5"/>
    <n v="2140.7999999999993"/>
    <n v="9.2000000000000011"/>
    <n v="4"/>
    <n v="10704"/>
    <n v="0"/>
    <n v="13915.2"/>
    <n v="0.56521739130434789"/>
  </r>
  <r>
    <s v="TX00477"/>
    <x v="10"/>
    <s v="S03"/>
    <x v="8"/>
    <x v="4"/>
    <n v="1928"/>
    <n v="22"/>
    <n v="0.06"/>
    <n v="39871.040000000001"/>
    <n v="19280"/>
    <n v="42416"/>
    <s v="2023-11"/>
    <x v="2"/>
    <x v="2"/>
    <x v="5"/>
    <n v="2544.9599999999991"/>
    <n v="20.68"/>
    <n v="10"/>
    <n v="19280"/>
    <n v="0"/>
    <n v="20591.04"/>
    <n v="0.51644100580270791"/>
  </r>
  <r>
    <s v="TX00478"/>
    <x v="10"/>
    <s v="S04"/>
    <x v="0"/>
    <x v="0"/>
    <n v="2484"/>
    <n v="24"/>
    <n v="0.05"/>
    <n v="56635.199999999997"/>
    <n v="29808"/>
    <n v="59616"/>
    <s v="2023-11"/>
    <x v="3"/>
    <x v="3"/>
    <x v="0"/>
    <n v="2980.8000000000029"/>
    <n v="22.799999999999997"/>
    <n v="12"/>
    <n v="29808"/>
    <n v="0"/>
    <n v="26827.199999999997"/>
    <n v="0.47368421052631576"/>
  </r>
  <r>
    <s v="TX00479"/>
    <x v="10"/>
    <s v="S04"/>
    <x v="1"/>
    <x v="0"/>
    <n v="2120"/>
    <n v="50"/>
    <n v="0.06"/>
    <n v="99640"/>
    <n v="59360"/>
    <n v="106000"/>
    <s v="2023-11"/>
    <x v="3"/>
    <x v="3"/>
    <x v="1"/>
    <n v="6360"/>
    <n v="47"/>
    <n v="28"/>
    <n v="59360"/>
    <n v="0"/>
    <n v="40280"/>
    <n v="0.40425531914893614"/>
  </r>
  <r>
    <s v="TX00480"/>
    <x v="10"/>
    <s v="S04"/>
    <x v="2"/>
    <x v="1"/>
    <n v="2192"/>
    <n v="28"/>
    <n v="0.05"/>
    <n v="58307.199999999997"/>
    <n v="32880"/>
    <n v="61376"/>
    <s v="2023-11"/>
    <x v="3"/>
    <x v="3"/>
    <x v="2"/>
    <n v="3068.8000000000029"/>
    <n v="26.599999999999998"/>
    <n v="15"/>
    <n v="32880"/>
    <n v="0"/>
    <n v="25427.199999999997"/>
    <n v="0.43609022556390975"/>
  </r>
  <r>
    <s v="TX00481"/>
    <x v="10"/>
    <s v="S04"/>
    <x v="3"/>
    <x v="1"/>
    <n v="1788"/>
    <n v="35"/>
    <n v="0.09"/>
    <n v="56947.8"/>
    <n v="32184"/>
    <n v="62580"/>
    <s v="2023-11"/>
    <x v="3"/>
    <x v="3"/>
    <x v="2"/>
    <n v="5632.1999999999971"/>
    <n v="31.85"/>
    <n v="18"/>
    <n v="32184"/>
    <n v="0"/>
    <n v="24763.800000000003"/>
    <n v="0.43485086342229201"/>
  </r>
  <r>
    <s v="TX00482"/>
    <x v="10"/>
    <s v="S04"/>
    <x v="4"/>
    <x v="2"/>
    <n v="1444"/>
    <n v="18"/>
    <n v="7.0000000000000007E-2"/>
    <n v="24172.560000000001"/>
    <n v="12996"/>
    <n v="25992"/>
    <s v="2023-11"/>
    <x v="3"/>
    <x v="3"/>
    <x v="3"/>
    <n v="1819.4399999999987"/>
    <n v="16.740000000000002"/>
    <n v="9"/>
    <n v="12996"/>
    <n v="0"/>
    <n v="11176.560000000001"/>
    <n v="0.4623655913978495"/>
  </r>
  <r>
    <s v="TX00483"/>
    <x v="10"/>
    <s v="S04"/>
    <x v="5"/>
    <x v="2"/>
    <n v="1844"/>
    <n v="30"/>
    <n v="0.09"/>
    <n v="50341.2"/>
    <n v="25816"/>
    <n v="55320"/>
    <s v="2023-11"/>
    <x v="3"/>
    <x v="3"/>
    <x v="3"/>
    <n v="4978.8000000000029"/>
    <n v="27.299999999999997"/>
    <n v="14"/>
    <n v="25816"/>
    <n v="0"/>
    <n v="24525.199999999997"/>
    <n v="0.48717948717948717"/>
  </r>
  <r>
    <s v="TX00484"/>
    <x v="10"/>
    <s v="S04"/>
    <x v="6"/>
    <x v="3"/>
    <n v="1372"/>
    <n v="40"/>
    <n v="0.06"/>
    <n v="51587.199999999997"/>
    <n v="27440"/>
    <n v="54880"/>
    <s v="2023-11"/>
    <x v="3"/>
    <x v="3"/>
    <x v="4"/>
    <n v="3292.8000000000029"/>
    <n v="37.6"/>
    <n v="20"/>
    <n v="27440"/>
    <n v="0"/>
    <n v="24147.199999999997"/>
    <n v="0.46808510638297868"/>
  </r>
  <r>
    <s v="TX00485"/>
    <x v="10"/>
    <s v="S04"/>
    <x v="7"/>
    <x v="4"/>
    <n v="1820"/>
    <n v="10"/>
    <n v="0.08"/>
    <n v="16744"/>
    <n v="7280"/>
    <n v="18200"/>
    <s v="2023-11"/>
    <x v="3"/>
    <x v="3"/>
    <x v="5"/>
    <n v="1456"/>
    <n v="9.1999999999999993"/>
    <n v="4"/>
    <n v="7280"/>
    <n v="0"/>
    <n v="9464"/>
    <n v="0.56521739130434778"/>
  </r>
  <r>
    <s v="TX00486"/>
    <x v="10"/>
    <s v="S04"/>
    <x v="8"/>
    <x v="4"/>
    <n v="2656"/>
    <n v="22"/>
    <n v="0.08"/>
    <n v="53757.440000000002"/>
    <n v="26560"/>
    <n v="58432"/>
    <s v="2023-11"/>
    <x v="3"/>
    <x v="3"/>
    <x v="5"/>
    <n v="4674.5599999999977"/>
    <n v="20.240000000000002"/>
    <n v="10"/>
    <n v="26560"/>
    <n v="0"/>
    <n v="27197.440000000002"/>
    <n v="0.50592885375494079"/>
  </r>
  <r>
    <s v="TX00487"/>
    <x v="10"/>
    <s v="S05"/>
    <x v="0"/>
    <x v="0"/>
    <n v="1484"/>
    <n v="24"/>
    <n v="7.0000000000000007E-2"/>
    <n v="33122.879999999997"/>
    <n v="17808"/>
    <n v="35616"/>
    <s v="2023-11"/>
    <x v="4"/>
    <x v="0"/>
    <x v="0"/>
    <n v="2493.1200000000026"/>
    <n v="22.319999999999997"/>
    <n v="12"/>
    <n v="17808"/>
    <n v="0"/>
    <n v="15314.879999999997"/>
    <n v="0.46236559139784944"/>
  </r>
  <r>
    <s v="TX00488"/>
    <x v="10"/>
    <s v="S05"/>
    <x v="1"/>
    <x v="0"/>
    <n v="1580"/>
    <n v="50"/>
    <n v="0.09"/>
    <n v="71890"/>
    <n v="44240"/>
    <n v="79000"/>
    <s v="2023-11"/>
    <x v="4"/>
    <x v="0"/>
    <x v="1"/>
    <n v="7110"/>
    <n v="45.5"/>
    <n v="28"/>
    <n v="44240"/>
    <n v="0"/>
    <n v="27650"/>
    <n v="0.38461538461538464"/>
  </r>
  <r>
    <s v="TX00489"/>
    <x v="10"/>
    <s v="S05"/>
    <x v="2"/>
    <x v="1"/>
    <n v="1580"/>
    <n v="28"/>
    <n v="0.05"/>
    <n v="42028"/>
    <n v="23700"/>
    <n v="44240"/>
    <s v="2023-11"/>
    <x v="4"/>
    <x v="0"/>
    <x v="2"/>
    <n v="2212"/>
    <n v="26.6"/>
    <n v="15"/>
    <n v="23700"/>
    <n v="0"/>
    <n v="18328"/>
    <n v="0.43609022556390975"/>
  </r>
  <r>
    <s v="TX00490"/>
    <x v="10"/>
    <s v="S05"/>
    <x v="3"/>
    <x v="1"/>
    <n v="1860"/>
    <n v="35"/>
    <n v="0.08"/>
    <n v="59892"/>
    <n v="33480"/>
    <n v="65100"/>
    <s v="2023-11"/>
    <x v="4"/>
    <x v="0"/>
    <x v="2"/>
    <n v="5208"/>
    <n v="32.200000000000003"/>
    <n v="18"/>
    <n v="33480"/>
    <n v="0"/>
    <n v="26412"/>
    <n v="0.44099378881987578"/>
  </r>
  <r>
    <s v="TX00491"/>
    <x v="10"/>
    <s v="S05"/>
    <x v="4"/>
    <x v="2"/>
    <n v="2396"/>
    <n v="18"/>
    <n v="7.0000000000000007E-2"/>
    <n v="40109.040000000001"/>
    <n v="21564"/>
    <n v="43128"/>
    <s v="2023-11"/>
    <x v="4"/>
    <x v="0"/>
    <x v="3"/>
    <n v="3018.9599999999991"/>
    <n v="16.740000000000002"/>
    <n v="9"/>
    <n v="21564"/>
    <n v="0"/>
    <n v="18545.04"/>
    <n v="0.4623655913978495"/>
  </r>
  <r>
    <s v="TX00492"/>
    <x v="10"/>
    <s v="S05"/>
    <x v="5"/>
    <x v="2"/>
    <n v="2744"/>
    <n v="30"/>
    <n v="0.1"/>
    <n v="74088"/>
    <n v="38416"/>
    <n v="82320"/>
    <s v="2023-11"/>
    <x v="4"/>
    <x v="0"/>
    <x v="3"/>
    <n v="8232"/>
    <n v="27"/>
    <n v="14"/>
    <n v="38416"/>
    <n v="0"/>
    <n v="35672"/>
    <n v="0.48148148148148145"/>
  </r>
  <r>
    <s v="TX00493"/>
    <x v="10"/>
    <s v="S05"/>
    <x v="6"/>
    <x v="3"/>
    <n v="1976"/>
    <n v="40"/>
    <n v="0.06"/>
    <n v="74297.600000000006"/>
    <n v="39520"/>
    <n v="79040"/>
    <s v="2023-11"/>
    <x v="4"/>
    <x v="0"/>
    <x v="4"/>
    <n v="4742.3999999999942"/>
    <n v="37.6"/>
    <n v="20"/>
    <n v="39520"/>
    <n v="0"/>
    <n v="34777.600000000006"/>
    <n v="0.46808510638297879"/>
  </r>
  <r>
    <s v="TX00494"/>
    <x v="10"/>
    <s v="S05"/>
    <x v="7"/>
    <x v="4"/>
    <n v="1212"/>
    <n v="10"/>
    <n v="7.0000000000000007E-2"/>
    <n v="11271.6"/>
    <n v="4848"/>
    <n v="12120"/>
    <s v="2023-11"/>
    <x v="4"/>
    <x v="0"/>
    <x v="5"/>
    <n v="848.39999999999964"/>
    <n v="9.3000000000000007"/>
    <n v="4"/>
    <n v="4848"/>
    <n v="0"/>
    <n v="6423.6"/>
    <n v="0.56989247311827962"/>
  </r>
  <r>
    <s v="TX00495"/>
    <x v="10"/>
    <s v="S05"/>
    <x v="8"/>
    <x v="4"/>
    <n v="1904"/>
    <n v="22"/>
    <n v="0.06"/>
    <n v="39374.720000000001"/>
    <n v="19040"/>
    <n v="41888"/>
    <s v="2023-11"/>
    <x v="4"/>
    <x v="0"/>
    <x v="5"/>
    <n v="2513.2799999999988"/>
    <n v="20.68"/>
    <n v="10"/>
    <n v="19040"/>
    <n v="0"/>
    <n v="20334.72"/>
    <n v="0.51644100580270791"/>
  </r>
  <r>
    <s v="TX00496"/>
    <x v="11"/>
    <s v="S01"/>
    <x v="0"/>
    <x v="0"/>
    <n v="1944"/>
    <n v="24"/>
    <n v="0.06"/>
    <n v="43856.639999999999"/>
    <n v="23328"/>
    <n v="46656"/>
    <s v="2023-12"/>
    <x v="0"/>
    <x v="0"/>
    <x v="0"/>
    <n v="2799.3600000000006"/>
    <n v="22.56"/>
    <n v="12"/>
    <n v="23328"/>
    <n v="0"/>
    <n v="20528.64"/>
    <n v="0.46808510638297873"/>
  </r>
  <r>
    <s v="TX00497"/>
    <x v="11"/>
    <s v="S01"/>
    <x v="1"/>
    <x v="0"/>
    <n v="1752"/>
    <n v="50"/>
    <n v="0.08"/>
    <n v="80592"/>
    <n v="49056"/>
    <n v="87600"/>
    <s v="2023-12"/>
    <x v="0"/>
    <x v="0"/>
    <x v="1"/>
    <n v="7008"/>
    <n v="46"/>
    <n v="28"/>
    <n v="49056"/>
    <n v="0"/>
    <n v="31536"/>
    <n v="0.39130434782608697"/>
  </r>
  <r>
    <s v="TX00498"/>
    <x v="11"/>
    <s v="S01"/>
    <x v="2"/>
    <x v="1"/>
    <n v="2512"/>
    <n v="28"/>
    <n v="0.06"/>
    <n v="66115.839999999997"/>
    <n v="37680"/>
    <n v="70336"/>
    <s v="2023-12"/>
    <x v="0"/>
    <x v="0"/>
    <x v="2"/>
    <n v="4220.1600000000035"/>
    <n v="26.32"/>
    <n v="15"/>
    <n v="37680"/>
    <n v="0"/>
    <n v="28435.839999999997"/>
    <n v="0.43009118541033431"/>
  </r>
  <r>
    <s v="TX00499"/>
    <x v="11"/>
    <s v="S01"/>
    <x v="3"/>
    <x v="1"/>
    <n v="2452"/>
    <n v="35"/>
    <n v="0.1"/>
    <n v="77238"/>
    <n v="44136"/>
    <n v="85820"/>
    <s v="2023-12"/>
    <x v="0"/>
    <x v="0"/>
    <x v="2"/>
    <n v="8582"/>
    <n v="31.5"/>
    <n v="18"/>
    <n v="44136"/>
    <n v="0"/>
    <n v="33102"/>
    <n v="0.42857142857142855"/>
  </r>
  <r>
    <s v="TX00500"/>
    <x v="11"/>
    <s v="S01"/>
    <x v="4"/>
    <x v="2"/>
    <n v="1576"/>
    <n v="18"/>
    <n v="0.05"/>
    <n v="26949.599999999999"/>
    <n v="14184"/>
    <n v="28368"/>
    <s v="2023-12"/>
    <x v="0"/>
    <x v="0"/>
    <x v="3"/>
    <n v="1418.4000000000015"/>
    <n v="17.099999999999998"/>
    <n v="9"/>
    <n v="14184"/>
    <n v="0"/>
    <n v="12765.599999999999"/>
    <n v="0.47368421052631576"/>
  </r>
  <r>
    <s v="TX00501"/>
    <x v="11"/>
    <s v="S01"/>
    <x v="5"/>
    <x v="2"/>
    <n v="1716"/>
    <n v="30"/>
    <n v="0.1"/>
    <n v="46332"/>
    <n v="24024"/>
    <n v="51480"/>
    <s v="2023-12"/>
    <x v="0"/>
    <x v="0"/>
    <x v="3"/>
    <n v="5148"/>
    <n v="27"/>
    <n v="14"/>
    <n v="24024"/>
    <n v="0"/>
    <n v="22308"/>
    <n v="0.48148148148148145"/>
  </r>
  <r>
    <s v="TX00502"/>
    <x v="11"/>
    <s v="S01"/>
    <x v="6"/>
    <x v="3"/>
    <n v="1300"/>
    <n v="40"/>
    <n v="0.06"/>
    <n v="48880"/>
    <n v="26000"/>
    <n v="52000"/>
    <s v="2023-12"/>
    <x v="0"/>
    <x v="0"/>
    <x v="4"/>
    <n v="3120"/>
    <n v="37.6"/>
    <n v="20"/>
    <n v="26000"/>
    <n v="0"/>
    <n v="22880"/>
    <n v="0.46808510638297873"/>
  </r>
  <r>
    <s v="TX00503"/>
    <x v="11"/>
    <s v="S01"/>
    <x v="7"/>
    <x v="4"/>
    <n v="1408"/>
    <n v="10"/>
    <n v="0.06"/>
    <n v="13235.2"/>
    <n v="5632"/>
    <n v="14080"/>
    <s v="2023-12"/>
    <x v="0"/>
    <x v="0"/>
    <x v="5"/>
    <n v="844.79999999999927"/>
    <n v="9.4"/>
    <n v="4"/>
    <n v="5632"/>
    <n v="0"/>
    <n v="7603.2000000000007"/>
    <n v="0.57446808510638303"/>
  </r>
  <r>
    <s v="TX00504"/>
    <x v="11"/>
    <s v="S01"/>
    <x v="8"/>
    <x v="4"/>
    <n v="2016"/>
    <n v="22"/>
    <n v="7.0000000000000007E-2"/>
    <n v="41247.360000000001"/>
    <n v="20160"/>
    <n v="44352"/>
    <s v="2023-12"/>
    <x v="0"/>
    <x v="0"/>
    <x v="5"/>
    <n v="3104.6399999999994"/>
    <n v="20.46"/>
    <n v="10"/>
    <n v="20160"/>
    <n v="0"/>
    <n v="21087.360000000001"/>
    <n v="0.51124144672531768"/>
  </r>
  <r>
    <s v="TX00505"/>
    <x v="11"/>
    <s v="S02"/>
    <x v="0"/>
    <x v="0"/>
    <n v="2672"/>
    <n v="24"/>
    <n v="7.0000000000000007E-2"/>
    <n v="59639.040000000001"/>
    <n v="32064"/>
    <n v="64128"/>
    <s v="2023-12"/>
    <x v="1"/>
    <x v="1"/>
    <x v="0"/>
    <n v="4488.9599999999991"/>
    <n v="22.32"/>
    <n v="12"/>
    <n v="32064"/>
    <n v="0"/>
    <n v="27575.040000000001"/>
    <n v="0.4623655913978495"/>
  </r>
  <r>
    <s v="TX00506"/>
    <x v="11"/>
    <s v="S02"/>
    <x v="1"/>
    <x v="0"/>
    <n v="1780"/>
    <n v="50"/>
    <n v="0.06"/>
    <n v="83660"/>
    <n v="49840"/>
    <n v="89000"/>
    <s v="2023-12"/>
    <x v="1"/>
    <x v="1"/>
    <x v="1"/>
    <n v="5340"/>
    <n v="47"/>
    <n v="28"/>
    <n v="49840"/>
    <n v="0"/>
    <n v="33820"/>
    <n v="0.40425531914893614"/>
  </r>
  <r>
    <s v="TX00507"/>
    <x v="11"/>
    <s v="S02"/>
    <x v="2"/>
    <x v="1"/>
    <n v="2676"/>
    <n v="28"/>
    <n v="0.05"/>
    <n v="71181.600000000006"/>
    <n v="40140"/>
    <n v="74928"/>
    <s v="2023-12"/>
    <x v="1"/>
    <x v="1"/>
    <x v="2"/>
    <n v="3746.3999999999942"/>
    <n v="26.6"/>
    <n v="15"/>
    <n v="40140"/>
    <n v="0"/>
    <n v="31041.600000000006"/>
    <n v="0.43609022556390981"/>
  </r>
  <r>
    <s v="TX00508"/>
    <x v="11"/>
    <s v="S02"/>
    <x v="3"/>
    <x v="1"/>
    <n v="2764"/>
    <n v="35"/>
    <n v="0.06"/>
    <n v="90935.6"/>
    <n v="49752"/>
    <n v="96740"/>
    <s v="2023-12"/>
    <x v="1"/>
    <x v="1"/>
    <x v="2"/>
    <n v="5804.3999999999942"/>
    <n v="32.9"/>
    <n v="18"/>
    <n v="49752"/>
    <n v="0"/>
    <n v="41183.600000000006"/>
    <n v="0.45288753799392101"/>
  </r>
  <r>
    <s v="TX00509"/>
    <x v="11"/>
    <s v="S02"/>
    <x v="4"/>
    <x v="2"/>
    <n v="2080"/>
    <n v="18"/>
    <n v="0.09"/>
    <n v="34070.400000000001"/>
    <n v="18720"/>
    <n v="37440"/>
    <s v="2023-12"/>
    <x v="1"/>
    <x v="1"/>
    <x v="3"/>
    <n v="3369.5999999999985"/>
    <n v="16.38"/>
    <n v="9"/>
    <n v="18720"/>
    <n v="0"/>
    <n v="15350.400000000001"/>
    <n v="0.45054945054945056"/>
  </r>
  <r>
    <s v="TX00510"/>
    <x v="11"/>
    <s v="S02"/>
    <x v="5"/>
    <x v="2"/>
    <n v="2672"/>
    <n v="30"/>
    <n v="0.08"/>
    <n v="73747.199999999997"/>
    <n v="37408"/>
    <n v="80160"/>
    <s v="2023-12"/>
    <x v="1"/>
    <x v="1"/>
    <x v="3"/>
    <n v="6412.8000000000029"/>
    <n v="27.599999999999998"/>
    <n v="14"/>
    <n v="37408"/>
    <n v="0"/>
    <n v="36339.199999999997"/>
    <n v="0.49275362318840576"/>
  </r>
  <r>
    <s v="TX00511"/>
    <x v="11"/>
    <s v="S02"/>
    <x v="6"/>
    <x v="3"/>
    <n v="2520"/>
    <n v="40"/>
    <n v="0.06"/>
    <n v="94752"/>
    <n v="50400"/>
    <n v="100800"/>
    <s v="2023-12"/>
    <x v="1"/>
    <x v="1"/>
    <x v="4"/>
    <n v="6048"/>
    <n v="37.6"/>
    <n v="20"/>
    <n v="50400"/>
    <n v="0"/>
    <n v="44352"/>
    <n v="0.46808510638297873"/>
  </r>
  <r>
    <s v="TX00512"/>
    <x v="11"/>
    <s v="S02"/>
    <x v="7"/>
    <x v="4"/>
    <n v="1492"/>
    <n v="10"/>
    <n v="0.09"/>
    <n v="13577.2"/>
    <n v="5968"/>
    <n v="14920"/>
    <s v="2023-12"/>
    <x v="1"/>
    <x v="1"/>
    <x v="5"/>
    <n v="1342.7999999999993"/>
    <n v="9.1"/>
    <n v="4"/>
    <n v="5968"/>
    <n v="0"/>
    <n v="7609.2000000000007"/>
    <n v="0.56043956043956045"/>
  </r>
  <r>
    <s v="TX00513"/>
    <x v="11"/>
    <s v="S02"/>
    <x v="8"/>
    <x v="4"/>
    <n v="1204"/>
    <n v="22"/>
    <n v="0.08"/>
    <n v="24368.959999999999"/>
    <n v="12040"/>
    <n v="26488"/>
    <s v="2023-12"/>
    <x v="1"/>
    <x v="1"/>
    <x v="5"/>
    <n v="2119.0400000000009"/>
    <n v="20.239999999999998"/>
    <n v="10"/>
    <n v="12040"/>
    <n v="0"/>
    <n v="12328.96"/>
    <n v="0.50592885375494068"/>
  </r>
  <r>
    <s v="TX00514"/>
    <x v="11"/>
    <s v="S03"/>
    <x v="0"/>
    <x v="0"/>
    <n v="1656"/>
    <n v="24"/>
    <n v="0.1"/>
    <n v="35769.599999999999"/>
    <n v="19872"/>
    <n v="39744"/>
    <s v="2023-12"/>
    <x v="2"/>
    <x v="2"/>
    <x v="0"/>
    <n v="3974.4000000000015"/>
    <n v="21.599999999999998"/>
    <n v="12"/>
    <n v="19872"/>
    <n v="0"/>
    <n v="15897.599999999999"/>
    <n v="0.44444444444444442"/>
  </r>
  <r>
    <s v="TX00515"/>
    <x v="11"/>
    <s v="S03"/>
    <x v="1"/>
    <x v="0"/>
    <n v="2528"/>
    <n v="50"/>
    <n v="0.1"/>
    <n v="113760"/>
    <n v="70784"/>
    <n v="126400"/>
    <s v="2023-12"/>
    <x v="2"/>
    <x v="2"/>
    <x v="1"/>
    <n v="12640"/>
    <n v="45"/>
    <n v="28"/>
    <n v="70784"/>
    <n v="0"/>
    <n v="42976"/>
    <n v="0.37777777777777777"/>
  </r>
  <r>
    <s v="TX00516"/>
    <x v="11"/>
    <s v="S03"/>
    <x v="2"/>
    <x v="1"/>
    <n v="2756"/>
    <n v="28"/>
    <n v="7.0000000000000007E-2"/>
    <n v="71766.240000000005"/>
    <n v="41340"/>
    <n v="77168"/>
    <s v="2023-12"/>
    <x v="2"/>
    <x v="2"/>
    <x v="2"/>
    <n v="5401.7599999999948"/>
    <n v="26.040000000000003"/>
    <n v="15"/>
    <n v="41340"/>
    <n v="0"/>
    <n v="30426.240000000005"/>
    <n v="0.42396313364055305"/>
  </r>
  <r>
    <s v="TX00517"/>
    <x v="11"/>
    <s v="S03"/>
    <x v="3"/>
    <x v="1"/>
    <n v="2408"/>
    <n v="35"/>
    <n v="0.06"/>
    <n v="79223.199999999997"/>
    <n v="43344"/>
    <n v="84280"/>
    <s v="2023-12"/>
    <x v="2"/>
    <x v="2"/>
    <x v="2"/>
    <n v="5056.8000000000029"/>
    <n v="32.9"/>
    <n v="18"/>
    <n v="43344"/>
    <n v="0"/>
    <n v="35879.199999999997"/>
    <n v="0.45288753799392095"/>
  </r>
  <r>
    <s v="TX00518"/>
    <x v="11"/>
    <s v="S03"/>
    <x v="4"/>
    <x v="2"/>
    <n v="1404"/>
    <n v="18"/>
    <n v="0.06"/>
    <n v="23755.68"/>
    <n v="12636"/>
    <n v="25272"/>
    <s v="2023-12"/>
    <x v="2"/>
    <x v="2"/>
    <x v="3"/>
    <n v="1516.3199999999997"/>
    <n v="16.920000000000002"/>
    <n v="9"/>
    <n v="12636"/>
    <n v="0"/>
    <n v="11119.68"/>
    <n v="0.46808510638297873"/>
  </r>
  <r>
    <s v="TX00519"/>
    <x v="11"/>
    <s v="S03"/>
    <x v="5"/>
    <x v="2"/>
    <n v="2120"/>
    <n v="30"/>
    <n v="0.09"/>
    <n v="57876"/>
    <n v="29680"/>
    <n v="63600"/>
    <s v="2023-12"/>
    <x v="2"/>
    <x v="2"/>
    <x v="3"/>
    <n v="5724"/>
    <n v="27.3"/>
    <n v="14"/>
    <n v="29680"/>
    <n v="0"/>
    <n v="28196"/>
    <n v="0.48717948717948717"/>
  </r>
  <r>
    <s v="TX00520"/>
    <x v="11"/>
    <s v="S03"/>
    <x v="6"/>
    <x v="3"/>
    <n v="2412"/>
    <n v="40"/>
    <n v="0.09"/>
    <n v="87796.800000000003"/>
    <n v="48240"/>
    <n v="96480"/>
    <s v="2023-12"/>
    <x v="2"/>
    <x v="2"/>
    <x v="4"/>
    <n v="8683.1999999999971"/>
    <n v="36.4"/>
    <n v="20"/>
    <n v="48240"/>
    <n v="0"/>
    <n v="39556.800000000003"/>
    <n v="0.45054945054945056"/>
  </r>
  <r>
    <s v="TX00521"/>
    <x v="11"/>
    <s v="S03"/>
    <x v="7"/>
    <x v="4"/>
    <n v="1208"/>
    <n v="10"/>
    <n v="7.0000000000000007E-2"/>
    <n v="11234.4"/>
    <n v="4832"/>
    <n v="12080"/>
    <s v="2023-12"/>
    <x v="2"/>
    <x v="2"/>
    <x v="5"/>
    <n v="845.60000000000036"/>
    <n v="9.2999999999999989"/>
    <n v="4"/>
    <n v="4832"/>
    <n v="0"/>
    <n v="6402.4"/>
    <n v="0.56989247311827951"/>
  </r>
  <r>
    <s v="TX00522"/>
    <x v="11"/>
    <s v="S03"/>
    <x v="8"/>
    <x v="4"/>
    <n v="1684"/>
    <n v="22"/>
    <n v="0.09"/>
    <n v="33713.68"/>
    <n v="16840"/>
    <n v="37048"/>
    <s v="2023-12"/>
    <x v="2"/>
    <x v="2"/>
    <x v="5"/>
    <n v="3334.3199999999997"/>
    <n v="20.02"/>
    <n v="10"/>
    <n v="16840"/>
    <n v="0"/>
    <n v="16873.68"/>
    <n v="0.50049950049950054"/>
  </r>
  <r>
    <s v="TX00523"/>
    <x v="11"/>
    <s v="S04"/>
    <x v="0"/>
    <x v="0"/>
    <n v="2200"/>
    <n v="24"/>
    <n v="0.08"/>
    <n v="48576"/>
    <n v="26400"/>
    <n v="52800"/>
    <s v="2023-12"/>
    <x v="3"/>
    <x v="3"/>
    <x v="0"/>
    <n v="4224"/>
    <n v="22.08"/>
    <n v="12"/>
    <n v="26400"/>
    <n v="0"/>
    <n v="22176"/>
    <n v="0.45652173913043476"/>
  </r>
  <r>
    <s v="TX00524"/>
    <x v="11"/>
    <s v="S04"/>
    <x v="1"/>
    <x v="0"/>
    <n v="2596"/>
    <n v="50"/>
    <n v="7.0000000000000007E-2"/>
    <n v="120714"/>
    <n v="72688"/>
    <n v="129800"/>
    <s v="2023-12"/>
    <x v="3"/>
    <x v="3"/>
    <x v="1"/>
    <n v="9086"/>
    <n v="46.5"/>
    <n v="28"/>
    <n v="72688"/>
    <n v="0"/>
    <n v="48026"/>
    <n v="0.39784946236559138"/>
  </r>
  <r>
    <s v="TX00525"/>
    <x v="11"/>
    <s v="S04"/>
    <x v="2"/>
    <x v="1"/>
    <n v="2072"/>
    <n v="28"/>
    <n v="7.0000000000000007E-2"/>
    <n v="53954.879999999997"/>
    <n v="31080"/>
    <n v="58016"/>
    <s v="2023-12"/>
    <x v="3"/>
    <x v="3"/>
    <x v="2"/>
    <n v="4061.1200000000026"/>
    <n v="26.04"/>
    <n v="15"/>
    <n v="31080"/>
    <n v="0"/>
    <n v="22874.879999999997"/>
    <n v="0.42396313364055299"/>
  </r>
  <r>
    <s v="TX00526"/>
    <x v="11"/>
    <s v="S04"/>
    <x v="3"/>
    <x v="1"/>
    <n v="1260"/>
    <n v="35"/>
    <n v="0.06"/>
    <n v="41454"/>
    <n v="22680"/>
    <n v="44100"/>
    <s v="2023-12"/>
    <x v="3"/>
    <x v="3"/>
    <x v="2"/>
    <n v="2646"/>
    <n v="32.9"/>
    <n v="18"/>
    <n v="22680"/>
    <n v="0"/>
    <n v="18774"/>
    <n v="0.45288753799392095"/>
  </r>
  <r>
    <s v="TX00527"/>
    <x v="11"/>
    <s v="S04"/>
    <x v="4"/>
    <x v="2"/>
    <n v="2392"/>
    <n v="18"/>
    <n v="0.06"/>
    <n v="40472.639999999999"/>
    <n v="21528"/>
    <n v="43056"/>
    <s v="2023-12"/>
    <x v="3"/>
    <x v="3"/>
    <x v="3"/>
    <n v="2583.3600000000006"/>
    <n v="16.919999999999998"/>
    <n v="9"/>
    <n v="21528"/>
    <n v="0"/>
    <n v="18944.64"/>
    <n v="0.46808510638297873"/>
  </r>
  <r>
    <s v="TX00528"/>
    <x v="11"/>
    <s v="S04"/>
    <x v="5"/>
    <x v="2"/>
    <n v="2016"/>
    <n v="30"/>
    <n v="0.09"/>
    <n v="55036.800000000003"/>
    <n v="28224"/>
    <n v="60480"/>
    <s v="2023-12"/>
    <x v="3"/>
    <x v="3"/>
    <x v="3"/>
    <n v="5443.1999999999971"/>
    <n v="27.3"/>
    <n v="14"/>
    <n v="28224"/>
    <n v="0"/>
    <n v="26812.800000000003"/>
    <n v="0.48717948717948723"/>
  </r>
  <r>
    <s v="TX00529"/>
    <x v="11"/>
    <s v="S04"/>
    <x v="6"/>
    <x v="3"/>
    <n v="2144"/>
    <n v="40"/>
    <n v="0.1"/>
    <n v="77184"/>
    <n v="42880"/>
    <n v="85760"/>
    <s v="2023-12"/>
    <x v="3"/>
    <x v="3"/>
    <x v="4"/>
    <n v="8576"/>
    <n v="36"/>
    <n v="20"/>
    <n v="42880"/>
    <n v="0"/>
    <n v="34304"/>
    <n v="0.44444444444444442"/>
  </r>
  <r>
    <s v="TX00530"/>
    <x v="11"/>
    <s v="S04"/>
    <x v="7"/>
    <x v="4"/>
    <n v="2772"/>
    <n v="10"/>
    <n v="0.09"/>
    <n v="25225.200000000001"/>
    <n v="11088"/>
    <n v="27720"/>
    <s v="2023-12"/>
    <x v="3"/>
    <x v="3"/>
    <x v="5"/>
    <n v="2494.7999999999993"/>
    <n v="9.1"/>
    <n v="4"/>
    <n v="11088"/>
    <n v="0"/>
    <n v="14137.2"/>
    <n v="0.56043956043956045"/>
  </r>
  <r>
    <s v="TX00531"/>
    <x v="11"/>
    <s v="S04"/>
    <x v="8"/>
    <x v="4"/>
    <n v="1912"/>
    <n v="22"/>
    <n v="0.08"/>
    <n v="38698.879999999997"/>
    <n v="19120"/>
    <n v="42064"/>
    <s v="2023-12"/>
    <x v="3"/>
    <x v="3"/>
    <x v="5"/>
    <n v="3365.1200000000026"/>
    <n v="20.239999999999998"/>
    <n v="10"/>
    <n v="19120"/>
    <n v="0"/>
    <n v="19578.879999999997"/>
    <n v="0.50592885375494068"/>
  </r>
  <r>
    <s v="TX00532"/>
    <x v="11"/>
    <s v="S05"/>
    <x v="0"/>
    <x v="0"/>
    <n v="1312"/>
    <n v="24"/>
    <n v="0.09"/>
    <n v="28654.080000000002"/>
    <n v="15744"/>
    <n v="31488"/>
    <s v="2023-12"/>
    <x v="4"/>
    <x v="0"/>
    <x v="0"/>
    <n v="2833.9199999999983"/>
    <n v="21.84"/>
    <n v="12"/>
    <n v="15744"/>
    <n v="0"/>
    <n v="12910.080000000002"/>
    <n v="0.45054945054945056"/>
  </r>
  <r>
    <s v="TX00533"/>
    <x v="11"/>
    <s v="S05"/>
    <x v="1"/>
    <x v="0"/>
    <n v="2364"/>
    <n v="50"/>
    <n v="0.08"/>
    <n v="108744"/>
    <n v="66192"/>
    <n v="118200"/>
    <s v="2023-12"/>
    <x v="4"/>
    <x v="0"/>
    <x v="1"/>
    <n v="9456"/>
    <n v="46"/>
    <n v="28"/>
    <n v="66192"/>
    <n v="0"/>
    <n v="42552"/>
    <n v="0.39130434782608697"/>
  </r>
  <r>
    <s v="TX00534"/>
    <x v="11"/>
    <s v="S05"/>
    <x v="2"/>
    <x v="1"/>
    <n v="1400"/>
    <n v="28"/>
    <n v="0.06"/>
    <n v="36848"/>
    <n v="21000"/>
    <n v="39200"/>
    <s v="2023-12"/>
    <x v="4"/>
    <x v="0"/>
    <x v="2"/>
    <n v="2352"/>
    <n v="26.32"/>
    <n v="15"/>
    <n v="21000"/>
    <n v="0"/>
    <n v="15848"/>
    <n v="0.43009118541033436"/>
  </r>
  <r>
    <s v="TX00535"/>
    <x v="11"/>
    <s v="S05"/>
    <x v="3"/>
    <x v="1"/>
    <n v="2380"/>
    <n v="35"/>
    <n v="7.0000000000000007E-2"/>
    <n v="77469"/>
    <n v="42840"/>
    <n v="83300"/>
    <s v="2023-12"/>
    <x v="4"/>
    <x v="0"/>
    <x v="2"/>
    <n v="5831"/>
    <n v="32.549999999999997"/>
    <n v="18"/>
    <n v="42840"/>
    <n v="0"/>
    <n v="34629"/>
    <n v="0.44700460829493088"/>
  </r>
  <r>
    <s v="TX00536"/>
    <x v="11"/>
    <s v="S05"/>
    <x v="4"/>
    <x v="2"/>
    <n v="1628"/>
    <n v="18"/>
    <n v="0.09"/>
    <n v="26666.639999999999"/>
    <n v="14652"/>
    <n v="29304"/>
    <s v="2023-12"/>
    <x v="4"/>
    <x v="0"/>
    <x v="3"/>
    <n v="2637.3600000000006"/>
    <n v="16.38"/>
    <n v="9"/>
    <n v="14652"/>
    <n v="0"/>
    <n v="12014.64"/>
    <n v="0.45054945054945056"/>
  </r>
  <r>
    <s v="TX00537"/>
    <x v="11"/>
    <s v="S05"/>
    <x v="5"/>
    <x v="2"/>
    <n v="2044"/>
    <n v="30"/>
    <n v="0.08"/>
    <n v="56414.400000000001"/>
    <n v="28616"/>
    <n v="61320"/>
    <s v="2023-12"/>
    <x v="4"/>
    <x v="0"/>
    <x v="3"/>
    <n v="4905.5999999999985"/>
    <n v="27.6"/>
    <n v="14"/>
    <n v="28616"/>
    <n v="0"/>
    <n v="27798.400000000001"/>
    <n v="0.49275362318840582"/>
  </r>
  <r>
    <s v="TX00538"/>
    <x v="11"/>
    <s v="S05"/>
    <x v="6"/>
    <x v="3"/>
    <n v="2672"/>
    <n v="40"/>
    <n v="0.1"/>
    <n v="96192"/>
    <n v="53440"/>
    <n v="106880"/>
    <s v="2023-12"/>
    <x v="4"/>
    <x v="0"/>
    <x v="4"/>
    <n v="10688"/>
    <n v="36"/>
    <n v="20"/>
    <n v="53440"/>
    <n v="0"/>
    <n v="42752"/>
    <n v="0.44444444444444442"/>
  </r>
  <r>
    <s v="TX00539"/>
    <x v="11"/>
    <s v="S05"/>
    <x v="7"/>
    <x v="4"/>
    <n v="1532"/>
    <n v="10"/>
    <n v="7.0000000000000007E-2"/>
    <n v="14247.6"/>
    <n v="6128"/>
    <n v="15320"/>
    <s v="2023-12"/>
    <x v="4"/>
    <x v="0"/>
    <x v="5"/>
    <n v="1072.3999999999996"/>
    <n v="9.3000000000000007"/>
    <n v="4"/>
    <n v="6128"/>
    <n v="0"/>
    <n v="8119.6"/>
    <n v="0.56989247311827962"/>
  </r>
  <r>
    <s v="TX00540"/>
    <x v="11"/>
    <s v="S05"/>
    <x v="8"/>
    <x v="4"/>
    <n v="1920"/>
    <n v="22"/>
    <n v="0.05"/>
    <n v="40128"/>
    <n v="19200"/>
    <n v="42240"/>
    <s v="2023-12"/>
    <x v="4"/>
    <x v="0"/>
    <x v="5"/>
    <n v="2112"/>
    <n v="20.9"/>
    <n v="10"/>
    <n v="19200"/>
    <n v="0"/>
    <n v="20928"/>
    <n v="0.52153110047846885"/>
  </r>
  <r>
    <s v="TX00541"/>
    <x v="12"/>
    <s v="S01"/>
    <x v="0"/>
    <x v="0"/>
    <n v="2376"/>
    <n v="24"/>
    <n v="0.16"/>
    <n v="47900.160000000003"/>
    <n v="30792.959999999999"/>
    <n v="57024"/>
    <s v="2024-01"/>
    <x v="0"/>
    <x v="0"/>
    <x v="0"/>
    <n v="9123.8399999999965"/>
    <n v="20.16"/>
    <n v="12"/>
    <n v="28512"/>
    <n v="2280.9599999999991"/>
    <n v="17107.200000000004"/>
    <n v="0.35714285714285721"/>
  </r>
  <r>
    <s v="TX00542"/>
    <x v="12"/>
    <s v="S01"/>
    <x v="1"/>
    <x v="0"/>
    <n v="3040"/>
    <n v="50"/>
    <n v="0.16"/>
    <n v="127680"/>
    <n v="91929.600000000006"/>
    <n v="152000"/>
    <s v="2024-01"/>
    <x v="0"/>
    <x v="0"/>
    <x v="1"/>
    <n v="24320"/>
    <n v="42"/>
    <n v="28"/>
    <n v="85120"/>
    <n v="6809.6000000000058"/>
    <n v="35750.399999999994"/>
    <n v="0.27999999999999997"/>
  </r>
  <r>
    <s v="TX00543"/>
    <x v="12"/>
    <s v="S01"/>
    <x v="2"/>
    <x v="1"/>
    <n v="1425"/>
    <n v="28"/>
    <n v="0.17"/>
    <n v="33117"/>
    <n v="23085"/>
    <n v="39900"/>
    <s v="2024-01"/>
    <x v="0"/>
    <x v="0"/>
    <x v="2"/>
    <n v="6783"/>
    <n v="23.24"/>
    <n v="15"/>
    <n v="21375"/>
    <n v="1710"/>
    <n v="10032"/>
    <n v="0.30292598967297762"/>
  </r>
  <r>
    <s v="TX00544"/>
    <x v="12"/>
    <s v="S01"/>
    <x v="3"/>
    <x v="1"/>
    <n v="1588"/>
    <n v="35"/>
    <n v="0.13"/>
    <n v="48354.6"/>
    <n v="30870.720000000001"/>
    <n v="55580"/>
    <s v="2024-01"/>
    <x v="0"/>
    <x v="0"/>
    <x v="2"/>
    <n v="7225.4000000000015"/>
    <n v="30.45"/>
    <n v="18"/>
    <n v="28584"/>
    <n v="2286.7200000000012"/>
    <n v="17483.879999999997"/>
    <n v="0.36157635467980292"/>
  </r>
  <r>
    <s v="TX00545"/>
    <x v="12"/>
    <s v="S01"/>
    <x v="4"/>
    <x v="2"/>
    <n v="1702"/>
    <n v="18"/>
    <n v="0.12"/>
    <n v="26959.68"/>
    <n v="16543.439999999999"/>
    <n v="30636"/>
    <s v="2024-01"/>
    <x v="0"/>
    <x v="0"/>
    <x v="3"/>
    <n v="3676.3199999999997"/>
    <n v="15.84"/>
    <n v="9"/>
    <n v="15318"/>
    <n v="1225.4399999999987"/>
    <n v="10416.240000000002"/>
    <n v="0.38636363636363641"/>
  </r>
  <r>
    <s v="TX00546"/>
    <x v="12"/>
    <s v="S01"/>
    <x v="5"/>
    <x v="2"/>
    <n v="2983"/>
    <n v="30"/>
    <n v="0.14000000000000001"/>
    <n v="76961.399999999994"/>
    <n v="45102.96"/>
    <n v="89490"/>
    <s v="2024-01"/>
    <x v="0"/>
    <x v="0"/>
    <x v="3"/>
    <n v="12528.600000000006"/>
    <n v="25.799999999999997"/>
    <n v="14"/>
    <n v="41762"/>
    <n v="3340.9599999999991"/>
    <n v="31858.439999999995"/>
    <n v="0.413953488372093"/>
  </r>
  <r>
    <s v="TX00547"/>
    <x v="12"/>
    <s v="S01"/>
    <x v="6"/>
    <x v="3"/>
    <n v="1922"/>
    <n v="40"/>
    <n v="0.14000000000000001"/>
    <n v="66116.800000000003"/>
    <n v="41515.199999999997"/>
    <n v="76880"/>
    <s v="2024-01"/>
    <x v="0"/>
    <x v="0"/>
    <x v="4"/>
    <n v="10763.199999999997"/>
    <n v="34.4"/>
    <n v="20"/>
    <n v="38440"/>
    <n v="3075.1999999999971"/>
    <n v="24601.600000000006"/>
    <n v="0.372093023255814"/>
  </r>
  <r>
    <s v="TX00548"/>
    <x v="12"/>
    <s v="S01"/>
    <x v="7"/>
    <x v="4"/>
    <n v="1663"/>
    <n v="10"/>
    <n v="0.15"/>
    <n v="14135.5"/>
    <n v="7184.16"/>
    <n v="16630"/>
    <s v="2024-01"/>
    <x v="0"/>
    <x v="0"/>
    <x v="5"/>
    <n v="2494.5"/>
    <n v="8.5"/>
    <n v="4"/>
    <n v="6652"/>
    <n v="532.15999999999985"/>
    <n v="6951.34"/>
    <n v="0.49176470588235294"/>
  </r>
  <r>
    <s v="TX00549"/>
    <x v="12"/>
    <s v="S01"/>
    <x v="8"/>
    <x v="4"/>
    <n v="2609"/>
    <n v="22"/>
    <n v="0.13"/>
    <n v="49936.26"/>
    <n v="28177.200000000001"/>
    <n v="57398"/>
    <s v="2024-01"/>
    <x v="0"/>
    <x v="0"/>
    <x v="5"/>
    <n v="7461.739999999998"/>
    <n v="19.14"/>
    <n v="10"/>
    <n v="26090"/>
    <n v="2087.2000000000007"/>
    <n v="21759.06"/>
    <n v="0.43573667711598746"/>
  </r>
  <r>
    <s v="TX00550"/>
    <x v="12"/>
    <s v="S02"/>
    <x v="0"/>
    <x v="0"/>
    <n v="1694"/>
    <n v="24"/>
    <n v="0.17"/>
    <n v="33744.480000000003"/>
    <n v="21954.240000000002"/>
    <n v="40656"/>
    <s v="2024-01"/>
    <x v="1"/>
    <x v="1"/>
    <x v="0"/>
    <n v="6911.5199999999968"/>
    <n v="19.920000000000002"/>
    <n v="12"/>
    <n v="20328"/>
    <n v="1626.2400000000016"/>
    <n v="11790.240000000002"/>
    <n v="0.3493975903614458"/>
  </r>
  <r>
    <s v="TX00551"/>
    <x v="12"/>
    <s v="S02"/>
    <x v="1"/>
    <x v="0"/>
    <n v="2050"/>
    <n v="50"/>
    <n v="0.16"/>
    <n v="86100"/>
    <n v="61992"/>
    <n v="102500"/>
    <s v="2024-01"/>
    <x v="1"/>
    <x v="1"/>
    <x v="1"/>
    <n v="16400"/>
    <n v="42"/>
    <n v="28"/>
    <n v="57400"/>
    <n v="4592"/>
    <n v="24108"/>
    <n v="0.28000000000000003"/>
  </r>
  <r>
    <s v="TX00552"/>
    <x v="12"/>
    <s v="S02"/>
    <x v="2"/>
    <x v="1"/>
    <n v="3058"/>
    <n v="28"/>
    <n v="0.15"/>
    <n v="72780.399999999994"/>
    <n v="49539.6"/>
    <n v="85624"/>
    <s v="2024-01"/>
    <x v="1"/>
    <x v="1"/>
    <x v="2"/>
    <n v="12843.600000000006"/>
    <n v="23.799999999999997"/>
    <n v="15"/>
    <n v="45870"/>
    <n v="3669.5999999999985"/>
    <n v="23240.799999999996"/>
    <n v="0.31932773109243695"/>
  </r>
  <r>
    <s v="TX00553"/>
    <x v="12"/>
    <s v="S02"/>
    <x v="3"/>
    <x v="1"/>
    <n v="2310"/>
    <n v="35"/>
    <n v="0.15"/>
    <n v="68722.5"/>
    <n v="44906.400000000001"/>
    <n v="80850"/>
    <s v="2024-01"/>
    <x v="1"/>
    <x v="1"/>
    <x v="2"/>
    <n v="12127.5"/>
    <n v="29.75"/>
    <n v="18"/>
    <n v="41580"/>
    <n v="3326.4000000000015"/>
    <n v="23816.1"/>
    <n v="0.34655462184873947"/>
  </r>
  <r>
    <s v="TX00554"/>
    <x v="12"/>
    <s v="S02"/>
    <x v="4"/>
    <x v="2"/>
    <n v="1504"/>
    <n v="18"/>
    <n v="0.13"/>
    <n v="23552.639999999999"/>
    <n v="14618.88"/>
    <n v="27072"/>
    <s v="2024-01"/>
    <x v="1"/>
    <x v="1"/>
    <x v="3"/>
    <n v="3519.3600000000006"/>
    <n v="15.66"/>
    <n v="9"/>
    <n v="13536"/>
    <n v="1082.8799999999992"/>
    <n v="8933.76"/>
    <n v="0.37931034482758624"/>
  </r>
  <r>
    <s v="TX00555"/>
    <x v="12"/>
    <s v="S02"/>
    <x v="5"/>
    <x v="2"/>
    <n v="3009"/>
    <n v="30"/>
    <n v="0.15"/>
    <n v="76729.5"/>
    <n v="45496.08"/>
    <n v="90270"/>
    <s v="2024-01"/>
    <x v="1"/>
    <x v="1"/>
    <x v="3"/>
    <n v="13540.5"/>
    <n v="25.5"/>
    <n v="14"/>
    <n v="42126"/>
    <n v="3370.0800000000017"/>
    <n v="31233.42"/>
    <n v="0.40705882352941175"/>
  </r>
  <r>
    <s v="TX00556"/>
    <x v="12"/>
    <s v="S02"/>
    <x v="6"/>
    <x v="3"/>
    <n v="2393"/>
    <n v="40"/>
    <n v="0.12"/>
    <n v="84233.600000000006"/>
    <n v="51688.800000000003"/>
    <n v="95720"/>
    <s v="2024-01"/>
    <x v="1"/>
    <x v="1"/>
    <x v="4"/>
    <n v="11486.399999999994"/>
    <n v="35.200000000000003"/>
    <n v="20"/>
    <n v="47860"/>
    <n v="3828.8000000000029"/>
    <n v="32544.800000000003"/>
    <n v="0.38636363636363635"/>
  </r>
  <r>
    <s v="TX00557"/>
    <x v="12"/>
    <s v="S02"/>
    <x v="7"/>
    <x v="4"/>
    <n v="1984"/>
    <n v="10"/>
    <n v="0.15"/>
    <n v="16864"/>
    <n v="8570.8799999999992"/>
    <n v="19840"/>
    <s v="2024-01"/>
    <x v="1"/>
    <x v="1"/>
    <x v="5"/>
    <n v="2976"/>
    <n v="8.5"/>
    <n v="4"/>
    <n v="7936"/>
    <n v="634.8799999999992"/>
    <n v="8293.1200000000008"/>
    <n v="0.49176470588235299"/>
  </r>
  <r>
    <s v="TX00558"/>
    <x v="12"/>
    <s v="S02"/>
    <x v="8"/>
    <x v="4"/>
    <n v="1579"/>
    <n v="22"/>
    <n v="0.13"/>
    <n v="30222.06"/>
    <n v="17053.2"/>
    <n v="34738"/>
    <s v="2024-01"/>
    <x v="1"/>
    <x v="1"/>
    <x v="5"/>
    <n v="4515.9399999999987"/>
    <n v="19.14"/>
    <n v="10"/>
    <n v="15790"/>
    <n v="1263.2000000000007"/>
    <n v="13168.86"/>
    <n v="0.43573667711598746"/>
  </r>
  <r>
    <s v="TX00559"/>
    <x v="12"/>
    <s v="S03"/>
    <x v="0"/>
    <x v="0"/>
    <n v="2833"/>
    <n v="24"/>
    <n v="0.16"/>
    <n v="57113.279999999999"/>
    <n v="36715.68"/>
    <n v="67992"/>
    <s v="2024-01"/>
    <x v="2"/>
    <x v="2"/>
    <x v="0"/>
    <n v="10878.720000000001"/>
    <n v="20.16"/>
    <n v="12"/>
    <n v="33996"/>
    <n v="2719.6800000000003"/>
    <n v="20397.599999999999"/>
    <n v="0.35714285714285715"/>
  </r>
  <r>
    <s v="TX00560"/>
    <x v="12"/>
    <s v="S03"/>
    <x v="1"/>
    <x v="0"/>
    <n v="1861"/>
    <n v="50"/>
    <n v="0.14000000000000001"/>
    <n v="80023"/>
    <n v="56276.639999999999"/>
    <n v="93050"/>
    <s v="2024-01"/>
    <x v="2"/>
    <x v="2"/>
    <x v="1"/>
    <n v="13027"/>
    <n v="43"/>
    <n v="28"/>
    <n v="52108"/>
    <n v="4168.6399999999994"/>
    <n v="23746.36"/>
    <n v="0.29674418604651165"/>
  </r>
  <r>
    <s v="TX00561"/>
    <x v="12"/>
    <s v="S03"/>
    <x v="2"/>
    <x v="1"/>
    <n v="2362"/>
    <n v="28"/>
    <n v="0.17"/>
    <n v="54892.88"/>
    <n v="38264.400000000001"/>
    <n v="66136"/>
    <s v="2024-01"/>
    <x v="2"/>
    <x v="2"/>
    <x v="2"/>
    <n v="11243.120000000003"/>
    <n v="23.24"/>
    <n v="15"/>
    <n v="35430"/>
    <n v="2834.4000000000015"/>
    <n v="16628.479999999996"/>
    <n v="0.30292598967297757"/>
  </r>
  <r>
    <s v="TX00562"/>
    <x v="12"/>
    <s v="S03"/>
    <x v="3"/>
    <x v="1"/>
    <n v="2547"/>
    <n v="35"/>
    <n v="0.14000000000000001"/>
    <n v="76664.7"/>
    <n v="49513.68"/>
    <n v="89145"/>
    <s v="2024-01"/>
    <x v="2"/>
    <x v="2"/>
    <x v="2"/>
    <n v="12480.300000000003"/>
    <n v="30.099999999999998"/>
    <n v="18"/>
    <n v="45846"/>
    <n v="3667.6800000000003"/>
    <n v="27151.019999999997"/>
    <n v="0.35415282392026576"/>
  </r>
  <r>
    <s v="TX00563"/>
    <x v="12"/>
    <s v="S03"/>
    <x v="4"/>
    <x v="2"/>
    <n v="3014"/>
    <n v="18"/>
    <n v="0.16"/>
    <n v="45571.68"/>
    <n v="29296.080000000002"/>
    <n v="54252"/>
    <s v="2024-01"/>
    <x v="2"/>
    <x v="2"/>
    <x v="3"/>
    <n v="8680.32"/>
    <n v="15.12"/>
    <n v="9"/>
    <n v="27126"/>
    <n v="2170.0800000000017"/>
    <n v="16275.599999999999"/>
    <n v="0.3571428571428571"/>
  </r>
  <r>
    <s v="TX00564"/>
    <x v="12"/>
    <s v="S03"/>
    <x v="5"/>
    <x v="2"/>
    <n v="2358"/>
    <n v="30"/>
    <n v="0.13"/>
    <n v="61543.8"/>
    <n v="35652.959999999999"/>
    <n v="70740"/>
    <s v="2024-01"/>
    <x v="2"/>
    <x v="2"/>
    <x v="3"/>
    <n v="9196.1999999999971"/>
    <n v="26.1"/>
    <n v="14"/>
    <n v="33012"/>
    <n v="2640.9599999999991"/>
    <n v="25890.840000000004"/>
    <n v="0.42068965517241386"/>
  </r>
  <r>
    <s v="TX00565"/>
    <x v="12"/>
    <s v="S03"/>
    <x v="6"/>
    <x v="3"/>
    <n v="1672"/>
    <n v="40"/>
    <n v="0.17"/>
    <n v="55510.400000000001"/>
    <n v="36115.199999999997"/>
    <n v="66880"/>
    <s v="2024-01"/>
    <x v="2"/>
    <x v="2"/>
    <x v="4"/>
    <n v="11369.599999999999"/>
    <n v="33.200000000000003"/>
    <n v="20"/>
    <n v="33440"/>
    <n v="2675.1999999999971"/>
    <n v="19395.200000000004"/>
    <n v="0.34939759036144585"/>
  </r>
  <r>
    <s v="TX00566"/>
    <x v="12"/>
    <s v="S03"/>
    <x v="7"/>
    <x v="4"/>
    <n v="2217"/>
    <n v="10"/>
    <n v="0.13"/>
    <n v="19287.900000000001"/>
    <n v="9577.44"/>
    <n v="22170"/>
    <s v="2024-01"/>
    <x v="2"/>
    <x v="2"/>
    <x v="5"/>
    <n v="2882.0999999999985"/>
    <n v="8.7000000000000011"/>
    <n v="4"/>
    <n v="8868"/>
    <n v="709.44000000000051"/>
    <n v="9710.4600000000009"/>
    <n v="0.50344827586206897"/>
  </r>
  <r>
    <s v="TX00567"/>
    <x v="12"/>
    <s v="S03"/>
    <x v="8"/>
    <x v="4"/>
    <n v="1848"/>
    <n v="22"/>
    <n v="0.17"/>
    <n v="33744.480000000003"/>
    <n v="19958.400000000001"/>
    <n v="40656"/>
    <s v="2024-01"/>
    <x v="2"/>
    <x v="2"/>
    <x v="5"/>
    <n v="6911.5199999999968"/>
    <n v="18.260000000000002"/>
    <n v="10"/>
    <n v="18480"/>
    <n v="1478.4000000000015"/>
    <n v="13786.080000000002"/>
    <n v="0.40854326396495072"/>
  </r>
  <r>
    <s v="TX00568"/>
    <x v="12"/>
    <s v="S04"/>
    <x v="0"/>
    <x v="0"/>
    <n v="1975"/>
    <n v="24"/>
    <n v="0.17"/>
    <n v="39342"/>
    <n v="25596"/>
    <n v="47400"/>
    <s v="2024-01"/>
    <x v="3"/>
    <x v="3"/>
    <x v="0"/>
    <n v="8058"/>
    <n v="19.920000000000002"/>
    <n v="12"/>
    <n v="23700"/>
    <n v="1896"/>
    <n v="13746"/>
    <n v="0.3493975903614458"/>
  </r>
  <r>
    <s v="TX00569"/>
    <x v="12"/>
    <s v="S04"/>
    <x v="1"/>
    <x v="0"/>
    <n v="2195"/>
    <n v="50"/>
    <n v="0.16"/>
    <n v="92190"/>
    <n v="66376.800000000003"/>
    <n v="109750"/>
    <s v="2024-01"/>
    <x v="3"/>
    <x v="3"/>
    <x v="1"/>
    <n v="17560"/>
    <n v="42"/>
    <n v="28"/>
    <n v="61460"/>
    <n v="4916.8000000000029"/>
    <n v="25813.199999999997"/>
    <n v="0.27999999999999997"/>
  </r>
  <r>
    <s v="TX00570"/>
    <x v="12"/>
    <s v="S04"/>
    <x v="2"/>
    <x v="1"/>
    <n v="2081"/>
    <n v="28"/>
    <n v="0.13"/>
    <n v="50693.16"/>
    <n v="33712.199999999997"/>
    <n v="58268"/>
    <s v="2024-01"/>
    <x v="3"/>
    <x v="3"/>
    <x v="2"/>
    <n v="7574.8399999999965"/>
    <n v="24.360000000000003"/>
    <n v="15"/>
    <n v="31215"/>
    <n v="2497.1999999999971"/>
    <n v="16980.960000000006"/>
    <n v="0.33497536945812817"/>
  </r>
  <r>
    <s v="TX00571"/>
    <x v="12"/>
    <s v="S04"/>
    <x v="3"/>
    <x v="1"/>
    <n v="3066"/>
    <n v="35"/>
    <n v="0.16"/>
    <n v="90140.4"/>
    <n v="59603.040000000001"/>
    <n v="107310"/>
    <s v="2024-01"/>
    <x v="3"/>
    <x v="3"/>
    <x v="2"/>
    <n v="17169.600000000006"/>
    <n v="29.4"/>
    <n v="18"/>
    <n v="55188"/>
    <n v="4415.0400000000009"/>
    <n v="30537.359999999993"/>
    <n v="0.33877551020408159"/>
  </r>
  <r>
    <s v="TX00572"/>
    <x v="12"/>
    <s v="S04"/>
    <x v="4"/>
    <x v="2"/>
    <n v="1548"/>
    <n v="18"/>
    <n v="0.17"/>
    <n v="23127.119999999999"/>
    <n v="15046.56"/>
    <n v="27864"/>
    <s v="2024-01"/>
    <x v="3"/>
    <x v="3"/>
    <x v="3"/>
    <n v="4736.880000000001"/>
    <n v="14.94"/>
    <n v="9"/>
    <n v="13932"/>
    <n v="1114.5599999999995"/>
    <n v="8080.5599999999995"/>
    <n v="0.3493975903614458"/>
  </r>
  <r>
    <s v="TX00573"/>
    <x v="12"/>
    <s v="S04"/>
    <x v="5"/>
    <x v="2"/>
    <n v="2186"/>
    <n v="30"/>
    <n v="0.13"/>
    <n v="57054.6"/>
    <n v="33052.32"/>
    <n v="65580"/>
    <s v="2024-01"/>
    <x v="3"/>
    <x v="3"/>
    <x v="3"/>
    <n v="8525.4000000000015"/>
    <n v="26.099999999999998"/>
    <n v="14"/>
    <n v="30604"/>
    <n v="2448.3199999999997"/>
    <n v="24002.28"/>
    <n v="0.4206896551724138"/>
  </r>
  <r>
    <s v="TX00574"/>
    <x v="12"/>
    <s v="S04"/>
    <x v="6"/>
    <x v="3"/>
    <n v="2107"/>
    <n v="40"/>
    <n v="0.14000000000000001"/>
    <n v="72480.800000000003"/>
    <n v="45511.199999999997"/>
    <n v="84280"/>
    <s v="2024-01"/>
    <x v="3"/>
    <x v="3"/>
    <x v="4"/>
    <n v="11799.199999999997"/>
    <n v="34.4"/>
    <n v="20"/>
    <n v="42140"/>
    <n v="3371.1999999999971"/>
    <n v="26969.600000000006"/>
    <n v="0.372093023255814"/>
  </r>
  <r>
    <s v="TX00575"/>
    <x v="12"/>
    <s v="S04"/>
    <x v="7"/>
    <x v="4"/>
    <n v="2076"/>
    <n v="10"/>
    <n v="0.13"/>
    <n v="18061.2"/>
    <n v="8968.32"/>
    <n v="20760"/>
    <s v="2024-01"/>
    <x v="3"/>
    <x v="3"/>
    <x v="5"/>
    <n v="2698.7999999999993"/>
    <n v="8.7000000000000011"/>
    <n v="4"/>
    <n v="8304"/>
    <n v="664.31999999999971"/>
    <n v="9092.880000000001"/>
    <n v="0.50344827586206897"/>
  </r>
  <r>
    <s v="TX00576"/>
    <x v="12"/>
    <s v="S04"/>
    <x v="8"/>
    <x v="4"/>
    <n v="2547"/>
    <n v="22"/>
    <n v="0.15"/>
    <n v="47628.9"/>
    <n v="27507.599999999999"/>
    <n v="56034"/>
    <s v="2024-01"/>
    <x v="3"/>
    <x v="3"/>
    <x v="5"/>
    <n v="8405.0999999999985"/>
    <n v="18.7"/>
    <n v="10"/>
    <n v="25470"/>
    <n v="2037.5999999999985"/>
    <n v="20121.300000000003"/>
    <n v="0.42245989304812837"/>
  </r>
  <r>
    <s v="TX00577"/>
    <x v="12"/>
    <s v="S05"/>
    <x v="0"/>
    <x v="0"/>
    <n v="1663"/>
    <n v="24"/>
    <n v="0.16"/>
    <n v="33526.080000000002"/>
    <n v="21552.48"/>
    <n v="39912"/>
    <s v="2024-01"/>
    <x v="4"/>
    <x v="0"/>
    <x v="0"/>
    <n v="6385.9199999999983"/>
    <n v="20.16"/>
    <n v="12"/>
    <n v="19956"/>
    <n v="1596.4799999999996"/>
    <n v="11973.600000000002"/>
    <n v="0.35714285714285721"/>
  </r>
  <r>
    <s v="TX00578"/>
    <x v="12"/>
    <s v="S05"/>
    <x v="1"/>
    <x v="0"/>
    <n v="2116"/>
    <n v="50"/>
    <n v="0.14000000000000001"/>
    <n v="90988"/>
    <n v="63987.839999999997"/>
    <n v="105800"/>
    <s v="2024-01"/>
    <x v="4"/>
    <x v="0"/>
    <x v="1"/>
    <n v="14812"/>
    <n v="43"/>
    <n v="28"/>
    <n v="59248"/>
    <n v="4739.8399999999965"/>
    <n v="27000.160000000003"/>
    <n v="0.29674418604651165"/>
  </r>
  <r>
    <s v="TX00579"/>
    <x v="12"/>
    <s v="S05"/>
    <x v="2"/>
    <x v="1"/>
    <n v="2446"/>
    <n v="28"/>
    <n v="0.17"/>
    <n v="56845.04"/>
    <n v="39625.199999999997"/>
    <n v="68488"/>
    <s v="2024-01"/>
    <x v="4"/>
    <x v="0"/>
    <x v="2"/>
    <n v="11642.96"/>
    <n v="23.240000000000002"/>
    <n v="15"/>
    <n v="36690"/>
    <n v="2935.1999999999971"/>
    <n v="17219.840000000004"/>
    <n v="0.30292598967297768"/>
  </r>
  <r>
    <s v="TX00580"/>
    <x v="12"/>
    <s v="S05"/>
    <x v="3"/>
    <x v="1"/>
    <n v="2279"/>
    <n v="35"/>
    <n v="0.14000000000000001"/>
    <n v="68597.899999999994"/>
    <n v="44303.76"/>
    <n v="79765"/>
    <s v="2024-01"/>
    <x v="4"/>
    <x v="0"/>
    <x v="2"/>
    <n v="11167.100000000006"/>
    <n v="30.099999999999998"/>
    <n v="18"/>
    <n v="41022"/>
    <n v="3281.760000000002"/>
    <n v="24294.139999999992"/>
    <n v="0.3541528239202657"/>
  </r>
  <r>
    <s v="TX00581"/>
    <x v="12"/>
    <s v="S05"/>
    <x v="4"/>
    <x v="2"/>
    <n v="2956"/>
    <n v="18"/>
    <n v="0.13"/>
    <n v="46290.96"/>
    <n v="28732.32"/>
    <n v="53208"/>
    <s v="2024-01"/>
    <x v="4"/>
    <x v="0"/>
    <x v="3"/>
    <n v="6917.0400000000009"/>
    <n v="15.66"/>
    <n v="9"/>
    <n v="26604"/>
    <n v="2128.3199999999997"/>
    <n v="17558.64"/>
    <n v="0.37931034482758619"/>
  </r>
  <r>
    <s v="TX00582"/>
    <x v="12"/>
    <s v="S05"/>
    <x v="5"/>
    <x v="2"/>
    <n v="1821"/>
    <n v="30"/>
    <n v="0.15"/>
    <n v="46435.5"/>
    <n v="27533.52"/>
    <n v="54630"/>
    <s v="2024-01"/>
    <x v="4"/>
    <x v="0"/>
    <x v="3"/>
    <n v="8194.5"/>
    <n v="25.5"/>
    <n v="14"/>
    <n v="25494"/>
    <n v="2039.5200000000004"/>
    <n v="18901.98"/>
    <n v="0.40705882352941175"/>
  </r>
  <r>
    <s v="TX00583"/>
    <x v="12"/>
    <s v="S05"/>
    <x v="6"/>
    <x v="3"/>
    <n v="2389"/>
    <n v="40"/>
    <n v="0.16"/>
    <n v="80270.399999999994"/>
    <n v="51602.400000000001"/>
    <n v="95560"/>
    <s v="2024-01"/>
    <x v="4"/>
    <x v="0"/>
    <x v="4"/>
    <n v="15289.600000000006"/>
    <n v="33.599999999999994"/>
    <n v="20"/>
    <n v="47780"/>
    <n v="3822.4000000000015"/>
    <n v="28667.999999999993"/>
    <n v="0.3571428571428571"/>
  </r>
  <r>
    <s v="TX00584"/>
    <x v="12"/>
    <s v="S05"/>
    <x v="7"/>
    <x v="4"/>
    <n v="1553"/>
    <n v="10"/>
    <n v="0.13"/>
    <n v="13511.1"/>
    <n v="6708.96"/>
    <n v="15530"/>
    <s v="2024-01"/>
    <x v="4"/>
    <x v="0"/>
    <x v="5"/>
    <n v="2018.8999999999996"/>
    <n v="8.7000000000000011"/>
    <n v="4"/>
    <n v="6212"/>
    <n v="496.96000000000004"/>
    <n v="6802.14"/>
    <n v="0.50344827586206897"/>
  </r>
  <r>
    <s v="TX00585"/>
    <x v="12"/>
    <s v="S05"/>
    <x v="8"/>
    <x v="4"/>
    <n v="1500"/>
    <n v="22"/>
    <n v="0.15"/>
    <n v="28050"/>
    <n v="16200"/>
    <n v="33000"/>
    <s v="2024-01"/>
    <x v="4"/>
    <x v="0"/>
    <x v="5"/>
    <n v="4950"/>
    <n v="18.7"/>
    <n v="10"/>
    <n v="15000"/>
    <n v="1200"/>
    <n v="11850"/>
    <n v="0.42245989304812837"/>
  </r>
  <r>
    <s v="TX00586"/>
    <x v="13"/>
    <s v="S01"/>
    <x v="0"/>
    <x v="0"/>
    <n v="1896"/>
    <n v="24"/>
    <n v="0.16"/>
    <n v="38223.360000000001"/>
    <n v="24572.16"/>
    <n v="45504"/>
    <s v="2024-02"/>
    <x v="0"/>
    <x v="0"/>
    <x v="0"/>
    <n v="7280.6399999999994"/>
    <n v="20.16"/>
    <n v="12"/>
    <n v="22752"/>
    <n v="1820.1599999999999"/>
    <n v="13651.2"/>
    <n v="0.35714285714285715"/>
  </r>
  <r>
    <s v="TX00587"/>
    <x v="13"/>
    <s v="S01"/>
    <x v="1"/>
    <x v="0"/>
    <n v="2846"/>
    <n v="50"/>
    <n v="0.16"/>
    <n v="119532"/>
    <n v="86063.039999999994"/>
    <n v="142300"/>
    <s v="2024-02"/>
    <x v="0"/>
    <x v="0"/>
    <x v="1"/>
    <n v="22768"/>
    <n v="42"/>
    <n v="28"/>
    <n v="79688"/>
    <n v="6375.0399999999936"/>
    <n v="33468.960000000006"/>
    <n v="0.28000000000000003"/>
  </r>
  <r>
    <s v="TX00588"/>
    <x v="13"/>
    <s v="S01"/>
    <x v="2"/>
    <x v="1"/>
    <n v="2081"/>
    <n v="28"/>
    <n v="0.12"/>
    <n v="51275.839999999997"/>
    <n v="33712.199999999997"/>
    <n v="58268"/>
    <s v="2024-02"/>
    <x v="0"/>
    <x v="0"/>
    <x v="2"/>
    <n v="6992.1600000000035"/>
    <n v="24.639999999999997"/>
    <n v="15"/>
    <n v="31215"/>
    <n v="2497.1999999999971"/>
    <n v="17563.64"/>
    <n v="0.34253246753246752"/>
  </r>
  <r>
    <s v="TX00589"/>
    <x v="13"/>
    <s v="S01"/>
    <x v="3"/>
    <x v="1"/>
    <n v="1584"/>
    <n v="35"/>
    <n v="0.13"/>
    <n v="48232.800000000003"/>
    <n v="30792.959999999999"/>
    <n v="55440"/>
    <s v="2024-02"/>
    <x v="0"/>
    <x v="0"/>
    <x v="2"/>
    <n v="7207.1999999999971"/>
    <n v="30.450000000000003"/>
    <n v="18"/>
    <n v="28512"/>
    <n v="2280.9599999999991"/>
    <n v="17439.840000000004"/>
    <n v="0.36157635467980304"/>
  </r>
  <r>
    <s v="TX00590"/>
    <x v="13"/>
    <s v="S01"/>
    <x v="4"/>
    <x v="2"/>
    <n v="2873"/>
    <n v="18"/>
    <n v="0.13"/>
    <n v="44991.18"/>
    <n v="27925.56"/>
    <n v="51714"/>
    <s v="2024-02"/>
    <x v="0"/>
    <x v="0"/>
    <x v="3"/>
    <n v="6722.82"/>
    <n v="15.66"/>
    <n v="9"/>
    <n v="25857"/>
    <n v="2068.5600000000013"/>
    <n v="17065.62"/>
    <n v="0.37931034482758619"/>
  </r>
  <r>
    <s v="TX00591"/>
    <x v="13"/>
    <s v="S01"/>
    <x v="5"/>
    <x v="2"/>
    <n v="2389"/>
    <n v="30"/>
    <n v="0.16"/>
    <n v="60202.8"/>
    <n v="36121.68"/>
    <n v="71670"/>
    <s v="2024-02"/>
    <x v="0"/>
    <x v="0"/>
    <x v="3"/>
    <n v="11467.199999999997"/>
    <n v="25.200000000000003"/>
    <n v="14"/>
    <n v="33446"/>
    <n v="2675.6800000000003"/>
    <n v="24081.120000000003"/>
    <n v="0.4"/>
  </r>
  <r>
    <s v="TX00592"/>
    <x v="13"/>
    <s v="S01"/>
    <x v="6"/>
    <x v="3"/>
    <n v="2503"/>
    <n v="40"/>
    <n v="0.14000000000000001"/>
    <n v="86103.2"/>
    <n v="54064.800000000003"/>
    <n v="100120"/>
    <s v="2024-02"/>
    <x v="0"/>
    <x v="0"/>
    <x v="4"/>
    <n v="14016.800000000003"/>
    <n v="34.4"/>
    <n v="20"/>
    <n v="50060"/>
    <n v="4004.8000000000029"/>
    <n v="32038.399999999994"/>
    <n v="0.37209302325581389"/>
  </r>
  <r>
    <s v="TX00593"/>
    <x v="13"/>
    <s v="S01"/>
    <x v="7"/>
    <x v="4"/>
    <n v="2565"/>
    <n v="10"/>
    <n v="0.14000000000000001"/>
    <n v="22059"/>
    <n v="11080.8"/>
    <n v="25650"/>
    <s v="2024-02"/>
    <x v="0"/>
    <x v="0"/>
    <x v="5"/>
    <n v="3591"/>
    <n v="8.6"/>
    <n v="4"/>
    <n v="10260"/>
    <n v="820.79999999999927"/>
    <n v="10978.2"/>
    <n v="0.49767441860465117"/>
  </r>
  <r>
    <s v="TX00594"/>
    <x v="13"/>
    <s v="S01"/>
    <x v="8"/>
    <x v="4"/>
    <n v="1425"/>
    <n v="22"/>
    <n v="0.15"/>
    <n v="26647.5"/>
    <n v="15390"/>
    <n v="31350"/>
    <s v="2024-02"/>
    <x v="0"/>
    <x v="0"/>
    <x v="5"/>
    <n v="4702.5"/>
    <n v="18.7"/>
    <n v="10"/>
    <n v="14250"/>
    <n v="1140"/>
    <n v="11257.5"/>
    <n v="0.42245989304812837"/>
  </r>
  <r>
    <s v="TX00595"/>
    <x v="13"/>
    <s v="S02"/>
    <x v="0"/>
    <x v="0"/>
    <n v="2314"/>
    <n v="24"/>
    <n v="0.14000000000000001"/>
    <n v="47760.959999999999"/>
    <n v="29989.439999999999"/>
    <n v="55536"/>
    <s v="2024-02"/>
    <x v="1"/>
    <x v="1"/>
    <x v="0"/>
    <n v="7775.0400000000009"/>
    <n v="20.64"/>
    <n v="12"/>
    <n v="27768"/>
    <n v="2221.4399999999987"/>
    <n v="17771.52"/>
    <n v="0.37209302325581395"/>
  </r>
  <r>
    <s v="TX00596"/>
    <x v="13"/>
    <s v="S02"/>
    <x v="1"/>
    <x v="0"/>
    <n v="1680"/>
    <n v="50"/>
    <n v="0.15"/>
    <n v="71400"/>
    <n v="50803.199999999997"/>
    <n v="84000"/>
    <s v="2024-02"/>
    <x v="1"/>
    <x v="1"/>
    <x v="1"/>
    <n v="12600"/>
    <n v="42.5"/>
    <n v="28"/>
    <n v="47040"/>
    <n v="3763.1999999999971"/>
    <n v="20596.800000000003"/>
    <n v="0.28847058823529415"/>
  </r>
  <r>
    <s v="TX00597"/>
    <x v="13"/>
    <s v="S02"/>
    <x v="2"/>
    <x v="1"/>
    <n v="1421"/>
    <n v="28"/>
    <n v="0.16"/>
    <n v="33421.919999999998"/>
    <n v="23020.2"/>
    <n v="39788"/>
    <s v="2024-02"/>
    <x v="1"/>
    <x v="1"/>
    <x v="2"/>
    <n v="6366.0800000000017"/>
    <n v="23.52"/>
    <n v="15"/>
    <n v="21315"/>
    <n v="1705.2000000000007"/>
    <n v="10401.719999999998"/>
    <n v="0.31122448979591832"/>
  </r>
  <r>
    <s v="TX00598"/>
    <x v="13"/>
    <s v="S02"/>
    <x v="3"/>
    <x v="1"/>
    <n v="2296"/>
    <n v="35"/>
    <n v="0.13"/>
    <n v="69913.2"/>
    <n v="44634.239999999998"/>
    <n v="80360"/>
    <s v="2024-02"/>
    <x v="1"/>
    <x v="1"/>
    <x v="2"/>
    <n v="10446.800000000003"/>
    <n v="30.45"/>
    <n v="18"/>
    <n v="41328"/>
    <n v="3306.239999999998"/>
    <n v="25278.959999999999"/>
    <n v="0.36157635467980298"/>
  </r>
  <r>
    <s v="TX00599"/>
    <x v="13"/>
    <s v="S02"/>
    <x v="4"/>
    <x v="2"/>
    <n v="1821"/>
    <n v="18"/>
    <n v="0.17"/>
    <n v="27205.74"/>
    <n v="17700.12"/>
    <n v="32778"/>
    <s v="2024-02"/>
    <x v="1"/>
    <x v="1"/>
    <x v="3"/>
    <n v="5572.2599999999984"/>
    <n v="14.940000000000001"/>
    <n v="9"/>
    <n v="16389"/>
    <n v="1311.119999999999"/>
    <n v="9505.6200000000026"/>
    <n v="0.34939759036144585"/>
  </r>
  <r>
    <s v="TX00600"/>
    <x v="13"/>
    <s v="S02"/>
    <x v="5"/>
    <x v="2"/>
    <n v="1496"/>
    <n v="30"/>
    <n v="0.16"/>
    <n v="37699.199999999997"/>
    <n v="22619.52"/>
    <n v="44880"/>
    <s v="2024-02"/>
    <x v="1"/>
    <x v="1"/>
    <x v="3"/>
    <n v="7180.8000000000029"/>
    <n v="25.2"/>
    <n v="14"/>
    <n v="20944"/>
    <n v="1675.5200000000004"/>
    <n v="15079.679999999997"/>
    <n v="0.39999999999999997"/>
  </r>
  <r>
    <s v="TX00601"/>
    <x v="13"/>
    <s v="S02"/>
    <x v="6"/>
    <x v="3"/>
    <n v="1390"/>
    <n v="40"/>
    <n v="0.13"/>
    <n v="48372"/>
    <n v="30024"/>
    <n v="55600"/>
    <s v="2024-02"/>
    <x v="1"/>
    <x v="1"/>
    <x v="4"/>
    <n v="7228"/>
    <n v="34.799999999999997"/>
    <n v="20"/>
    <n v="27800"/>
    <n v="2224"/>
    <n v="18348"/>
    <n v="0.37931034482758619"/>
  </r>
  <r>
    <s v="TX00602"/>
    <x v="13"/>
    <s v="S02"/>
    <x v="7"/>
    <x v="4"/>
    <n v="1597"/>
    <n v="10"/>
    <n v="0.13"/>
    <n v="13893.9"/>
    <n v="6899.04"/>
    <n v="15970"/>
    <s v="2024-02"/>
    <x v="1"/>
    <x v="1"/>
    <x v="5"/>
    <n v="2076.1000000000004"/>
    <n v="8.6999999999999993"/>
    <n v="4"/>
    <n v="6388"/>
    <n v="511.03999999999996"/>
    <n v="6994.86"/>
    <n v="0.50344827586206897"/>
  </r>
  <r>
    <s v="TX00603"/>
    <x v="13"/>
    <s v="S02"/>
    <x v="8"/>
    <x v="4"/>
    <n v="3014"/>
    <n v="22"/>
    <n v="0.14000000000000001"/>
    <n v="57024.88"/>
    <n v="32551.200000000001"/>
    <n v="66308"/>
    <s v="2024-02"/>
    <x v="1"/>
    <x v="1"/>
    <x v="5"/>
    <n v="9283.1200000000026"/>
    <n v="18.919999999999998"/>
    <n v="10"/>
    <n v="30140"/>
    <n v="2411.2000000000007"/>
    <n v="24473.679999999997"/>
    <n v="0.42917547568710357"/>
  </r>
  <r>
    <s v="TX00604"/>
    <x v="13"/>
    <s v="S03"/>
    <x v="0"/>
    <x v="0"/>
    <n v="1663"/>
    <n v="24"/>
    <n v="0.13"/>
    <n v="34723.440000000002"/>
    <n v="21552.48"/>
    <n v="39912"/>
    <s v="2024-02"/>
    <x v="2"/>
    <x v="2"/>
    <x v="0"/>
    <n v="5188.5599999999977"/>
    <n v="20.880000000000003"/>
    <n v="12"/>
    <n v="19956"/>
    <n v="1596.4799999999996"/>
    <n v="13170.960000000003"/>
    <n v="0.37931034482758624"/>
  </r>
  <r>
    <s v="TX00605"/>
    <x v="13"/>
    <s v="S03"/>
    <x v="1"/>
    <x v="0"/>
    <n v="2635"/>
    <n v="50"/>
    <n v="0.12"/>
    <n v="115940"/>
    <n v="79682.399999999994"/>
    <n v="131750"/>
    <s v="2024-02"/>
    <x v="2"/>
    <x v="2"/>
    <x v="1"/>
    <n v="15810"/>
    <n v="44"/>
    <n v="28"/>
    <n v="73780"/>
    <n v="5902.3999999999942"/>
    <n v="36257.600000000006"/>
    <n v="0.3127272727272728"/>
  </r>
  <r>
    <s v="TX00606"/>
    <x v="13"/>
    <s v="S03"/>
    <x v="2"/>
    <x v="1"/>
    <n v="2675"/>
    <n v="28"/>
    <n v="0.12"/>
    <n v="65912"/>
    <n v="43335"/>
    <n v="74900"/>
    <s v="2024-02"/>
    <x v="2"/>
    <x v="2"/>
    <x v="2"/>
    <n v="8988"/>
    <n v="24.64"/>
    <n v="15"/>
    <n v="40125"/>
    <n v="3210"/>
    <n v="22577"/>
    <n v="0.34253246753246752"/>
  </r>
  <r>
    <s v="TX00607"/>
    <x v="13"/>
    <s v="S03"/>
    <x v="3"/>
    <x v="1"/>
    <n v="1922"/>
    <n v="35"/>
    <n v="0.16"/>
    <n v="56506.8"/>
    <n v="37363.68"/>
    <n v="67270"/>
    <s v="2024-02"/>
    <x v="2"/>
    <x v="2"/>
    <x v="2"/>
    <n v="10763.199999999997"/>
    <n v="29.400000000000002"/>
    <n v="18"/>
    <n v="34596"/>
    <n v="2767.6800000000003"/>
    <n v="19143.120000000003"/>
    <n v="0.33877551020408164"/>
  </r>
  <r>
    <s v="TX00608"/>
    <x v="13"/>
    <s v="S03"/>
    <x v="4"/>
    <x v="2"/>
    <n v="1760"/>
    <n v="18"/>
    <n v="0.15"/>
    <n v="26928"/>
    <n v="17107.2"/>
    <n v="31680"/>
    <s v="2024-02"/>
    <x v="2"/>
    <x v="2"/>
    <x v="3"/>
    <n v="4752"/>
    <n v="15.3"/>
    <n v="9"/>
    <n v="15840"/>
    <n v="1267.2000000000007"/>
    <n v="9820.7999999999993"/>
    <n v="0.36470588235294116"/>
  </r>
  <r>
    <s v="TX00609"/>
    <x v="13"/>
    <s v="S03"/>
    <x v="5"/>
    <x v="2"/>
    <n v="2591"/>
    <n v="30"/>
    <n v="0.17"/>
    <n v="64515.9"/>
    <n v="39175.919999999998"/>
    <n v="77730"/>
    <s v="2024-02"/>
    <x v="2"/>
    <x v="2"/>
    <x v="3"/>
    <n v="13214.099999999999"/>
    <n v="24.900000000000002"/>
    <n v="14"/>
    <n v="36274"/>
    <n v="2901.9199999999983"/>
    <n v="25339.980000000003"/>
    <n v="0.39277108433734942"/>
  </r>
  <r>
    <s v="TX00610"/>
    <x v="13"/>
    <s v="S03"/>
    <x v="6"/>
    <x v="3"/>
    <n v="2371"/>
    <n v="40"/>
    <n v="0.13"/>
    <n v="82510.8"/>
    <n v="51213.599999999999"/>
    <n v="94840"/>
    <s v="2024-02"/>
    <x v="2"/>
    <x v="2"/>
    <x v="4"/>
    <n v="12329.199999999997"/>
    <n v="34.800000000000004"/>
    <n v="20"/>
    <n v="47420"/>
    <n v="3793.5999999999985"/>
    <n v="31297.200000000004"/>
    <n v="0.37931034482758624"/>
  </r>
  <r>
    <s v="TX00611"/>
    <x v="13"/>
    <s v="S03"/>
    <x v="7"/>
    <x v="4"/>
    <n v="1782"/>
    <n v="10"/>
    <n v="0.14000000000000001"/>
    <n v="15325.2"/>
    <n v="7698.24"/>
    <n v="17820"/>
    <s v="2024-02"/>
    <x v="2"/>
    <x v="2"/>
    <x v="5"/>
    <n v="2494.7999999999993"/>
    <n v="8.6"/>
    <n v="4"/>
    <n v="7128"/>
    <n v="570.23999999999978"/>
    <n v="7626.9600000000009"/>
    <n v="0.49767441860465123"/>
  </r>
  <r>
    <s v="TX00612"/>
    <x v="13"/>
    <s v="S03"/>
    <x v="8"/>
    <x v="4"/>
    <n v="2882"/>
    <n v="22"/>
    <n v="0.13"/>
    <n v="55161.48"/>
    <n v="31125.599999999999"/>
    <n v="63404"/>
    <s v="2024-02"/>
    <x v="2"/>
    <x v="2"/>
    <x v="5"/>
    <n v="8242.5199999999968"/>
    <n v="19.14"/>
    <n v="10"/>
    <n v="28820"/>
    <n v="2305.5999999999985"/>
    <n v="24035.880000000005"/>
    <n v="0.43573667711598751"/>
  </r>
  <r>
    <s v="TX00613"/>
    <x v="13"/>
    <s v="S04"/>
    <x v="0"/>
    <x v="0"/>
    <n v="1447"/>
    <n v="24"/>
    <n v="0.15"/>
    <n v="29518.799999999999"/>
    <n v="18753.12"/>
    <n v="34728"/>
    <s v="2024-02"/>
    <x v="3"/>
    <x v="3"/>
    <x v="0"/>
    <n v="5209.2000000000007"/>
    <n v="20.399999999999999"/>
    <n v="12"/>
    <n v="17364"/>
    <n v="1389.119999999999"/>
    <n v="10765.68"/>
    <n v="0.36470588235294121"/>
  </r>
  <r>
    <s v="TX00614"/>
    <x v="13"/>
    <s v="S04"/>
    <x v="1"/>
    <x v="0"/>
    <n v="1364"/>
    <n v="50"/>
    <n v="0.14000000000000001"/>
    <n v="58652"/>
    <n v="41247.360000000001"/>
    <n v="68200"/>
    <s v="2024-02"/>
    <x v="3"/>
    <x v="3"/>
    <x v="1"/>
    <n v="9548"/>
    <n v="43"/>
    <n v="28"/>
    <n v="38192"/>
    <n v="3055.3600000000006"/>
    <n v="17404.64"/>
    <n v="0.29674418604651159"/>
  </r>
  <r>
    <s v="TX00615"/>
    <x v="13"/>
    <s v="S04"/>
    <x v="2"/>
    <x v="1"/>
    <n v="1592"/>
    <n v="28"/>
    <n v="0.15"/>
    <n v="37889.599999999999"/>
    <n v="25790.400000000001"/>
    <n v="44576"/>
    <s v="2024-02"/>
    <x v="3"/>
    <x v="3"/>
    <x v="2"/>
    <n v="6686.4000000000015"/>
    <n v="23.8"/>
    <n v="15"/>
    <n v="23880"/>
    <n v="1910.4000000000015"/>
    <n v="12099.199999999997"/>
    <n v="0.3193277310924369"/>
  </r>
  <r>
    <s v="TX00616"/>
    <x v="13"/>
    <s v="S04"/>
    <x v="3"/>
    <x v="1"/>
    <n v="2406"/>
    <n v="35"/>
    <n v="0.14000000000000001"/>
    <n v="72420.600000000006"/>
    <n v="46772.639999999999"/>
    <n v="84210"/>
    <s v="2024-02"/>
    <x v="3"/>
    <x v="3"/>
    <x v="2"/>
    <n v="11789.399999999994"/>
    <n v="30.1"/>
    <n v="18"/>
    <n v="43308"/>
    <n v="3464.6399999999994"/>
    <n v="25647.960000000006"/>
    <n v="0.35415282392026581"/>
  </r>
  <r>
    <s v="TX00617"/>
    <x v="13"/>
    <s v="S04"/>
    <x v="4"/>
    <x v="2"/>
    <n v="1610"/>
    <n v="18"/>
    <n v="0.13"/>
    <n v="25212.6"/>
    <n v="15649.2"/>
    <n v="28980"/>
    <s v="2024-02"/>
    <x v="3"/>
    <x v="3"/>
    <x v="3"/>
    <n v="3767.4000000000015"/>
    <n v="15.659999999999998"/>
    <n v="9"/>
    <n v="14490"/>
    <n v="1159.2000000000007"/>
    <n v="9563.3999999999978"/>
    <n v="0.37931034482758613"/>
  </r>
  <r>
    <s v="TX00618"/>
    <x v="13"/>
    <s v="S04"/>
    <x v="5"/>
    <x v="2"/>
    <n v="2763"/>
    <n v="30"/>
    <n v="0.16"/>
    <n v="69627.600000000006"/>
    <n v="41776.559999999998"/>
    <n v="82890"/>
    <s v="2024-02"/>
    <x v="3"/>
    <x v="3"/>
    <x v="3"/>
    <n v="13262.399999999994"/>
    <n v="25.200000000000003"/>
    <n v="14"/>
    <n v="38682"/>
    <n v="3094.5599999999977"/>
    <n v="27851.040000000008"/>
    <n v="0.40000000000000008"/>
  </r>
  <r>
    <s v="TX00619"/>
    <x v="13"/>
    <s v="S04"/>
    <x v="6"/>
    <x v="3"/>
    <n v="2072"/>
    <n v="40"/>
    <n v="0.14000000000000001"/>
    <n v="71276.800000000003"/>
    <n v="44755.199999999997"/>
    <n v="82880"/>
    <s v="2024-02"/>
    <x v="3"/>
    <x v="3"/>
    <x v="4"/>
    <n v="11603.199999999997"/>
    <n v="34.4"/>
    <n v="20"/>
    <n v="41440"/>
    <n v="3315.1999999999971"/>
    <n v="26521.600000000006"/>
    <n v="0.372093023255814"/>
  </r>
  <r>
    <s v="TX00620"/>
    <x v="13"/>
    <s v="S04"/>
    <x v="7"/>
    <x v="4"/>
    <n v="2978"/>
    <n v="10"/>
    <n v="0.13"/>
    <n v="25908.6"/>
    <n v="12864.96"/>
    <n v="29780"/>
    <s v="2024-02"/>
    <x v="3"/>
    <x v="3"/>
    <x v="5"/>
    <n v="3871.4000000000015"/>
    <n v="8.6999999999999993"/>
    <n v="4"/>
    <n v="11912"/>
    <n v="952.95999999999913"/>
    <n v="13043.64"/>
    <n v="0.50344827586206897"/>
  </r>
  <r>
    <s v="TX00621"/>
    <x v="13"/>
    <s v="S04"/>
    <x v="8"/>
    <x v="4"/>
    <n v="2120"/>
    <n v="22"/>
    <n v="0.12"/>
    <n v="41043.199999999997"/>
    <n v="22896"/>
    <n v="46640"/>
    <s v="2024-02"/>
    <x v="3"/>
    <x v="3"/>
    <x v="5"/>
    <n v="5596.8000000000029"/>
    <n v="19.36"/>
    <n v="10"/>
    <n v="21200"/>
    <n v="1696"/>
    <n v="18147.199999999997"/>
    <n v="0.44214876033057848"/>
  </r>
  <r>
    <s v="TX00622"/>
    <x v="13"/>
    <s v="S05"/>
    <x v="0"/>
    <x v="0"/>
    <n v="2816"/>
    <n v="24"/>
    <n v="0.13"/>
    <n v="58798.080000000002"/>
    <n v="36495.360000000001"/>
    <n v="67584"/>
    <s v="2024-02"/>
    <x v="4"/>
    <x v="0"/>
    <x v="0"/>
    <n v="8785.9199999999983"/>
    <n v="20.88"/>
    <n v="12"/>
    <n v="33792"/>
    <n v="2703.3600000000006"/>
    <n v="22302.720000000001"/>
    <n v="0.37931034482758619"/>
  </r>
  <r>
    <s v="TX00623"/>
    <x v="13"/>
    <s v="S05"/>
    <x v="1"/>
    <x v="0"/>
    <n v="2582"/>
    <n v="50"/>
    <n v="0.16"/>
    <n v="108444"/>
    <n v="78079.679999999993"/>
    <n v="129100"/>
    <s v="2024-02"/>
    <x v="4"/>
    <x v="0"/>
    <x v="1"/>
    <n v="20656"/>
    <n v="42"/>
    <n v="28"/>
    <n v="72296"/>
    <n v="5783.679999999993"/>
    <n v="30364.320000000007"/>
    <n v="0.28000000000000008"/>
  </r>
  <r>
    <s v="TX00624"/>
    <x v="13"/>
    <s v="S05"/>
    <x v="2"/>
    <x v="1"/>
    <n v="1799"/>
    <n v="28"/>
    <n v="0.14000000000000001"/>
    <n v="43319.92"/>
    <n v="29143.8"/>
    <n v="50372"/>
    <s v="2024-02"/>
    <x v="4"/>
    <x v="0"/>
    <x v="2"/>
    <n v="7052.0800000000017"/>
    <n v="24.08"/>
    <n v="15"/>
    <n v="26985"/>
    <n v="2158.7999999999993"/>
    <n v="14176.119999999999"/>
    <n v="0.3272425249169435"/>
  </r>
  <r>
    <s v="TX00625"/>
    <x v="13"/>
    <s v="S05"/>
    <x v="3"/>
    <x v="1"/>
    <n v="2965"/>
    <n v="35"/>
    <n v="0.13"/>
    <n v="90284.25"/>
    <n v="57639.6"/>
    <n v="103775"/>
    <s v="2024-02"/>
    <x v="4"/>
    <x v="0"/>
    <x v="2"/>
    <n v="13490.75"/>
    <n v="30.45"/>
    <n v="18"/>
    <n v="53370"/>
    <n v="4269.5999999999985"/>
    <n v="32644.65"/>
    <n v="0.36157635467980298"/>
  </r>
  <r>
    <s v="TX00626"/>
    <x v="13"/>
    <s v="S05"/>
    <x v="4"/>
    <x v="2"/>
    <n v="1509"/>
    <n v="18"/>
    <n v="0.17"/>
    <n v="22544.46"/>
    <n v="14667.48"/>
    <n v="27162"/>
    <s v="2024-02"/>
    <x v="4"/>
    <x v="0"/>
    <x v="3"/>
    <n v="4617.5400000000009"/>
    <n v="14.94"/>
    <n v="9"/>
    <n v="13581"/>
    <n v="1086.4799999999996"/>
    <n v="7876.98"/>
    <n v="0.3493975903614458"/>
  </r>
  <r>
    <s v="TX00627"/>
    <x v="13"/>
    <s v="S05"/>
    <x v="5"/>
    <x v="2"/>
    <n v="1496"/>
    <n v="30"/>
    <n v="0.16"/>
    <n v="37699.199999999997"/>
    <n v="22619.52"/>
    <n v="44880"/>
    <s v="2024-02"/>
    <x v="4"/>
    <x v="0"/>
    <x v="3"/>
    <n v="7180.8000000000029"/>
    <n v="25.2"/>
    <n v="14"/>
    <n v="20944"/>
    <n v="1675.5200000000004"/>
    <n v="15079.679999999997"/>
    <n v="0.39999999999999997"/>
  </r>
  <r>
    <s v="TX00628"/>
    <x v="13"/>
    <s v="S05"/>
    <x v="6"/>
    <x v="3"/>
    <n v="2024"/>
    <n v="40"/>
    <n v="0.16"/>
    <n v="68006.399999999994"/>
    <n v="43718.400000000001"/>
    <n v="80960"/>
    <s v="2024-02"/>
    <x v="4"/>
    <x v="0"/>
    <x v="4"/>
    <n v="12953.600000000006"/>
    <n v="33.599999999999994"/>
    <n v="20"/>
    <n v="40480"/>
    <n v="3238.4000000000015"/>
    <n v="24287.999999999993"/>
    <n v="0.35714285714285704"/>
  </r>
  <r>
    <s v="TX00629"/>
    <x v="13"/>
    <s v="S05"/>
    <x v="7"/>
    <x v="4"/>
    <n v="2780"/>
    <n v="10"/>
    <n v="0.15"/>
    <n v="23630"/>
    <n v="12009.6"/>
    <n v="27800"/>
    <s v="2024-02"/>
    <x v="4"/>
    <x v="0"/>
    <x v="5"/>
    <n v="4170"/>
    <n v="8.5"/>
    <n v="4"/>
    <n v="11120"/>
    <n v="889.60000000000036"/>
    <n v="11620.4"/>
    <n v="0.49176470588235294"/>
  </r>
  <r>
    <s v="TX00630"/>
    <x v="13"/>
    <s v="S05"/>
    <x v="8"/>
    <x v="4"/>
    <n v="2732"/>
    <n v="22"/>
    <n v="0.14000000000000001"/>
    <n v="51689.440000000002"/>
    <n v="29505.599999999999"/>
    <n v="60104"/>
    <s v="2024-02"/>
    <x v="4"/>
    <x v="0"/>
    <x v="5"/>
    <n v="8414.5599999999977"/>
    <n v="18.920000000000002"/>
    <n v="10"/>
    <n v="27320"/>
    <n v="2185.5999999999985"/>
    <n v="22183.840000000004"/>
    <n v="0.42917547568710362"/>
  </r>
  <r>
    <s v="TX00631"/>
    <x v="14"/>
    <s v="S01"/>
    <x v="0"/>
    <x v="0"/>
    <n v="1394"/>
    <n v="24"/>
    <n v="0.16"/>
    <n v="28103.040000000001"/>
    <n v="18066.240000000002"/>
    <n v="33456"/>
    <s v="2024-03"/>
    <x v="0"/>
    <x v="0"/>
    <x v="0"/>
    <n v="5352.9599999999991"/>
    <n v="20.16"/>
    <n v="12"/>
    <n v="16728"/>
    <n v="1338.2400000000016"/>
    <n v="10036.799999999999"/>
    <n v="0.3571428571428571"/>
  </r>
  <r>
    <s v="TX00632"/>
    <x v="14"/>
    <s v="S01"/>
    <x v="1"/>
    <x v="0"/>
    <n v="1386"/>
    <n v="50"/>
    <n v="0.16"/>
    <n v="58212"/>
    <n v="41912.639999999999"/>
    <n v="69300"/>
    <s v="2024-03"/>
    <x v="0"/>
    <x v="0"/>
    <x v="1"/>
    <n v="11088"/>
    <n v="42"/>
    <n v="28"/>
    <n v="38808"/>
    <n v="3104.6399999999994"/>
    <n v="16299.36"/>
    <n v="0.28000000000000003"/>
  </r>
  <r>
    <s v="TX00633"/>
    <x v="14"/>
    <s v="S01"/>
    <x v="2"/>
    <x v="1"/>
    <n v="1782"/>
    <n v="28"/>
    <n v="0.16"/>
    <n v="41912.639999999999"/>
    <n v="28868.400000000001"/>
    <n v="49896"/>
    <s v="2024-03"/>
    <x v="0"/>
    <x v="0"/>
    <x v="2"/>
    <n v="7983.3600000000006"/>
    <n v="23.52"/>
    <n v="15"/>
    <n v="26730"/>
    <n v="2138.4000000000015"/>
    <n v="13044.239999999998"/>
    <n v="0.31122448979591832"/>
  </r>
  <r>
    <s v="TX00634"/>
    <x v="14"/>
    <s v="S01"/>
    <x v="3"/>
    <x v="1"/>
    <n v="1808"/>
    <n v="35"/>
    <n v="0.13"/>
    <n v="55053.599999999999"/>
    <n v="35147.519999999997"/>
    <n v="63280"/>
    <s v="2024-03"/>
    <x v="0"/>
    <x v="0"/>
    <x v="2"/>
    <n v="8226.4000000000015"/>
    <n v="30.45"/>
    <n v="18"/>
    <n v="32544"/>
    <n v="2603.5199999999968"/>
    <n v="19906.080000000002"/>
    <n v="0.36157635467980298"/>
  </r>
  <r>
    <s v="TX00635"/>
    <x v="14"/>
    <s v="S01"/>
    <x v="4"/>
    <x v="2"/>
    <n v="1416"/>
    <n v="18"/>
    <n v="0.14000000000000001"/>
    <n v="21919.68"/>
    <n v="13763.52"/>
    <n v="25488"/>
    <s v="2024-03"/>
    <x v="0"/>
    <x v="0"/>
    <x v="3"/>
    <n v="3568.3199999999997"/>
    <n v="15.48"/>
    <n v="9"/>
    <n v="12744"/>
    <n v="1019.5200000000004"/>
    <n v="8156.16"/>
    <n v="0.37209302325581395"/>
  </r>
  <r>
    <s v="TX00636"/>
    <x v="14"/>
    <s v="S01"/>
    <x v="5"/>
    <x v="2"/>
    <n v="1584"/>
    <n v="30"/>
    <n v="0.14000000000000001"/>
    <n v="40867.199999999997"/>
    <n v="23950.080000000002"/>
    <n v="47520"/>
    <s v="2024-03"/>
    <x v="0"/>
    <x v="0"/>
    <x v="3"/>
    <n v="6652.8000000000029"/>
    <n v="25.799999999999997"/>
    <n v="14"/>
    <n v="22176"/>
    <n v="1774.0800000000017"/>
    <n v="16917.119999999995"/>
    <n v="0.41395348837209295"/>
  </r>
  <r>
    <s v="TX00637"/>
    <x v="14"/>
    <s v="S01"/>
    <x v="6"/>
    <x v="3"/>
    <n v="2486"/>
    <n v="40"/>
    <n v="0.13"/>
    <n v="86512.8"/>
    <n v="53697.599999999999"/>
    <n v="99440"/>
    <s v="2024-03"/>
    <x v="0"/>
    <x v="0"/>
    <x v="4"/>
    <n v="12927.199999999997"/>
    <n v="34.800000000000004"/>
    <n v="20"/>
    <n v="49720"/>
    <n v="3977.5999999999985"/>
    <n v="32815.200000000004"/>
    <n v="0.37931034482758624"/>
  </r>
  <r>
    <s v="TX00638"/>
    <x v="14"/>
    <s v="S01"/>
    <x v="7"/>
    <x v="4"/>
    <n v="1953"/>
    <n v="10"/>
    <n v="0.13"/>
    <n v="16991.099999999999"/>
    <n v="8436.9599999999991"/>
    <n v="19530"/>
    <s v="2024-03"/>
    <x v="0"/>
    <x v="0"/>
    <x v="5"/>
    <n v="2538.9000000000015"/>
    <n v="8.6999999999999993"/>
    <n v="4"/>
    <n v="7812"/>
    <n v="624.95999999999913"/>
    <n v="8554.14"/>
    <n v="0.50344827586206897"/>
  </r>
  <r>
    <s v="TX00639"/>
    <x v="14"/>
    <s v="S01"/>
    <x v="8"/>
    <x v="4"/>
    <n v="1672"/>
    <n v="22"/>
    <n v="0.13"/>
    <n v="32002.080000000002"/>
    <n v="18057.599999999999"/>
    <n v="36784"/>
    <s v="2024-03"/>
    <x v="0"/>
    <x v="0"/>
    <x v="5"/>
    <n v="4781.9199999999983"/>
    <n v="19.14"/>
    <n v="10"/>
    <n v="16720"/>
    <n v="1337.5999999999985"/>
    <n v="13944.480000000003"/>
    <n v="0.43573667711598751"/>
  </r>
  <r>
    <s v="TX00640"/>
    <x v="14"/>
    <s v="S02"/>
    <x v="0"/>
    <x v="0"/>
    <n v="1777"/>
    <n v="24"/>
    <n v="0.12"/>
    <n v="37530.239999999998"/>
    <n v="23029.919999999998"/>
    <n v="42648"/>
    <s v="2024-03"/>
    <x v="1"/>
    <x v="1"/>
    <x v="0"/>
    <n v="5117.760000000002"/>
    <n v="21.119999999999997"/>
    <n v="12"/>
    <n v="21324"/>
    <n v="1705.9199999999983"/>
    <n v="14500.32"/>
    <n v="0.38636363636363635"/>
  </r>
  <r>
    <s v="TX00641"/>
    <x v="14"/>
    <s v="S02"/>
    <x v="1"/>
    <x v="0"/>
    <n v="2824"/>
    <n v="50"/>
    <n v="0.16"/>
    <n v="118608"/>
    <n v="85397.759999999995"/>
    <n v="141200"/>
    <s v="2024-03"/>
    <x v="1"/>
    <x v="1"/>
    <x v="1"/>
    <n v="22592"/>
    <n v="42"/>
    <n v="28"/>
    <n v="79072"/>
    <n v="6325.7599999999948"/>
    <n v="33210.240000000005"/>
    <n v="0.28000000000000003"/>
  </r>
  <r>
    <s v="TX00642"/>
    <x v="14"/>
    <s v="S02"/>
    <x v="2"/>
    <x v="1"/>
    <n v="1482"/>
    <n v="28"/>
    <n v="0.12"/>
    <n v="36516.480000000003"/>
    <n v="24008.400000000001"/>
    <n v="41496"/>
    <s v="2024-03"/>
    <x v="1"/>
    <x v="1"/>
    <x v="2"/>
    <n v="4979.5199999999968"/>
    <n v="24.64"/>
    <n v="15"/>
    <n v="22230"/>
    <n v="1778.4000000000015"/>
    <n v="12508.080000000002"/>
    <n v="0.34253246753246758"/>
  </r>
  <r>
    <s v="TX00643"/>
    <x v="14"/>
    <s v="S02"/>
    <x v="3"/>
    <x v="1"/>
    <n v="2279"/>
    <n v="35"/>
    <n v="0.12"/>
    <n v="70193.2"/>
    <n v="44303.76"/>
    <n v="79765"/>
    <s v="2024-03"/>
    <x v="1"/>
    <x v="1"/>
    <x v="2"/>
    <n v="9571.8000000000029"/>
    <n v="30.799999999999997"/>
    <n v="18"/>
    <n v="41022"/>
    <n v="3281.760000000002"/>
    <n v="25889.439999999995"/>
    <n v="0.36883116883116879"/>
  </r>
  <r>
    <s v="TX00644"/>
    <x v="14"/>
    <s v="S02"/>
    <x v="4"/>
    <x v="2"/>
    <n v="1465"/>
    <n v="18"/>
    <n v="0.16"/>
    <n v="22150.799999999999"/>
    <n v="14239.8"/>
    <n v="26370"/>
    <s v="2024-03"/>
    <x v="1"/>
    <x v="1"/>
    <x v="3"/>
    <n v="4219.2000000000007"/>
    <n v="15.12"/>
    <n v="9"/>
    <n v="13185"/>
    <n v="1054.7999999999993"/>
    <n v="7911"/>
    <n v="0.35714285714285715"/>
  </r>
  <r>
    <s v="TX00645"/>
    <x v="14"/>
    <s v="S02"/>
    <x v="5"/>
    <x v="2"/>
    <n v="2098"/>
    <n v="30"/>
    <n v="0.16"/>
    <n v="52869.599999999999"/>
    <n v="31721.759999999998"/>
    <n v="62940"/>
    <s v="2024-03"/>
    <x v="1"/>
    <x v="1"/>
    <x v="3"/>
    <n v="10070.400000000001"/>
    <n v="25.2"/>
    <n v="14"/>
    <n v="29372"/>
    <n v="2349.7599999999984"/>
    <n v="21147.84"/>
    <n v="0.4"/>
  </r>
  <r>
    <s v="TX00646"/>
    <x v="14"/>
    <s v="S02"/>
    <x v="6"/>
    <x v="3"/>
    <n v="2904"/>
    <n v="40"/>
    <n v="0.13"/>
    <n v="101059.2"/>
    <n v="62726.400000000001"/>
    <n v="116160"/>
    <s v="2024-03"/>
    <x v="1"/>
    <x v="1"/>
    <x v="4"/>
    <n v="15100.800000000003"/>
    <n v="34.799999999999997"/>
    <n v="20"/>
    <n v="58080"/>
    <n v="4646.4000000000015"/>
    <n v="38332.799999999996"/>
    <n v="0.37931034482758619"/>
  </r>
  <r>
    <s v="TX00647"/>
    <x v="14"/>
    <s v="S02"/>
    <x v="7"/>
    <x v="4"/>
    <n v="2569"/>
    <n v="10"/>
    <n v="0.14000000000000001"/>
    <n v="22093.4"/>
    <n v="11098.08"/>
    <n v="25690"/>
    <s v="2024-03"/>
    <x v="1"/>
    <x v="1"/>
    <x v="5"/>
    <n v="3596.5999999999985"/>
    <n v="8.6000000000000014"/>
    <n v="4"/>
    <n v="10276"/>
    <n v="822.07999999999993"/>
    <n v="10995.320000000002"/>
    <n v="0.49767441860465123"/>
  </r>
  <r>
    <s v="TX00648"/>
    <x v="14"/>
    <s v="S02"/>
    <x v="8"/>
    <x v="4"/>
    <n v="1509"/>
    <n v="22"/>
    <n v="0.13"/>
    <n v="28882.26"/>
    <n v="16297.2"/>
    <n v="33198"/>
    <s v="2024-03"/>
    <x v="1"/>
    <x v="1"/>
    <x v="5"/>
    <n v="4315.7400000000016"/>
    <n v="19.14"/>
    <n v="10"/>
    <n v="15090"/>
    <n v="1207.2000000000007"/>
    <n v="12585.059999999998"/>
    <n v="0.4357366771159874"/>
  </r>
  <r>
    <s v="TX00649"/>
    <x v="14"/>
    <s v="S03"/>
    <x v="0"/>
    <x v="0"/>
    <n v="2622"/>
    <n v="24"/>
    <n v="0.13"/>
    <n v="54747.360000000001"/>
    <n v="33981.120000000003"/>
    <n v="62928"/>
    <s v="2024-03"/>
    <x v="2"/>
    <x v="2"/>
    <x v="0"/>
    <n v="8180.6399999999994"/>
    <n v="20.88"/>
    <n v="12"/>
    <n v="31464"/>
    <n v="2517.1200000000026"/>
    <n v="20766.239999999998"/>
    <n v="0.37931034482758619"/>
  </r>
  <r>
    <s v="TX00650"/>
    <x v="14"/>
    <s v="S03"/>
    <x v="1"/>
    <x v="0"/>
    <n v="1460"/>
    <n v="50"/>
    <n v="0.14000000000000001"/>
    <n v="62780"/>
    <n v="44150.400000000001"/>
    <n v="73000"/>
    <s v="2024-03"/>
    <x v="2"/>
    <x v="2"/>
    <x v="1"/>
    <n v="10220"/>
    <n v="43"/>
    <n v="28"/>
    <n v="40880"/>
    <n v="3270.4000000000015"/>
    <n v="18629.599999999999"/>
    <n v="0.29674418604651159"/>
  </r>
  <r>
    <s v="TX00651"/>
    <x v="14"/>
    <s v="S03"/>
    <x v="2"/>
    <x v="1"/>
    <n v="2860"/>
    <n v="28"/>
    <n v="0.13"/>
    <n v="69669.600000000006"/>
    <n v="46332"/>
    <n v="80080"/>
    <s v="2024-03"/>
    <x v="2"/>
    <x v="2"/>
    <x v="2"/>
    <n v="10410.399999999994"/>
    <n v="24.360000000000003"/>
    <n v="15"/>
    <n v="42900"/>
    <n v="3432"/>
    <n v="23337.600000000006"/>
    <n v="0.33497536945812811"/>
  </r>
  <r>
    <s v="TX00652"/>
    <x v="14"/>
    <s v="S03"/>
    <x v="3"/>
    <x v="1"/>
    <n v="3075"/>
    <n v="35"/>
    <n v="0.14000000000000001"/>
    <n v="92557.5"/>
    <n v="59778"/>
    <n v="107625"/>
    <s v="2024-03"/>
    <x v="2"/>
    <x v="2"/>
    <x v="2"/>
    <n v="15067.5"/>
    <n v="30.1"/>
    <n v="18"/>
    <n v="55350"/>
    <n v="4428"/>
    <n v="32779.5"/>
    <n v="0.35415282392026576"/>
  </r>
  <r>
    <s v="TX00653"/>
    <x v="14"/>
    <s v="S03"/>
    <x v="4"/>
    <x v="2"/>
    <n v="1936"/>
    <n v="18"/>
    <n v="0.16"/>
    <n v="29272.32"/>
    <n v="18817.919999999998"/>
    <n v="34848"/>
    <s v="2024-03"/>
    <x v="2"/>
    <x v="2"/>
    <x v="3"/>
    <n v="5575.68"/>
    <n v="15.12"/>
    <n v="9"/>
    <n v="17424"/>
    <n v="1393.9199999999983"/>
    <n v="10454.400000000001"/>
    <n v="0.35714285714285721"/>
  </r>
  <r>
    <s v="TX00654"/>
    <x v="14"/>
    <s v="S03"/>
    <x v="5"/>
    <x v="2"/>
    <n v="1865"/>
    <n v="30"/>
    <n v="0.15"/>
    <n v="47557.5"/>
    <n v="28198.799999999999"/>
    <n v="55950"/>
    <s v="2024-03"/>
    <x v="2"/>
    <x v="2"/>
    <x v="3"/>
    <n v="8392.5"/>
    <n v="25.5"/>
    <n v="14"/>
    <n v="26110"/>
    <n v="2088.7999999999993"/>
    <n v="19358.7"/>
    <n v="0.40705882352941181"/>
  </r>
  <r>
    <s v="TX00655"/>
    <x v="14"/>
    <s v="S03"/>
    <x v="6"/>
    <x v="3"/>
    <n v="1892"/>
    <n v="40"/>
    <n v="0.16"/>
    <n v="63571.199999999997"/>
    <n v="40867.199999999997"/>
    <n v="75680"/>
    <s v="2024-03"/>
    <x v="2"/>
    <x v="2"/>
    <x v="4"/>
    <n v="12108.800000000003"/>
    <n v="33.6"/>
    <n v="20"/>
    <n v="37840"/>
    <n v="3027.1999999999971"/>
    <n v="22704"/>
    <n v="0.35714285714285715"/>
  </r>
  <r>
    <s v="TX00656"/>
    <x v="14"/>
    <s v="S03"/>
    <x v="7"/>
    <x v="4"/>
    <n v="2477"/>
    <n v="10"/>
    <n v="0.14000000000000001"/>
    <n v="21302.2"/>
    <n v="10700.64"/>
    <n v="24770"/>
    <s v="2024-03"/>
    <x v="2"/>
    <x v="2"/>
    <x v="5"/>
    <n v="3467.7999999999993"/>
    <n v="8.6"/>
    <n v="4"/>
    <n v="9908"/>
    <n v="792.63999999999942"/>
    <n v="10601.560000000001"/>
    <n v="0.49767441860465123"/>
  </r>
  <r>
    <s v="TX00657"/>
    <x v="14"/>
    <s v="S03"/>
    <x v="8"/>
    <x v="4"/>
    <n v="2578"/>
    <n v="22"/>
    <n v="0.17"/>
    <n v="47074.28"/>
    <n v="27842.400000000001"/>
    <n v="56716"/>
    <s v="2024-03"/>
    <x v="2"/>
    <x v="2"/>
    <x v="5"/>
    <n v="9641.7200000000012"/>
    <n v="18.259999999999998"/>
    <n v="10"/>
    <n v="25780"/>
    <n v="2062.4000000000015"/>
    <n v="19231.879999999997"/>
    <n v="0.40854326396495066"/>
  </r>
  <r>
    <s v="TX00658"/>
    <x v="14"/>
    <s v="S04"/>
    <x v="0"/>
    <x v="0"/>
    <n v="2191"/>
    <n v="24"/>
    <n v="0.13"/>
    <n v="45748.08"/>
    <n v="28395.360000000001"/>
    <n v="52584"/>
    <s v="2024-03"/>
    <x v="3"/>
    <x v="3"/>
    <x v="0"/>
    <n v="6835.9199999999983"/>
    <n v="20.880000000000003"/>
    <n v="12"/>
    <n v="26292"/>
    <n v="2103.3600000000006"/>
    <n v="17352.72"/>
    <n v="0.37931034482758624"/>
  </r>
  <r>
    <s v="TX00659"/>
    <x v="14"/>
    <s v="S04"/>
    <x v="1"/>
    <x v="0"/>
    <n v="2310"/>
    <n v="50"/>
    <n v="0.15"/>
    <n v="98175"/>
    <n v="69854.399999999994"/>
    <n v="115500"/>
    <s v="2024-03"/>
    <x v="3"/>
    <x v="3"/>
    <x v="1"/>
    <n v="17325"/>
    <n v="42.5"/>
    <n v="28"/>
    <n v="64680"/>
    <n v="5174.3999999999942"/>
    <n v="28320.600000000006"/>
    <n v="0.2884705882352942"/>
  </r>
  <r>
    <s v="TX00660"/>
    <x v="14"/>
    <s v="S04"/>
    <x v="2"/>
    <x v="1"/>
    <n v="2877"/>
    <n v="28"/>
    <n v="0.16"/>
    <n v="67667.039999999994"/>
    <n v="46607.4"/>
    <n v="80556"/>
    <s v="2024-03"/>
    <x v="3"/>
    <x v="3"/>
    <x v="2"/>
    <n v="12888.960000000006"/>
    <n v="23.519999999999996"/>
    <n v="15"/>
    <n v="43155"/>
    <n v="3452.4000000000015"/>
    <n v="21059.639999999992"/>
    <n v="0.31122448979591827"/>
  </r>
  <r>
    <s v="TX00661"/>
    <x v="14"/>
    <s v="S04"/>
    <x v="3"/>
    <x v="1"/>
    <n v="2930"/>
    <n v="35"/>
    <n v="0.16"/>
    <n v="86142"/>
    <n v="56959.199999999997"/>
    <n v="102550"/>
    <s v="2024-03"/>
    <x v="3"/>
    <x v="3"/>
    <x v="2"/>
    <n v="16408"/>
    <n v="29.4"/>
    <n v="18"/>
    <n v="52740"/>
    <n v="4219.1999999999971"/>
    <n v="29182.800000000003"/>
    <n v="0.33877551020408164"/>
  </r>
  <r>
    <s v="TX00662"/>
    <x v="14"/>
    <s v="S04"/>
    <x v="4"/>
    <x v="2"/>
    <n v="1460"/>
    <n v="18"/>
    <n v="0.16"/>
    <n v="22075.200000000001"/>
    <n v="14191.2"/>
    <n v="26280"/>
    <s v="2024-03"/>
    <x v="3"/>
    <x v="3"/>
    <x v="3"/>
    <n v="4204.7999999999993"/>
    <n v="15.120000000000001"/>
    <n v="9"/>
    <n v="13140"/>
    <n v="1051.2000000000007"/>
    <n v="7884"/>
    <n v="0.35714285714285715"/>
  </r>
  <r>
    <s v="TX00663"/>
    <x v="14"/>
    <s v="S04"/>
    <x v="5"/>
    <x v="2"/>
    <n v="2292"/>
    <n v="30"/>
    <n v="0.13"/>
    <n v="59821.2"/>
    <n v="34655.040000000001"/>
    <n v="68760"/>
    <s v="2024-03"/>
    <x v="3"/>
    <x v="3"/>
    <x v="3"/>
    <n v="8938.8000000000029"/>
    <n v="26.099999999999998"/>
    <n v="14"/>
    <n v="32088"/>
    <n v="2567.0400000000009"/>
    <n v="25166.159999999996"/>
    <n v="0.42068965517241375"/>
  </r>
  <r>
    <s v="TX00664"/>
    <x v="14"/>
    <s v="S04"/>
    <x v="6"/>
    <x v="3"/>
    <n v="2987"/>
    <n v="40"/>
    <n v="0.17"/>
    <n v="99168.4"/>
    <n v="64519.199999999997"/>
    <n v="119480"/>
    <s v="2024-03"/>
    <x v="3"/>
    <x v="3"/>
    <x v="4"/>
    <n v="20311.600000000006"/>
    <n v="33.199999999999996"/>
    <n v="20"/>
    <n v="59740"/>
    <n v="4779.1999999999971"/>
    <n v="34649.199999999997"/>
    <n v="0.3493975903614458"/>
  </r>
  <r>
    <s v="TX00665"/>
    <x v="14"/>
    <s v="S04"/>
    <x v="7"/>
    <x v="4"/>
    <n v="2666"/>
    <n v="10"/>
    <n v="0.12"/>
    <n v="23460.799999999999"/>
    <n v="11517.12"/>
    <n v="26660"/>
    <s v="2024-03"/>
    <x v="3"/>
    <x v="3"/>
    <x v="5"/>
    <n v="3199.2000000000007"/>
    <n v="8.7999999999999989"/>
    <n v="4"/>
    <n v="10664"/>
    <n v="853.1200000000008"/>
    <n v="11943.679999999998"/>
    <n v="0.50909090909090904"/>
  </r>
  <r>
    <s v="TX00666"/>
    <x v="14"/>
    <s v="S04"/>
    <x v="8"/>
    <x v="4"/>
    <n v="1799"/>
    <n v="22"/>
    <n v="0.16"/>
    <n v="33245.519999999997"/>
    <n v="19429.2"/>
    <n v="39578"/>
    <s v="2024-03"/>
    <x v="3"/>
    <x v="3"/>
    <x v="5"/>
    <n v="6332.4800000000032"/>
    <n v="18.479999999999997"/>
    <n v="10"/>
    <n v="17990"/>
    <n v="1439.2000000000007"/>
    <n v="13816.319999999996"/>
    <n v="0.4155844155844155"/>
  </r>
  <r>
    <s v="TX00667"/>
    <x v="14"/>
    <s v="S05"/>
    <x v="0"/>
    <x v="0"/>
    <n v="1324"/>
    <n v="24"/>
    <n v="0.17"/>
    <n v="26374.080000000002"/>
    <n v="17159.04"/>
    <n v="31776"/>
    <s v="2024-03"/>
    <x v="4"/>
    <x v="0"/>
    <x v="0"/>
    <n v="5401.9199999999983"/>
    <n v="19.920000000000002"/>
    <n v="12"/>
    <n v="15888"/>
    <n v="1271.0400000000009"/>
    <n v="9215.0400000000009"/>
    <n v="0.3493975903614458"/>
  </r>
  <r>
    <s v="TX00668"/>
    <x v="14"/>
    <s v="S05"/>
    <x v="1"/>
    <x v="0"/>
    <n v="1372"/>
    <n v="50"/>
    <n v="0.17"/>
    <n v="56938"/>
    <n v="41489.279999999999"/>
    <n v="68600"/>
    <s v="2024-03"/>
    <x v="4"/>
    <x v="0"/>
    <x v="1"/>
    <n v="11662"/>
    <n v="41.5"/>
    <n v="28"/>
    <n v="38416"/>
    <n v="3073.2799999999988"/>
    <n v="15448.720000000001"/>
    <n v="0.27132530120481929"/>
  </r>
  <r>
    <s v="TX00669"/>
    <x v="14"/>
    <s v="S05"/>
    <x v="2"/>
    <x v="1"/>
    <n v="2134"/>
    <n v="28"/>
    <n v="0.13"/>
    <n v="51984.24"/>
    <n v="34570.800000000003"/>
    <n v="59752"/>
    <s v="2024-03"/>
    <x v="4"/>
    <x v="0"/>
    <x v="2"/>
    <n v="7767.760000000002"/>
    <n v="24.36"/>
    <n v="15"/>
    <n v="32010"/>
    <n v="2560.8000000000029"/>
    <n v="17413.439999999995"/>
    <n v="0.334975369458128"/>
  </r>
  <r>
    <s v="TX00670"/>
    <x v="14"/>
    <s v="S05"/>
    <x v="3"/>
    <x v="1"/>
    <n v="2204"/>
    <n v="35"/>
    <n v="0.16"/>
    <n v="64797.599999999999"/>
    <n v="42845.760000000002"/>
    <n v="77140"/>
    <s v="2024-03"/>
    <x v="4"/>
    <x v="0"/>
    <x v="2"/>
    <n v="12342.400000000001"/>
    <n v="29.4"/>
    <n v="18"/>
    <n v="39672"/>
    <n v="3173.760000000002"/>
    <n v="21951.839999999997"/>
    <n v="0.33877551020408159"/>
  </r>
  <r>
    <s v="TX00671"/>
    <x v="14"/>
    <s v="S05"/>
    <x v="4"/>
    <x v="2"/>
    <n v="2745"/>
    <n v="18"/>
    <n v="0.12"/>
    <n v="43480.800000000003"/>
    <n v="26681.4"/>
    <n v="49410"/>
    <s v="2024-03"/>
    <x v="4"/>
    <x v="0"/>
    <x v="3"/>
    <n v="5929.1999999999971"/>
    <n v="15.840000000000002"/>
    <n v="9"/>
    <n v="24705"/>
    <n v="1976.4000000000015"/>
    <n v="16799.400000000001"/>
    <n v="0.38636363636363635"/>
  </r>
  <r>
    <s v="TX00672"/>
    <x v="14"/>
    <s v="S05"/>
    <x v="5"/>
    <x v="2"/>
    <n v="2503"/>
    <n v="30"/>
    <n v="0.12"/>
    <n v="66079.199999999997"/>
    <n v="37845.360000000001"/>
    <n v="75090"/>
    <s v="2024-03"/>
    <x v="4"/>
    <x v="0"/>
    <x v="3"/>
    <n v="9010.8000000000029"/>
    <n v="26.4"/>
    <n v="14"/>
    <n v="35042"/>
    <n v="2803.3600000000006"/>
    <n v="28233.839999999997"/>
    <n v="0.42727272727272725"/>
  </r>
  <r>
    <s v="TX00673"/>
    <x v="14"/>
    <s v="S05"/>
    <x v="6"/>
    <x v="3"/>
    <n v="2644"/>
    <n v="40"/>
    <n v="0.14000000000000001"/>
    <n v="90953.600000000006"/>
    <n v="57110.400000000001"/>
    <n v="105760"/>
    <s v="2024-03"/>
    <x v="4"/>
    <x v="0"/>
    <x v="4"/>
    <n v="14806.399999999994"/>
    <n v="34.400000000000006"/>
    <n v="20"/>
    <n v="52880"/>
    <n v="4230.4000000000015"/>
    <n v="33843.200000000004"/>
    <n v="0.372093023255814"/>
  </r>
  <r>
    <s v="TX00674"/>
    <x v="14"/>
    <s v="S05"/>
    <x v="7"/>
    <x v="4"/>
    <n v="1852"/>
    <n v="10"/>
    <n v="0.15"/>
    <n v="15742"/>
    <n v="8000.64"/>
    <n v="18520"/>
    <s v="2024-03"/>
    <x v="4"/>
    <x v="0"/>
    <x v="5"/>
    <n v="2778"/>
    <n v="8.5"/>
    <n v="4"/>
    <n v="7408"/>
    <n v="592.64000000000033"/>
    <n v="7741.36"/>
    <n v="0.49176470588235294"/>
  </r>
  <r>
    <s v="TX00675"/>
    <x v="14"/>
    <s v="S05"/>
    <x v="8"/>
    <x v="4"/>
    <n v="1403"/>
    <n v="22"/>
    <n v="0.15"/>
    <n v="26236.1"/>
    <n v="15152.4"/>
    <n v="30866"/>
    <s v="2024-03"/>
    <x v="4"/>
    <x v="0"/>
    <x v="5"/>
    <n v="4629.9000000000015"/>
    <n v="18.7"/>
    <n v="10"/>
    <n v="14030"/>
    <n v="1122.3999999999996"/>
    <n v="11083.699999999999"/>
    <n v="0.42245989304812831"/>
  </r>
  <r>
    <s v="TX00676"/>
    <x v="15"/>
    <s v="S01"/>
    <x v="0"/>
    <x v="0"/>
    <n v="2411"/>
    <n v="24"/>
    <n v="0.17"/>
    <n v="48027.12"/>
    <n v="31246.560000000001"/>
    <n v="57864"/>
    <s v="2024-04"/>
    <x v="0"/>
    <x v="0"/>
    <x v="0"/>
    <n v="9836.8799999999974"/>
    <n v="19.920000000000002"/>
    <n v="12"/>
    <n v="28932"/>
    <n v="2314.5600000000013"/>
    <n v="16780.560000000001"/>
    <n v="0.3493975903614458"/>
  </r>
  <r>
    <s v="TX00677"/>
    <x v="15"/>
    <s v="S01"/>
    <x v="1"/>
    <x v="0"/>
    <n v="1729"/>
    <n v="50"/>
    <n v="0.16"/>
    <n v="72618"/>
    <n v="52284.959999999999"/>
    <n v="86450"/>
    <s v="2024-04"/>
    <x v="0"/>
    <x v="0"/>
    <x v="1"/>
    <n v="13832"/>
    <n v="42"/>
    <n v="28"/>
    <n v="48412"/>
    <n v="3872.9599999999991"/>
    <n v="20333.04"/>
    <n v="0.28000000000000003"/>
  </r>
  <r>
    <s v="TX00678"/>
    <x v="15"/>
    <s v="S01"/>
    <x v="2"/>
    <x v="1"/>
    <n v="2450"/>
    <n v="28"/>
    <n v="0.16"/>
    <n v="57624"/>
    <n v="39690"/>
    <n v="68600"/>
    <s v="2024-04"/>
    <x v="0"/>
    <x v="0"/>
    <x v="2"/>
    <n v="10976"/>
    <n v="23.52"/>
    <n v="15"/>
    <n v="36750"/>
    <n v="2940"/>
    <n v="17934"/>
    <n v="0.31122448979591838"/>
  </r>
  <r>
    <s v="TX00679"/>
    <x v="15"/>
    <s v="S01"/>
    <x v="3"/>
    <x v="1"/>
    <n v="2754"/>
    <n v="35"/>
    <n v="0.14000000000000001"/>
    <n v="82895.399999999994"/>
    <n v="53537.760000000002"/>
    <n v="96390"/>
    <s v="2024-04"/>
    <x v="0"/>
    <x v="0"/>
    <x v="2"/>
    <n v="13494.600000000006"/>
    <n v="30.099999999999998"/>
    <n v="18"/>
    <n v="49572"/>
    <n v="3965.760000000002"/>
    <n v="29357.639999999992"/>
    <n v="0.3541528239202657"/>
  </r>
  <r>
    <s v="TX00680"/>
    <x v="15"/>
    <s v="S01"/>
    <x v="4"/>
    <x v="2"/>
    <n v="2802"/>
    <n v="18"/>
    <n v="0.16"/>
    <n v="42366.239999999998"/>
    <n v="27235.439999999999"/>
    <n v="50436"/>
    <s v="2024-04"/>
    <x v="0"/>
    <x v="0"/>
    <x v="3"/>
    <n v="8069.760000000002"/>
    <n v="15.12"/>
    <n v="9"/>
    <n v="25218"/>
    <n v="2017.4399999999987"/>
    <n v="15130.8"/>
    <n v="0.35714285714285715"/>
  </r>
  <r>
    <s v="TX00681"/>
    <x v="15"/>
    <s v="S01"/>
    <x v="5"/>
    <x v="2"/>
    <n v="2503"/>
    <n v="30"/>
    <n v="0.17"/>
    <n v="62324.7"/>
    <n v="37845.360000000001"/>
    <n v="75090"/>
    <s v="2024-04"/>
    <x v="0"/>
    <x v="0"/>
    <x v="3"/>
    <n v="12765.300000000003"/>
    <n v="24.9"/>
    <n v="14"/>
    <n v="35042"/>
    <n v="2803.3600000000006"/>
    <n v="24479.339999999997"/>
    <n v="0.39277108433734936"/>
  </r>
  <r>
    <s v="TX00682"/>
    <x v="15"/>
    <s v="S01"/>
    <x v="6"/>
    <x v="3"/>
    <n v="1575"/>
    <n v="40"/>
    <n v="0.15"/>
    <n v="53550"/>
    <n v="34020"/>
    <n v="63000"/>
    <s v="2024-04"/>
    <x v="0"/>
    <x v="0"/>
    <x v="4"/>
    <n v="9450"/>
    <n v="34"/>
    <n v="20"/>
    <n v="31500"/>
    <n v="2520"/>
    <n v="19530"/>
    <n v="0.36470588235294116"/>
  </r>
  <r>
    <s v="TX00683"/>
    <x v="15"/>
    <s v="S01"/>
    <x v="7"/>
    <x v="4"/>
    <n v="1786"/>
    <n v="10"/>
    <n v="0.16"/>
    <n v="15002.4"/>
    <n v="7715.52"/>
    <n v="17860"/>
    <s v="2024-04"/>
    <x v="0"/>
    <x v="0"/>
    <x v="5"/>
    <n v="2857.6000000000004"/>
    <n v="8.4"/>
    <n v="4"/>
    <n v="7144"/>
    <n v="571.52000000000044"/>
    <n v="7286.8799999999992"/>
    <n v="0.48571428571428565"/>
  </r>
  <r>
    <s v="TX00684"/>
    <x v="15"/>
    <s v="S01"/>
    <x v="8"/>
    <x v="4"/>
    <n v="1403"/>
    <n v="22"/>
    <n v="0.17"/>
    <n v="25618.78"/>
    <n v="15152.4"/>
    <n v="30866"/>
    <s v="2024-04"/>
    <x v="0"/>
    <x v="0"/>
    <x v="5"/>
    <n v="5247.2200000000012"/>
    <n v="18.259999999999998"/>
    <n v="10"/>
    <n v="14030"/>
    <n v="1122.3999999999996"/>
    <n v="10466.379999999999"/>
    <n v="0.40854326396495072"/>
  </r>
  <r>
    <s v="TX00685"/>
    <x v="15"/>
    <s v="S02"/>
    <x v="0"/>
    <x v="0"/>
    <n v="1425"/>
    <n v="24"/>
    <n v="0.17"/>
    <n v="28386"/>
    <n v="18468"/>
    <n v="34200"/>
    <s v="2024-04"/>
    <x v="1"/>
    <x v="1"/>
    <x v="0"/>
    <n v="5814"/>
    <n v="19.920000000000002"/>
    <n v="12"/>
    <n v="17100"/>
    <n v="1368"/>
    <n v="9918"/>
    <n v="0.3493975903614458"/>
  </r>
  <r>
    <s v="TX00686"/>
    <x v="15"/>
    <s v="S02"/>
    <x v="1"/>
    <x v="0"/>
    <n v="2156"/>
    <n v="50"/>
    <n v="0.13"/>
    <n v="93786"/>
    <n v="65197.440000000002"/>
    <n v="107800"/>
    <s v="2024-04"/>
    <x v="1"/>
    <x v="1"/>
    <x v="1"/>
    <n v="14014"/>
    <n v="43.5"/>
    <n v="28"/>
    <n v="60368"/>
    <n v="4829.4400000000023"/>
    <n v="28588.559999999998"/>
    <n v="0.30482758620689654"/>
  </r>
  <r>
    <s v="TX00687"/>
    <x v="15"/>
    <s v="S02"/>
    <x v="2"/>
    <x v="1"/>
    <n v="1438"/>
    <n v="28"/>
    <n v="0.12"/>
    <n v="35432.32"/>
    <n v="23295.599999999999"/>
    <n v="40264"/>
    <s v="2024-04"/>
    <x v="1"/>
    <x v="1"/>
    <x v="2"/>
    <n v="4831.68"/>
    <n v="24.64"/>
    <n v="15"/>
    <n v="21570"/>
    <n v="1725.5999999999985"/>
    <n v="12136.720000000001"/>
    <n v="0.34253246753246758"/>
  </r>
  <r>
    <s v="TX00688"/>
    <x v="15"/>
    <s v="S02"/>
    <x v="3"/>
    <x v="1"/>
    <n v="1804"/>
    <n v="35"/>
    <n v="0.16"/>
    <n v="53037.599999999999"/>
    <n v="35069.760000000002"/>
    <n v="63140"/>
    <s v="2024-04"/>
    <x v="1"/>
    <x v="1"/>
    <x v="2"/>
    <n v="10102.400000000001"/>
    <n v="29.4"/>
    <n v="18"/>
    <n v="32472"/>
    <n v="2597.760000000002"/>
    <n v="17967.839999999997"/>
    <n v="0.33877551020408159"/>
  </r>
  <r>
    <s v="TX00689"/>
    <x v="15"/>
    <s v="S02"/>
    <x v="4"/>
    <x v="2"/>
    <n v="2780"/>
    <n v="18"/>
    <n v="0.15"/>
    <n v="42534"/>
    <n v="27021.599999999999"/>
    <n v="50040"/>
    <s v="2024-04"/>
    <x v="1"/>
    <x v="1"/>
    <x v="3"/>
    <n v="7506"/>
    <n v="15.3"/>
    <n v="9"/>
    <n v="25020"/>
    <n v="2001.5999999999985"/>
    <n v="15512.400000000001"/>
    <n v="0.36470588235294121"/>
  </r>
  <r>
    <s v="TX00690"/>
    <x v="15"/>
    <s v="S02"/>
    <x v="5"/>
    <x v="2"/>
    <n v="1500"/>
    <n v="30"/>
    <n v="0.16"/>
    <n v="37800"/>
    <n v="22680"/>
    <n v="45000"/>
    <s v="2024-04"/>
    <x v="1"/>
    <x v="1"/>
    <x v="3"/>
    <n v="7200"/>
    <n v="25.2"/>
    <n v="14"/>
    <n v="21000"/>
    <n v="1680"/>
    <n v="15120"/>
    <n v="0.4"/>
  </r>
  <r>
    <s v="TX00691"/>
    <x v="15"/>
    <s v="S02"/>
    <x v="6"/>
    <x v="3"/>
    <n v="2371"/>
    <n v="40"/>
    <n v="0.14000000000000001"/>
    <n v="81562.399999999994"/>
    <n v="51213.599999999999"/>
    <n v="94840"/>
    <s v="2024-04"/>
    <x v="1"/>
    <x v="1"/>
    <x v="4"/>
    <n v="13277.600000000006"/>
    <n v="34.4"/>
    <n v="20"/>
    <n v="47420"/>
    <n v="3793.5999999999985"/>
    <n v="30348.799999999996"/>
    <n v="0.37209302325581395"/>
  </r>
  <r>
    <s v="TX00692"/>
    <x v="15"/>
    <s v="S02"/>
    <x v="7"/>
    <x v="4"/>
    <n v="1650"/>
    <n v="10"/>
    <n v="0.13"/>
    <n v="14355"/>
    <n v="7128"/>
    <n v="16500"/>
    <s v="2024-04"/>
    <x v="1"/>
    <x v="1"/>
    <x v="5"/>
    <n v="2145"/>
    <n v="8.6999999999999993"/>
    <n v="4"/>
    <n v="6600"/>
    <n v="528"/>
    <n v="7227"/>
    <n v="0.50344827586206897"/>
  </r>
  <r>
    <s v="TX00693"/>
    <x v="15"/>
    <s v="S02"/>
    <x v="8"/>
    <x v="4"/>
    <n v="2098"/>
    <n v="22"/>
    <n v="0.15"/>
    <n v="39232.6"/>
    <n v="22658.400000000001"/>
    <n v="46156"/>
    <s v="2024-04"/>
    <x v="1"/>
    <x v="1"/>
    <x v="5"/>
    <n v="6923.4000000000015"/>
    <n v="18.7"/>
    <n v="10"/>
    <n v="20980"/>
    <n v="1678.4000000000015"/>
    <n v="16574.199999999997"/>
    <n v="0.42245989304812831"/>
  </r>
  <r>
    <s v="TX00694"/>
    <x v="15"/>
    <s v="S03"/>
    <x v="0"/>
    <x v="0"/>
    <n v="2019"/>
    <n v="24"/>
    <n v="0.14000000000000001"/>
    <n v="41672.160000000003"/>
    <n v="26166.240000000002"/>
    <n v="48456"/>
    <s v="2024-04"/>
    <x v="2"/>
    <x v="2"/>
    <x v="0"/>
    <n v="6783.8399999999965"/>
    <n v="20.64"/>
    <n v="12"/>
    <n v="24228"/>
    <n v="1938.2400000000016"/>
    <n v="15505.920000000002"/>
    <n v="0.37209302325581395"/>
  </r>
  <r>
    <s v="TX00695"/>
    <x v="15"/>
    <s v="S03"/>
    <x v="1"/>
    <x v="0"/>
    <n v="1817"/>
    <n v="50"/>
    <n v="0.14000000000000001"/>
    <n v="78131"/>
    <n v="54946.080000000002"/>
    <n v="90850"/>
    <s v="2024-04"/>
    <x v="2"/>
    <x v="2"/>
    <x v="1"/>
    <n v="12719"/>
    <n v="43"/>
    <n v="28"/>
    <n v="50876"/>
    <n v="4070.0800000000017"/>
    <n v="23184.92"/>
    <n v="0.29674418604651159"/>
  </r>
  <r>
    <s v="TX00696"/>
    <x v="15"/>
    <s v="S03"/>
    <x v="2"/>
    <x v="1"/>
    <n v="3000"/>
    <n v="28"/>
    <n v="0.15"/>
    <n v="71400"/>
    <n v="48600"/>
    <n v="84000"/>
    <s v="2024-04"/>
    <x v="2"/>
    <x v="2"/>
    <x v="2"/>
    <n v="12600"/>
    <n v="23.8"/>
    <n v="15"/>
    <n v="45000"/>
    <n v="3600"/>
    <n v="22800"/>
    <n v="0.31932773109243695"/>
  </r>
  <r>
    <s v="TX00697"/>
    <x v="15"/>
    <s v="S03"/>
    <x v="3"/>
    <x v="1"/>
    <n v="2468"/>
    <n v="35"/>
    <n v="0.14000000000000001"/>
    <n v="74286.8"/>
    <n v="47977.919999999998"/>
    <n v="86380"/>
    <s v="2024-04"/>
    <x v="2"/>
    <x v="2"/>
    <x v="2"/>
    <n v="12093.199999999997"/>
    <n v="30.1"/>
    <n v="18"/>
    <n v="44424"/>
    <n v="3553.9199999999983"/>
    <n v="26308.880000000005"/>
    <n v="0.35415282392026581"/>
  </r>
  <r>
    <s v="TX00698"/>
    <x v="15"/>
    <s v="S03"/>
    <x v="4"/>
    <x v="2"/>
    <n v="1729"/>
    <n v="18"/>
    <n v="0.15"/>
    <n v="26453.7"/>
    <n v="16805.88"/>
    <n v="31122"/>
    <s v="2024-04"/>
    <x v="2"/>
    <x v="2"/>
    <x v="3"/>
    <n v="4668.2999999999993"/>
    <n v="15.3"/>
    <n v="9"/>
    <n v="15561"/>
    <n v="1244.880000000001"/>
    <n v="9647.82"/>
    <n v="0.36470588235294116"/>
  </r>
  <r>
    <s v="TX00699"/>
    <x v="15"/>
    <s v="S03"/>
    <x v="5"/>
    <x v="2"/>
    <n v="2019"/>
    <n v="30"/>
    <n v="0.13"/>
    <n v="52695.9"/>
    <n v="30527.279999999999"/>
    <n v="60570"/>
    <s v="2024-04"/>
    <x v="2"/>
    <x v="2"/>
    <x v="3"/>
    <n v="7874.0999999999985"/>
    <n v="26.1"/>
    <n v="14"/>
    <n v="28266"/>
    <n v="2261.2799999999988"/>
    <n v="22168.620000000003"/>
    <n v="0.42068965517241386"/>
  </r>
  <r>
    <s v="TX00700"/>
    <x v="15"/>
    <s v="S03"/>
    <x v="6"/>
    <x v="3"/>
    <n v="2076"/>
    <n v="40"/>
    <n v="0.16"/>
    <n v="69753.600000000006"/>
    <n v="44841.599999999999"/>
    <n v="83040"/>
    <s v="2024-04"/>
    <x v="2"/>
    <x v="2"/>
    <x v="4"/>
    <n v="13286.399999999994"/>
    <n v="33.6"/>
    <n v="20"/>
    <n v="41520"/>
    <n v="3321.5999999999985"/>
    <n v="24912.000000000007"/>
    <n v="0.35714285714285721"/>
  </r>
  <r>
    <s v="TX00701"/>
    <x v="15"/>
    <s v="S03"/>
    <x v="7"/>
    <x v="4"/>
    <n v="1597"/>
    <n v="10"/>
    <n v="0.17"/>
    <n v="13255.1"/>
    <n v="6899.04"/>
    <n v="15970"/>
    <s v="2024-04"/>
    <x v="2"/>
    <x v="2"/>
    <x v="5"/>
    <n v="2714.8999999999996"/>
    <n v="8.3000000000000007"/>
    <n v="4"/>
    <n v="6388"/>
    <n v="511.03999999999996"/>
    <n v="6356.06"/>
    <n v="0.47951807228915666"/>
  </r>
  <r>
    <s v="TX00702"/>
    <x v="15"/>
    <s v="S03"/>
    <x v="8"/>
    <x v="4"/>
    <n v="1927"/>
    <n v="22"/>
    <n v="0.16"/>
    <n v="35610.959999999999"/>
    <n v="20811.599999999999"/>
    <n v="42394"/>
    <s v="2024-04"/>
    <x v="2"/>
    <x v="2"/>
    <x v="5"/>
    <n v="6783.0400000000009"/>
    <n v="18.48"/>
    <n v="10"/>
    <n v="19270"/>
    <n v="1541.5999999999985"/>
    <n v="14799.36"/>
    <n v="0.41558441558441561"/>
  </r>
  <r>
    <s v="TX00703"/>
    <x v="15"/>
    <s v="S04"/>
    <x v="0"/>
    <x v="0"/>
    <n v="1821"/>
    <n v="24"/>
    <n v="0.14000000000000001"/>
    <n v="37585.440000000002"/>
    <n v="23600.16"/>
    <n v="43704"/>
    <s v="2024-04"/>
    <x v="3"/>
    <x v="3"/>
    <x v="0"/>
    <n v="6118.5599999999977"/>
    <n v="20.64"/>
    <n v="12"/>
    <n v="21852"/>
    <n v="1748.1599999999999"/>
    <n v="13985.280000000002"/>
    <n v="0.372093023255814"/>
  </r>
  <r>
    <s v="TX00704"/>
    <x v="15"/>
    <s v="S04"/>
    <x v="1"/>
    <x v="0"/>
    <n v="2767"/>
    <n v="50"/>
    <n v="0.15"/>
    <n v="117597.5"/>
    <n v="83674.080000000002"/>
    <n v="138350"/>
    <s v="2024-04"/>
    <x v="3"/>
    <x v="3"/>
    <x v="1"/>
    <n v="20752.5"/>
    <n v="42.5"/>
    <n v="28"/>
    <n v="77476"/>
    <n v="6198.0800000000017"/>
    <n v="33923.42"/>
    <n v="0.28847058823529409"/>
  </r>
  <r>
    <s v="TX00705"/>
    <x v="15"/>
    <s v="S04"/>
    <x v="2"/>
    <x v="1"/>
    <n v="2974"/>
    <n v="28"/>
    <n v="0.13"/>
    <n v="72446.64"/>
    <n v="48178.8"/>
    <n v="83272"/>
    <s v="2024-04"/>
    <x v="3"/>
    <x v="3"/>
    <x v="2"/>
    <n v="10825.36"/>
    <n v="24.36"/>
    <n v="15"/>
    <n v="44610"/>
    <n v="3568.8000000000029"/>
    <n v="24267.839999999997"/>
    <n v="0.33497536945812806"/>
  </r>
  <r>
    <s v="TX00706"/>
    <x v="15"/>
    <s v="S04"/>
    <x v="3"/>
    <x v="1"/>
    <n v="2279"/>
    <n v="35"/>
    <n v="0.16"/>
    <n v="67002.600000000006"/>
    <n v="44303.76"/>
    <n v="79765"/>
    <s v="2024-04"/>
    <x v="3"/>
    <x v="3"/>
    <x v="2"/>
    <n v="12762.399999999994"/>
    <n v="29.400000000000002"/>
    <n v="18"/>
    <n v="41022"/>
    <n v="3281.760000000002"/>
    <n v="22698.840000000004"/>
    <n v="0.33877551020408164"/>
  </r>
  <r>
    <s v="TX00707"/>
    <x v="15"/>
    <s v="S04"/>
    <x v="4"/>
    <x v="2"/>
    <n v="1799"/>
    <n v="18"/>
    <n v="0.15"/>
    <n v="27524.7"/>
    <n v="17486.28"/>
    <n v="32382"/>
    <s v="2024-04"/>
    <x v="3"/>
    <x v="3"/>
    <x v="3"/>
    <n v="4857.2999999999993"/>
    <n v="15.3"/>
    <n v="9"/>
    <n v="16191"/>
    <n v="1295.2799999999988"/>
    <n v="10038.420000000002"/>
    <n v="0.36470588235294121"/>
  </r>
  <r>
    <s v="TX00708"/>
    <x v="15"/>
    <s v="S04"/>
    <x v="5"/>
    <x v="2"/>
    <n v="2851"/>
    <n v="30"/>
    <n v="0.14000000000000001"/>
    <n v="73555.8"/>
    <n v="43107.12"/>
    <n v="85530"/>
    <s v="2024-04"/>
    <x v="3"/>
    <x v="3"/>
    <x v="3"/>
    <n v="11974.199999999997"/>
    <n v="25.8"/>
    <n v="14"/>
    <n v="39914"/>
    <n v="3193.1200000000026"/>
    <n v="30448.68"/>
    <n v="0.413953488372093"/>
  </r>
  <r>
    <s v="TX00709"/>
    <x v="15"/>
    <s v="S04"/>
    <x v="6"/>
    <x v="3"/>
    <n v="2983"/>
    <n v="40"/>
    <n v="0.17"/>
    <n v="99035.6"/>
    <n v="64432.800000000003"/>
    <n v="119320"/>
    <s v="2024-04"/>
    <x v="3"/>
    <x v="3"/>
    <x v="4"/>
    <n v="20284.399999999994"/>
    <n v="33.200000000000003"/>
    <n v="20"/>
    <n v="59660"/>
    <n v="4772.8000000000029"/>
    <n v="34602.800000000003"/>
    <n v="0.3493975903614458"/>
  </r>
  <r>
    <s v="TX00710"/>
    <x v="15"/>
    <s v="S04"/>
    <x v="7"/>
    <x v="4"/>
    <n v="2552"/>
    <n v="10"/>
    <n v="0.17"/>
    <n v="21181.599999999999"/>
    <n v="11024.64"/>
    <n v="25520"/>
    <s v="2024-04"/>
    <x v="3"/>
    <x v="3"/>
    <x v="5"/>
    <n v="4338.4000000000015"/>
    <n v="8.2999999999999989"/>
    <n v="4"/>
    <n v="10208"/>
    <n v="816.63999999999942"/>
    <n v="10156.959999999999"/>
    <n v="0.4795180722891566"/>
  </r>
  <r>
    <s v="TX00711"/>
    <x v="15"/>
    <s v="S04"/>
    <x v="8"/>
    <x v="4"/>
    <n v="2965"/>
    <n v="22"/>
    <n v="0.14000000000000001"/>
    <n v="56097.8"/>
    <n v="32022"/>
    <n v="65230"/>
    <s v="2024-04"/>
    <x v="3"/>
    <x v="3"/>
    <x v="5"/>
    <n v="9132.1999999999971"/>
    <n v="18.920000000000002"/>
    <n v="10"/>
    <n v="29650"/>
    <n v="2372"/>
    <n v="24075.800000000003"/>
    <n v="0.42917547568710362"/>
  </r>
  <r>
    <s v="TX00712"/>
    <x v="15"/>
    <s v="S05"/>
    <x v="0"/>
    <x v="0"/>
    <n v="1667"/>
    <n v="24"/>
    <n v="0.13"/>
    <n v="34806.959999999999"/>
    <n v="21604.32"/>
    <n v="40008"/>
    <s v="2024-04"/>
    <x v="4"/>
    <x v="0"/>
    <x v="0"/>
    <n v="5201.0400000000009"/>
    <n v="20.88"/>
    <n v="12"/>
    <n v="20004"/>
    <n v="1600.3199999999997"/>
    <n v="13202.64"/>
    <n v="0.37931034482758619"/>
  </r>
  <r>
    <s v="TX00713"/>
    <x v="15"/>
    <s v="S05"/>
    <x v="1"/>
    <x v="0"/>
    <n v="1513"/>
    <n v="50"/>
    <n v="0.13"/>
    <n v="65815.5"/>
    <n v="45753.120000000003"/>
    <n v="75650"/>
    <s v="2024-04"/>
    <x v="4"/>
    <x v="0"/>
    <x v="1"/>
    <n v="9834.5"/>
    <n v="43.5"/>
    <n v="28"/>
    <n v="42364"/>
    <n v="3389.1200000000026"/>
    <n v="20062.379999999997"/>
    <n v="0.30482758620689654"/>
  </r>
  <r>
    <s v="TX00714"/>
    <x v="15"/>
    <s v="S05"/>
    <x v="2"/>
    <x v="1"/>
    <n v="2926"/>
    <n v="28"/>
    <n v="0.15"/>
    <n v="69638.8"/>
    <n v="47401.2"/>
    <n v="81928"/>
    <s v="2024-04"/>
    <x v="4"/>
    <x v="0"/>
    <x v="2"/>
    <n v="12289.199999999997"/>
    <n v="23.8"/>
    <n v="15"/>
    <n v="43890"/>
    <n v="3511.1999999999971"/>
    <n v="22237.600000000006"/>
    <n v="0.31932773109243706"/>
  </r>
  <r>
    <s v="TX00715"/>
    <x v="15"/>
    <s v="S05"/>
    <x v="3"/>
    <x v="1"/>
    <n v="2578"/>
    <n v="35"/>
    <n v="0.15"/>
    <n v="76695.5"/>
    <n v="50116.32"/>
    <n v="90230"/>
    <s v="2024-04"/>
    <x v="4"/>
    <x v="0"/>
    <x v="2"/>
    <n v="13534.5"/>
    <n v="29.75"/>
    <n v="18"/>
    <n v="46404"/>
    <n v="3712.3199999999997"/>
    <n v="26579.18"/>
    <n v="0.34655462184873947"/>
  </r>
  <r>
    <s v="TX00716"/>
    <x v="15"/>
    <s v="S05"/>
    <x v="4"/>
    <x v="2"/>
    <n v="1702"/>
    <n v="18"/>
    <n v="0.13"/>
    <n v="26653.32"/>
    <n v="16543.439999999999"/>
    <n v="30636"/>
    <s v="2024-04"/>
    <x v="4"/>
    <x v="0"/>
    <x v="3"/>
    <n v="3982.6800000000003"/>
    <n v="15.66"/>
    <n v="9"/>
    <n v="15318"/>
    <n v="1225.4399999999987"/>
    <n v="10109.880000000001"/>
    <n v="0.37931034482758624"/>
  </r>
  <r>
    <s v="TX00717"/>
    <x v="15"/>
    <s v="S05"/>
    <x v="5"/>
    <x v="2"/>
    <n v="1922"/>
    <n v="30"/>
    <n v="0.14000000000000001"/>
    <n v="49587.6"/>
    <n v="29060.639999999999"/>
    <n v="57660"/>
    <s v="2024-04"/>
    <x v="4"/>
    <x v="0"/>
    <x v="3"/>
    <n v="8072.4000000000015"/>
    <n v="25.8"/>
    <n v="14"/>
    <n v="26908"/>
    <n v="2152.6399999999994"/>
    <n v="20526.96"/>
    <n v="0.413953488372093"/>
  </r>
  <r>
    <s v="TX00718"/>
    <x v="15"/>
    <s v="S05"/>
    <x v="6"/>
    <x v="3"/>
    <n v="1878"/>
    <n v="40"/>
    <n v="0.15"/>
    <n v="63852"/>
    <n v="40564.800000000003"/>
    <n v="75120"/>
    <s v="2024-04"/>
    <x v="4"/>
    <x v="0"/>
    <x v="4"/>
    <n v="11268"/>
    <n v="34"/>
    <n v="20"/>
    <n v="37560"/>
    <n v="3004.8000000000029"/>
    <n v="23287.199999999997"/>
    <n v="0.36470588235294116"/>
  </r>
  <r>
    <s v="TX00719"/>
    <x v="15"/>
    <s v="S05"/>
    <x v="7"/>
    <x v="4"/>
    <n v="2530"/>
    <n v="10"/>
    <n v="0.14000000000000001"/>
    <n v="21758"/>
    <n v="10929.6"/>
    <n v="25300"/>
    <s v="2024-04"/>
    <x v="4"/>
    <x v="0"/>
    <x v="5"/>
    <n v="3542"/>
    <n v="8.6"/>
    <n v="4"/>
    <n v="10120"/>
    <n v="809.60000000000036"/>
    <n v="10828.4"/>
    <n v="0.49767441860465117"/>
  </r>
  <r>
    <s v="TX00720"/>
    <x v="15"/>
    <s v="S05"/>
    <x v="8"/>
    <x v="4"/>
    <n v="1438"/>
    <n v="22"/>
    <n v="0.14000000000000001"/>
    <n v="27206.959999999999"/>
    <n v="15530.4"/>
    <n v="31636"/>
    <s v="2024-04"/>
    <x v="4"/>
    <x v="0"/>
    <x v="5"/>
    <n v="4429.0400000000009"/>
    <n v="18.919999999999998"/>
    <n v="10"/>
    <n v="14380"/>
    <n v="1150.3999999999996"/>
    <n v="11676.56"/>
    <n v="0.42917547568710357"/>
  </r>
  <r>
    <s v="TX00721"/>
    <x v="16"/>
    <s v="S01"/>
    <x v="0"/>
    <x v="0"/>
    <n v="2644"/>
    <n v="24"/>
    <n v="0.14000000000000001"/>
    <n v="54572.160000000003"/>
    <n v="34266.239999999998"/>
    <n v="63456"/>
    <s v="2024-05"/>
    <x v="0"/>
    <x v="0"/>
    <x v="0"/>
    <n v="8883.8399999999965"/>
    <n v="20.64"/>
    <n v="12"/>
    <n v="31728"/>
    <n v="2538.239999999998"/>
    <n v="20305.920000000006"/>
    <n v="0.372093023255814"/>
  </r>
  <r>
    <s v="TX00722"/>
    <x v="16"/>
    <s v="S01"/>
    <x v="1"/>
    <x v="0"/>
    <n v="2068"/>
    <n v="50"/>
    <n v="0.13"/>
    <n v="89958"/>
    <n v="62536.32"/>
    <n v="103400"/>
    <s v="2024-05"/>
    <x v="0"/>
    <x v="0"/>
    <x v="1"/>
    <n v="13442"/>
    <n v="43.5"/>
    <n v="28"/>
    <n v="57904"/>
    <n v="4632.32"/>
    <n v="27421.68"/>
    <n v="0.30482758620689654"/>
  </r>
  <r>
    <s v="TX00723"/>
    <x v="16"/>
    <s v="S01"/>
    <x v="2"/>
    <x v="1"/>
    <n v="2402"/>
    <n v="28"/>
    <n v="0.16"/>
    <n v="56495.040000000001"/>
    <n v="38912.400000000001"/>
    <n v="67256"/>
    <s v="2024-05"/>
    <x v="0"/>
    <x v="0"/>
    <x v="2"/>
    <n v="10760.96"/>
    <n v="23.52"/>
    <n v="15"/>
    <n v="36030"/>
    <n v="2882.4000000000015"/>
    <n v="17582.64"/>
    <n v="0.31122448979591838"/>
  </r>
  <r>
    <s v="TX00724"/>
    <x v="16"/>
    <s v="S01"/>
    <x v="3"/>
    <x v="1"/>
    <n v="1570"/>
    <n v="35"/>
    <n v="0.12"/>
    <n v="48356"/>
    <n v="30520.799999999999"/>
    <n v="54950"/>
    <s v="2024-05"/>
    <x v="0"/>
    <x v="0"/>
    <x v="2"/>
    <n v="6594"/>
    <n v="30.8"/>
    <n v="18"/>
    <n v="28260"/>
    <n v="2260.7999999999993"/>
    <n v="17835.2"/>
    <n v="0.36883116883116884"/>
  </r>
  <r>
    <s v="TX00725"/>
    <x v="16"/>
    <s v="S01"/>
    <x v="4"/>
    <x v="2"/>
    <n v="2992"/>
    <n v="18"/>
    <n v="0.16"/>
    <n v="45239.040000000001"/>
    <n v="29082.240000000002"/>
    <n v="53856"/>
    <s v="2024-05"/>
    <x v="0"/>
    <x v="0"/>
    <x v="3"/>
    <n v="8616.9599999999991"/>
    <n v="15.120000000000001"/>
    <n v="9"/>
    <n v="26928"/>
    <n v="2154.2400000000016"/>
    <n v="16156.8"/>
    <n v="0.3571428571428571"/>
  </r>
  <r>
    <s v="TX00726"/>
    <x v="16"/>
    <s v="S01"/>
    <x v="5"/>
    <x v="2"/>
    <n v="2512"/>
    <n v="30"/>
    <n v="0.13"/>
    <n v="65563.199999999997"/>
    <n v="37981.440000000002"/>
    <n v="75360"/>
    <s v="2024-05"/>
    <x v="0"/>
    <x v="0"/>
    <x v="3"/>
    <n v="9796.8000000000029"/>
    <n v="26.099999999999998"/>
    <n v="14"/>
    <n v="35168"/>
    <n v="2813.4400000000023"/>
    <n v="27581.759999999995"/>
    <n v="0.42068965517241375"/>
  </r>
  <r>
    <s v="TX00727"/>
    <x v="16"/>
    <s v="S01"/>
    <x v="6"/>
    <x v="3"/>
    <n v="1746"/>
    <n v="40"/>
    <n v="0.15"/>
    <n v="59364"/>
    <n v="37713.599999999999"/>
    <n v="69840"/>
    <s v="2024-05"/>
    <x v="0"/>
    <x v="0"/>
    <x v="4"/>
    <n v="10476"/>
    <n v="34"/>
    <n v="20"/>
    <n v="34920"/>
    <n v="2793.5999999999985"/>
    <n v="21650.400000000001"/>
    <n v="0.36470588235294121"/>
  </r>
  <r>
    <s v="TX00728"/>
    <x v="16"/>
    <s v="S01"/>
    <x v="7"/>
    <x v="4"/>
    <n v="1672"/>
    <n v="10"/>
    <n v="0.16"/>
    <n v="14044.8"/>
    <n v="7223.04"/>
    <n v="16720"/>
    <s v="2024-05"/>
    <x v="0"/>
    <x v="0"/>
    <x v="5"/>
    <n v="2675.2000000000007"/>
    <n v="8.4"/>
    <n v="4"/>
    <n v="6688"/>
    <n v="535.04"/>
    <n v="6821.7599999999993"/>
    <n v="0.48571428571428571"/>
  </r>
  <r>
    <s v="TX00729"/>
    <x v="16"/>
    <s v="S01"/>
    <x v="8"/>
    <x v="4"/>
    <n v="1795"/>
    <n v="22"/>
    <n v="0.15"/>
    <n v="33566.5"/>
    <n v="19386"/>
    <n v="39490"/>
    <s v="2024-05"/>
    <x v="0"/>
    <x v="0"/>
    <x v="5"/>
    <n v="5923.5"/>
    <n v="18.7"/>
    <n v="10"/>
    <n v="17950"/>
    <n v="1436"/>
    <n v="14180.5"/>
    <n v="0.42245989304812837"/>
  </r>
  <r>
    <s v="TX00730"/>
    <x v="16"/>
    <s v="S02"/>
    <x v="0"/>
    <x v="0"/>
    <n v="2186"/>
    <n v="24"/>
    <n v="0.14000000000000001"/>
    <n v="45119.040000000001"/>
    <n v="28330.560000000001"/>
    <n v="52464"/>
    <s v="2024-05"/>
    <x v="1"/>
    <x v="1"/>
    <x v="0"/>
    <n v="7344.9599999999991"/>
    <n v="20.64"/>
    <n v="12"/>
    <n v="26232"/>
    <n v="2098.5600000000013"/>
    <n v="16788.48"/>
    <n v="0.37209302325581395"/>
  </r>
  <r>
    <s v="TX00731"/>
    <x v="16"/>
    <s v="S02"/>
    <x v="1"/>
    <x v="0"/>
    <n v="1716"/>
    <n v="50"/>
    <n v="0.15"/>
    <n v="72930"/>
    <n v="51891.839999999997"/>
    <n v="85800"/>
    <s v="2024-05"/>
    <x v="1"/>
    <x v="1"/>
    <x v="1"/>
    <n v="12870"/>
    <n v="42.5"/>
    <n v="28"/>
    <n v="48048"/>
    <n v="3843.8399999999965"/>
    <n v="21038.160000000003"/>
    <n v="0.28847058823529415"/>
  </r>
  <r>
    <s v="TX00732"/>
    <x v="16"/>
    <s v="S02"/>
    <x v="2"/>
    <x v="1"/>
    <n v="1416"/>
    <n v="28"/>
    <n v="0.13"/>
    <n v="34493.760000000002"/>
    <n v="22939.200000000001"/>
    <n v="39648"/>
    <s v="2024-05"/>
    <x v="1"/>
    <x v="1"/>
    <x v="2"/>
    <n v="5154.239999999998"/>
    <n v="24.360000000000003"/>
    <n v="15"/>
    <n v="21240"/>
    <n v="1699.2000000000007"/>
    <n v="11554.560000000001"/>
    <n v="0.33497536945812811"/>
  </r>
  <r>
    <s v="TX00733"/>
    <x v="16"/>
    <s v="S02"/>
    <x v="3"/>
    <x v="1"/>
    <n v="2090"/>
    <n v="35"/>
    <n v="0.12"/>
    <n v="64372"/>
    <n v="40629.599999999999"/>
    <n v="73150"/>
    <s v="2024-05"/>
    <x v="1"/>
    <x v="1"/>
    <x v="2"/>
    <n v="8778"/>
    <n v="30.8"/>
    <n v="18"/>
    <n v="37620"/>
    <n v="3009.5999999999985"/>
    <n v="23742.400000000001"/>
    <n v="0.36883116883116884"/>
  </r>
  <r>
    <s v="TX00734"/>
    <x v="16"/>
    <s v="S02"/>
    <x v="4"/>
    <x v="2"/>
    <n v="2732"/>
    <n v="18"/>
    <n v="0.12"/>
    <n v="43274.879999999997"/>
    <n v="26555.040000000001"/>
    <n v="49176"/>
    <s v="2024-05"/>
    <x v="1"/>
    <x v="1"/>
    <x v="3"/>
    <n v="5901.1200000000026"/>
    <n v="15.84"/>
    <n v="9"/>
    <n v="24588"/>
    <n v="1967.0400000000009"/>
    <n v="16719.839999999997"/>
    <n v="0.3863636363636363"/>
  </r>
  <r>
    <s v="TX00735"/>
    <x v="16"/>
    <s v="S02"/>
    <x v="5"/>
    <x v="2"/>
    <n v="2767"/>
    <n v="30"/>
    <n v="0.16"/>
    <n v="69728.399999999994"/>
    <n v="41837.040000000001"/>
    <n v="83010"/>
    <s v="2024-05"/>
    <x v="1"/>
    <x v="1"/>
    <x v="3"/>
    <n v="13281.600000000006"/>
    <n v="25.2"/>
    <n v="14"/>
    <n v="38738"/>
    <n v="3099.0400000000009"/>
    <n v="27891.359999999993"/>
    <n v="0.39999999999999991"/>
  </r>
  <r>
    <s v="TX00736"/>
    <x v="16"/>
    <s v="S02"/>
    <x v="6"/>
    <x v="3"/>
    <n v="2873"/>
    <n v="40"/>
    <n v="0.12"/>
    <n v="101129.60000000001"/>
    <n v="62056.800000000003"/>
    <n v="114920"/>
    <s v="2024-05"/>
    <x v="1"/>
    <x v="1"/>
    <x v="4"/>
    <n v="13790.399999999994"/>
    <n v="35.200000000000003"/>
    <n v="20"/>
    <n v="57460"/>
    <n v="4596.8000000000029"/>
    <n v="39072.800000000003"/>
    <n v="0.38636363636363635"/>
  </r>
  <r>
    <s v="TX00737"/>
    <x v="16"/>
    <s v="S02"/>
    <x v="7"/>
    <x v="4"/>
    <n v="2613"/>
    <n v="10"/>
    <n v="0.14000000000000001"/>
    <n v="22471.8"/>
    <n v="11288.16"/>
    <n v="26130"/>
    <s v="2024-05"/>
    <x v="1"/>
    <x v="1"/>
    <x v="5"/>
    <n v="3658.2000000000007"/>
    <n v="8.6"/>
    <n v="4"/>
    <n v="10452"/>
    <n v="836.15999999999985"/>
    <n v="11183.64"/>
    <n v="0.49767441860465117"/>
  </r>
  <r>
    <s v="TX00738"/>
    <x v="16"/>
    <s v="S02"/>
    <x v="8"/>
    <x v="4"/>
    <n v="2930"/>
    <n v="22"/>
    <n v="0.13"/>
    <n v="56080.2"/>
    <n v="31644"/>
    <n v="64460"/>
    <s v="2024-05"/>
    <x v="1"/>
    <x v="1"/>
    <x v="5"/>
    <n v="8379.8000000000029"/>
    <n v="19.14"/>
    <n v="10"/>
    <n v="29300"/>
    <n v="2344"/>
    <n v="24436.199999999997"/>
    <n v="0.43573667711598746"/>
  </r>
  <r>
    <s v="TX00739"/>
    <x v="16"/>
    <s v="S03"/>
    <x v="0"/>
    <x v="0"/>
    <n v="2525"/>
    <n v="24"/>
    <n v="0.13"/>
    <n v="52722"/>
    <n v="32724"/>
    <n v="60600"/>
    <s v="2024-05"/>
    <x v="2"/>
    <x v="2"/>
    <x v="0"/>
    <n v="7878"/>
    <n v="20.88"/>
    <n v="12"/>
    <n v="30300"/>
    <n v="2424"/>
    <n v="19998"/>
    <n v="0.37931034482758619"/>
  </r>
  <r>
    <s v="TX00740"/>
    <x v="16"/>
    <s v="S03"/>
    <x v="1"/>
    <x v="0"/>
    <n v="2609"/>
    <n v="50"/>
    <n v="0.17"/>
    <n v="108273.5"/>
    <n v="78896.160000000003"/>
    <n v="130450"/>
    <s v="2024-05"/>
    <x v="2"/>
    <x v="2"/>
    <x v="1"/>
    <n v="22176.5"/>
    <n v="41.5"/>
    <n v="28"/>
    <n v="73052"/>
    <n v="5844.1600000000035"/>
    <n v="29377.339999999997"/>
    <n v="0.27132530120481924"/>
  </r>
  <r>
    <s v="TX00741"/>
    <x v="16"/>
    <s v="S03"/>
    <x v="2"/>
    <x v="1"/>
    <n v="1971"/>
    <n v="28"/>
    <n v="0.13"/>
    <n v="48013.56"/>
    <n v="31930.2"/>
    <n v="55188"/>
    <s v="2024-05"/>
    <x v="2"/>
    <x v="2"/>
    <x v="2"/>
    <n v="7174.4400000000023"/>
    <n v="24.36"/>
    <n v="15"/>
    <n v="29565"/>
    <n v="2365.2000000000007"/>
    <n v="16083.359999999997"/>
    <n v="0.33497536945812806"/>
  </r>
  <r>
    <s v="TX00742"/>
    <x v="16"/>
    <s v="S03"/>
    <x v="3"/>
    <x v="1"/>
    <n v="1610"/>
    <n v="35"/>
    <n v="0.16"/>
    <n v="47334"/>
    <n v="31298.400000000001"/>
    <n v="56350"/>
    <s v="2024-05"/>
    <x v="2"/>
    <x v="2"/>
    <x v="2"/>
    <n v="9016"/>
    <n v="29.4"/>
    <n v="18"/>
    <n v="28980"/>
    <n v="2318.4000000000015"/>
    <n v="16035.599999999999"/>
    <n v="0.33877551020408159"/>
  </r>
  <r>
    <s v="TX00743"/>
    <x v="16"/>
    <s v="S03"/>
    <x v="4"/>
    <x v="2"/>
    <n v="1707"/>
    <n v="18"/>
    <n v="0.13"/>
    <n v="26731.62"/>
    <n v="16592.04"/>
    <n v="30726"/>
    <s v="2024-05"/>
    <x v="2"/>
    <x v="2"/>
    <x v="3"/>
    <n v="3994.380000000001"/>
    <n v="15.66"/>
    <n v="9"/>
    <n v="15363"/>
    <n v="1229.0400000000009"/>
    <n v="10139.579999999998"/>
    <n v="0.37931034482758613"/>
  </r>
  <r>
    <s v="TX00744"/>
    <x v="16"/>
    <s v="S03"/>
    <x v="5"/>
    <x v="2"/>
    <n v="2750"/>
    <n v="30"/>
    <n v="0.15"/>
    <n v="70125"/>
    <n v="41580"/>
    <n v="82500"/>
    <s v="2024-05"/>
    <x v="2"/>
    <x v="2"/>
    <x v="3"/>
    <n v="12375"/>
    <n v="25.5"/>
    <n v="14"/>
    <n v="38500"/>
    <n v="3080"/>
    <n v="28545"/>
    <n v="0.40705882352941175"/>
  </r>
  <r>
    <s v="TX00745"/>
    <x v="16"/>
    <s v="S03"/>
    <x v="6"/>
    <x v="3"/>
    <n v="2217"/>
    <n v="40"/>
    <n v="0.16"/>
    <n v="74491.199999999997"/>
    <n v="47887.199999999997"/>
    <n v="88680"/>
    <s v="2024-05"/>
    <x v="2"/>
    <x v="2"/>
    <x v="4"/>
    <n v="14188.800000000003"/>
    <n v="33.6"/>
    <n v="20"/>
    <n v="44340"/>
    <n v="3547.1999999999971"/>
    <n v="26604"/>
    <n v="0.35714285714285715"/>
  </r>
  <r>
    <s v="TX00746"/>
    <x v="16"/>
    <s v="S03"/>
    <x v="7"/>
    <x v="4"/>
    <n v="1927"/>
    <n v="10"/>
    <n v="0.15"/>
    <n v="16379.5"/>
    <n v="8324.64"/>
    <n v="19270"/>
    <s v="2024-05"/>
    <x v="2"/>
    <x v="2"/>
    <x v="5"/>
    <n v="2890.5"/>
    <n v="8.5"/>
    <n v="4"/>
    <n v="7708"/>
    <n v="616.63999999999942"/>
    <n v="8054.8600000000006"/>
    <n v="0.49176470588235299"/>
  </r>
  <r>
    <s v="TX00747"/>
    <x v="16"/>
    <s v="S03"/>
    <x v="8"/>
    <x v="4"/>
    <n v="2895"/>
    <n v="22"/>
    <n v="0.15"/>
    <n v="54136.5"/>
    <n v="31266"/>
    <n v="63690"/>
    <s v="2024-05"/>
    <x v="2"/>
    <x v="2"/>
    <x v="5"/>
    <n v="9553.5"/>
    <n v="18.7"/>
    <n v="10"/>
    <n v="28950"/>
    <n v="2316"/>
    <n v="22870.5"/>
    <n v="0.42245989304812837"/>
  </r>
  <r>
    <s v="TX00748"/>
    <x v="16"/>
    <s v="S04"/>
    <x v="0"/>
    <x v="0"/>
    <n v="2336"/>
    <n v="24"/>
    <n v="0.14000000000000001"/>
    <n v="48215.040000000001"/>
    <n v="30274.560000000001"/>
    <n v="56064"/>
    <s v="2024-05"/>
    <x v="3"/>
    <x v="3"/>
    <x v="0"/>
    <n v="7848.9599999999991"/>
    <n v="20.64"/>
    <n v="12"/>
    <n v="28032"/>
    <n v="2242.5600000000013"/>
    <n v="17940.48"/>
    <n v="0.37209302325581395"/>
  </r>
  <r>
    <s v="TX00749"/>
    <x v="16"/>
    <s v="S04"/>
    <x v="1"/>
    <x v="0"/>
    <n v="2688"/>
    <n v="50"/>
    <n v="0.16"/>
    <n v="112896"/>
    <n v="81285.119999999995"/>
    <n v="134400"/>
    <s v="2024-05"/>
    <x v="3"/>
    <x v="3"/>
    <x v="1"/>
    <n v="21504"/>
    <n v="42"/>
    <n v="28"/>
    <n v="75264"/>
    <n v="6021.1199999999953"/>
    <n v="31610.880000000005"/>
    <n v="0.28000000000000003"/>
  </r>
  <r>
    <s v="TX00750"/>
    <x v="16"/>
    <s v="S04"/>
    <x v="2"/>
    <x v="1"/>
    <n v="2943"/>
    <n v="28"/>
    <n v="0.15"/>
    <n v="70043.399999999994"/>
    <n v="47676.6"/>
    <n v="82404"/>
    <s v="2024-05"/>
    <x v="3"/>
    <x v="3"/>
    <x v="2"/>
    <n v="12360.600000000006"/>
    <n v="23.799999999999997"/>
    <n v="15"/>
    <n v="44145"/>
    <n v="3531.5999999999985"/>
    <n v="22366.799999999996"/>
    <n v="0.31932773109243695"/>
  </r>
  <r>
    <s v="TX00751"/>
    <x v="16"/>
    <s v="S04"/>
    <x v="3"/>
    <x v="1"/>
    <n v="2710"/>
    <n v="35"/>
    <n v="0.14000000000000001"/>
    <n v="81571"/>
    <n v="52682.400000000001"/>
    <n v="94850"/>
    <s v="2024-05"/>
    <x v="3"/>
    <x v="3"/>
    <x v="2"/>
    <n v="13279"/>
    <n v="30.1"/>
    <n v="18"/>
    <n v="48780"/>
    <n v="3902.4000000000015"/>
    <n v="28888.6"/>
    <n v="0.35415282392026576"/>
  </r>
  <r>
    <s v="TX00752"/>
    <x v="16"/>
    <s v="S04"/>
    <x v="4"/>
    <x v="2"/>
    <n v="1716"/>
    <n v="18"/>
    <n v="0.16"/>
    <n v="25945.919999999998"/>
    <n v="16679.52"/>
    <n v="30888"/>
    <s v="2024-05"/>
    <x v="3"/>
    <x v="3"/>
    <x v="3"/>
    <n v="4942.0800000000017"/>
    <n v="15.12"/>
    <n v="9"/>
    <n v="15444"/>
    <n v="1235.5200000000004"/>
    <n v="9266.3999999999978"/>
    <n v="0.3571428571428571"/>
  </r>
  <r>
    <s v="TX00753"/>
    <x v="16"/>
    <s v="S04"/>
    <x v="5"/>
    <x v="2"/>
    <n v="2662"/>
    <n v="30"/>
    <n v="0.13"/>
    <n v="69478.2"/>
    <n v="40249.440000000002"/>
    <n v="79860"/>
    <s v="2024-05"/>
    <x v="3"/>
    <x v="3"/>
    <x v="3"/>
    <n v="10381.800000000003"/>
    <n v="26.099999999999998"/>
    <n v="14"/>
    <n v="37268"/>
    <n v="2981.4400000000023"/>
    <n v="29228.759999999995"/>
    <n v="0.42068965517241375"/>
  </r>
  <r>
    <s v="TX00754"/>
    <x v="16"/>
    <s v="S04"/>
    <x v="6"/>
    <x v="3"/>
    <n v="2978"/>
    <n v="40"/>
    <n v="0.15"/>
    <n v="101252"/>
    <n v="64324.800000000003"/>
    <n v="119120"/>
    <s v="2024-05"/>
    <x v="3"/>
    <x v="3"/>
    <x v="4"/>
    <n v="17868"/>
    <n v="34"/>
    <n v="20"/>
    <n v="59560"/>
    <n v="4764.8000000000029"/>
    <n v="36927.199999999997"/>
    <n v="0.36470588235294116"/>
  </r>
  <r>
    <s v="TX00755"/>
    <x v="16"/>
    <s v="S04"/>
    <x v="7"/>
    <x v="4"/>
    <n v="1584"/>
    <n v="10"/>
    <n v="0.12"/>
    <n v="13939.2"/>
    <n v="6842.88"/>
    <n v="15840"/>
    <s v="2024-05"/>
    <x v="3"/>
    <x v="3"/>
    <x v="5"/>
    <n v="1900.7999999999993"/>
    <n v="8.8000000000000007"/>
    <n v="4"/>
    <n v="6336"/>
    <n v="506.88000000000011"/>
    <n v="7096.3200000000006"/>
    <n v="0.50909090909090915"/>
  </r>
  <r>
    <s v="TX00756"/>
    <x v="16"/>
    <s v="S04"/>
    <x v="8"/>
    <x v="4"/>
    <n v="2002"/>
    <n v="22"/>
    <n v="0.15"/>
    <n v="37437.4"/>
    <n v="21621.599999999999"/>
    <n v="44044"/>
    <s v="2024-05"/>
    <x v="3"/>
    <x v="3"/>
    <x v="5"/>
    <n v="6606.5999999999985"/>
    <n v="18.7"/>
    <n v="10"/>
    <n v="20020"/>
    <n v="1601.5999999999985"/>
    <n v="15815.800000000003"/>
    <n v="0.42245989304812842"/>
  </r>
  <r>
    <s v="TX00757"/>
    <x v="16"/>
    <s v="S05"/>
    <x v="0"/>
    <x v="0"/>
    <n v="1720"/>
    <n v="24"/>
    <n v="0.12"/>
    <n v="36326.400000000001"/>
    <n v="22291.200000000001"/>
    <n v="41280"/>
    <s v="2024-05"/>
    <x v="4"/>
    <x v="0"/>
    <x v="0"/>
    <n v="4953.5999999999985"/>
    <n v="21.12"/>
    <n v="12"/>
    <n v="20640"/>
    <n v="1651.2000000000007"/>
    <n v="14035.2"/>
    <n v="0.38636363636363635"/>
  </r>
  <r>
    <s v="TX00758"/>
    <x v="16"/>
    <s v="S05"/>
    <x v="1"/>
    <x v="0"/>
    <n v="2191"/>
    <n v="50"/>
    <n v="0.12"/>
    <n v="96404"/>
    <n v="66255.839999999997"/>
    <n v="109550"/>
    <s v="2024-05"/>
    <x v="4"/>
    <x v="0"/>
    <x v="1"/>
    <n v="13146"/>
    <n v="44"/>
    <n v="28"/>
    <n v="61348"/>
    <n v="4907.8399999999965"/>
    <n v="30148.160000000003"/>
    <n v="0.31272727272727274"/>
  </r>
  <r>
    <s v="TX00759"/>
    <x v="16"/>
    <s v="S05"/>
    <x v="2"/>
    <x v="1"/>
    <n v="2802"/>
    <n v="28"/>
    <n v="0.14000000000000001"/>
    <n v="67472.160000000003"/>
    <n v="45392.4"/>
    <n v="78456"/>
    <s v="2024-05"/>
    <x v="4"/>
    <x v="0"/>
    <x v="2"/>
    <n v="10983.839999999997"/>
    <n v="24.080000000000002"/>
    <n v="15"/>
    <n v="42030"/>
    <n v="3362.4000000000015"/>
    <n v="22079.760000000002"/>
    <n v="0.32724252491694356"/>
  </r>
  <r>
    <s v="TX00760"/>
    <x v="16"/>
    <s v="S05"/>
    <x v="3"/>
    <x v="1"/>
    <n v="2094"/>
    <n v="35"/>
    <n v="0.15"/>
    <n v="62296.5"/>
    <n v="40707.360000000001"/>
    <n v="73290"/>
    <s v="2024-05"/>
    <x v="4"/>
    <x v="0"/>
    <x v="2"/>
    <n v="10993.5"/>
    <n v="29.75"/>
    <n v="18"/>
    <n v="37692"/>
    <n v="3015.3600000000006"/>
    <n v="21589.14"/>
    <n v="0.34655462184873947"/>
  </r>
  <r>
    <s v="TX00761"/>
    <x v="16"/>
    <s v="S05"/>
    <x v="4"/>
    <x v="2"/>
    <n v="2085"/>
    <n v="18"/>
    <n v="0.17"/>
    <n v="31149.9"/>
    <n v="20266.2"/>
    <n v="37530"/>
    <s v="2024-05"/>
    <x v="4"/>
    <x v="0"/>
    <x v="3"/>
    <n v="6380.0999999999985"/>
    <n v="14.940000000000001"/>
    <n v="9"/>
    <n v="18765"/>
    <n v="1501.2000000000007"/>
    <n v="10883.7"/>
    <n v="0.3493975903614458"/>
  </r>
  <r>
    <s v="TX00762"/>
    <x v="16"/>
    <s v="S05"/>
    <x v="5"/>
    <x v="2"/>
    <n v="2930"/>
    <n v="30"/>
    <n v="0.13"/>
    <n v="76473"/>
    <n v="44301.599999999999"/>
    <n v="87900"/>
    <s v="2024-05"/>
    <x v="4"/>
    <x v="0"/>
    <x v="3"/>
    <n v="11427"/>
    <n v="26.1"/>
    <n v="14"/>
    <n v="41020"/>
    <n v="3281.5999999999985"/>
    <n v="32171.4"/>
    <n v="0.4206896551724138"/>
  </r>
  <r>
    <s v="TX00763"/>
    <x v="16"/>
    <s v="S05"/>
    <x v="6"/>
    <x v="3"/>
    <n v="2657"/>
    <n v="40"/>
    <n v="0.16"/>
    <n v="89275.199999999997"/>
    <n v="57391.199999999997"/>
    <n v="106280"/>
    <s v="2024-05"/>
    <x v="4"/>
    <x v="0"/>
    <x v="4"/>
    <n v="17004.800000000003"/>
    <n v="33.6"/>
    <n v="20"/>
    <n v="53140"/>
    <n v="4251.1999999999971"/>
    <n v="31884"/>
    <n v="0.35714285714285715"/>
  </r>
  <r>
    <s v="TX00764"/>
    <x v="16"/>
    <s v="S05"/>
    <x v="7"/>
    <x v="4"/>
    <n v="2503"/>
    <n v="10"/>
    <n v="0.16"/>
    <n v="21025.200000000001"/>
    <n v="10812.96"/>
    <n v="25030"/>
    <s v="2024-05"/>
    <x v="4"/>
    <x v="0"/>
    <x v="5"/>
    <n v="4004.7999999999993"/>
    <n v="8.4"/>
    <n v="4"/>
    <n v="10012"/>
    <n v="800.95999999999913"/>
    <n v="10212.240000000002"/>
    <n v="0.48571428571428577"/>
  </r>
  <r>
    <s v="TX00765"/>
    <x v="16"/>
    <s v="S05"/>
    <x v="8"/>
    <x v="4"/>
    <n v="1438"/>
    <n v="22"/>
    <n v="0.16"/>
    <n v="26574.240000000002"/>
    <n v="15530.4"/>
    <n v="31636"/>
    <s v="2024-05"/>
    <x v="4"/>
    <x v="0"/>
    <x v="5"/>
    <n v="5061.7599999999984"/>
    <n v="18.48"/>
    <n v="10"/>
    <n v="14380"/>
    <n v="1150.3999999999996"/>
    <n v="11043.840000000002"/>
    <n v="0.41558441558441561"/>
  </r>
  <r>
    <s v="TX00766"/>
    <x v="17"/>
    <s v="S01"/>
    <x v="0"/>
    <x v="0"/>
    <n v="2420"/>
    <n v="24"/>
    <n v="0.15"/>
    <n v="49368"/>
    <n v="31363.200000000001"/>
    <n v="58080"/>
    <s v="2024-06"/>
    <x v="0"/>
    <x v="0"/>
    <x v="0"/>
    <n v="8712"/>
    <n v="20.399999999999999"/>
    <n v="12"/>
    <n v="29040"/>
    <n v="2323.2000000000007"/>
    <n v="18004.8"/>
    <n v="0.36470588235294116"/>
  </r>
  <r>
    <s v="TX00767"/>
    <x v="17"/>
    <s v="S01"/>
    <x v="1"/>
    <x v="0"/>
    <n v="1328"/>
    <n v="50"/>
    <n v="0.14000000000000001"/>
    <n v="57104"/>
    <n v="40158.720000000001"/>
    <n v="66400"/>
    <s v="2024-06"/>
    <x v="0"/>
    <x v="0"/>
    <x v="1"/>
    <n v="9296"/>
    <n v="43"/>
    <n v="28"/>
    <n v="37184"/>
    <n v="2974.7200000000012"/>
    <n v="16945.28"/>
    <n v="0.29674418604651159"/>
  </r>
  <r>
    <s v="TX00768"/>
    <x v="17"/>
    <s v="S01"/>
    <x v="2"/>
    <x v="1"/>
    <n v="2939"/>
    <n v="28"/>
    <n v="0.13"/>
    <n v="71594.039999999994"/>
    <n v="47611.8"/>
    <n v="82292"/>
    <s v="2024-06"/>
    <x v="0"/>
    <x v="0"/>
    <x v="2"/>
    <n v="10697.960000000006"/>
    <n v="24.36"/>
    <n v="15"/>
    <n v="44085"/>
    <n v="3526.8000000000029"/>
    <n v="23982.239999999991"/>
    <n v="0.334975369458128"/>
  </r>
  <r>
    <s v="TX00769"/>
    <x v="17"/>
    <s v="S01"/>
    <x v="3"/>
    <x v="1"/>
    <n v="2596"/>
    <n v="35"/>
    <n v="0.13"/>
    <n v="79048.2"/>
    <n v="50466.239999999998"/>
    <n v="90860"/>
    <s v="2024-06"/>
    <x v="0"/>
    <x v="0"/>
    <x v="2"/>
    <n v="11811.800000000003"/>
    <n v="30.45"/>
    <n v="18"/>
    <n v="46728"/>
    <n v="3738.239999999998"/>
    <n v="28581.96"/>
    <n v="0.36157635467980298"/>
  </r>
  <r>
    <s v="TX00770"/>
    <x v="17"/>
    <s v="S01"/>
    <x v="4"/>
    <x v="2"/>
    <n v="3044"/>
    <n v="18"/>
    <n v="0.14000000000000001"/>
    <n v="47121.120000000003"/>
    <n v="29587.68"/>
    <n v="54792"/>
    <s v="2024-06"/>
    <x v="0"/>
    <x v="0"/>
    <x v="3"/>
    <n v="7670.8799999999974"/>
    <n v="15.48"/>
    <n v="9"/>
    <n v="27396"/>
    <n v="2191.6800000000003"/>
    <n v="17533.440000000002"/>
    <n v="0.372093023255814"/>
  </r>
  <r>
    <s v="TX00771"/>
    <x v="17"/>
    <s v="S01"/>
    <x v="5"/>
    <x v="2"/>
    <n v="2591"/>
    <n v="30"/>
    <n v="0.13"/>
    <n v="67625.100000000006"/>
    <n v="39175.919999999998"/>
    <n v="77730"/>
    <s v="2024-06"/>
    <x v="0"/>
    <x v="0"/>
    <x v="3"/>
    <n v="10104.899999999994"/>
    <n v="26.1"/>
    <n v="14"/>
    <n v="36274"/>
    <n v="2901.9199999999983"/>
    <n v="28449.180000000008"/>
    <n v="0.42068965517241386"/>
  </r>
  <r>
    <s v="TX00772"/>
    <x v="17"/>
    <s v="S01"/>
    <x v="6"/>
    <x v="3"/>
    <n v="2376"/>
    <n v="40"/>
    <n v="0.14000000000000001"/>
    <n v="81734.399999999994"/>
    <n v="51321.599999999999"/>
    <n v="95040"/>
    <s v="2024-06"/>
    <x v="0"/>
    <x v="0"/>
    <x v="4"/>
    <n v="13305.600000000006"/>
    <n v="34.4"/>
    <n v="20"/>
    <n v="47520"/>
    <n v="3801.5999999999985"/>
    <n v="30412.799999999996"/>
    <n v="0.37209302325581395"/>
  </r>
  <r>
    <s v="TX00773"/>
    <x v="17"/>
    <s v="S01"/>
    <x v="7"/>
    <x v="4"/>
    <n v="2943"/>
    <n v="10"/>
    <n v="0.14000000000000001"/>
    <n v="25309.8"/>
    <n v="12713.76"/>
    <n v="29430"/>
    <s v="2024-06"/>
    <x v="0"/>
    <x v="0"/>
    <x v="5"/>
    <n v="4120.2000000000007"/>
    <n v="8.6"/>
    <n v="4"/>
    <n v="11772"/>
    <n v="941.76000000000022"/>
    <n v="12596.039999999999"/>
    <n v="0.49767441860465111"/>
  </r>
  <r>
    <s v="TX00774"/>
    <x v="17"/>
    <s v="S01"/>
    <x v="8"/>
    <x v="4"/>
    <n v="2877"/>
    <n v="22"/>
    <n v="0.12"/>
    <n v="55698.720000000001"/>
    <n v="31071.599999999999"/>
    <n v="63294"/>
    <s v="2024-06"/>
    <x v="0"/>
    <x v="0"/>
    <x v="5"/>
    <n v="7595.2799999999988"/>
    <n v="19.36"/>
    <n v="10"/>
    <n v="28770"/>
    <n v="2301.5999999999985"/>
    <n v="24627.120000000003"/>
    <n v="0.44214876033057854"/>
  </r>
  <r>
    <s v="TX00775"/>
    <x v="17"/>
    <s v="S02"/>
    <x v="0"/>
    <x v="0"/>
    <n v="1680"/>
    <n v="24"/>
    <n v="0.16"/>
    <n v="33868.800000000003"/>
    <n v="21772.799999999999"/>
    <n v="40320"/>
    <s v="2024-06"/>
    <x v="1"/>
    <x v="1"/>
    <x v="0"/>
    <n v="6451.1999999999971"/>
    <n v="20.16"/>
    <n v="12"/>
    <n v="20160"/>
    <n v="1612.7999999999993"/>
    <n v="12096.000000000004"/>
    <n v="0.35714285714285721"/>
  </r>
  <r>
    <s v="TX00776"/>
    <x v="17"/>
    <s v="S02"/>
    <x v="1"/>
    <x v="0"/>
    <n v="1368"/>
    <n v="50"/>
    <n v="0.12"/>
    <n v="60192"/>
    <n v="41368.32"/>
    <n v="68400"/>
    <s v="2024-06"/>
    <x v="1"/>
    <x v="1"/>
    <x v="1"/>
    <n v="8208"/>
    <n v="44"/>
    <n v="28"/>
    <n v="38304"/>
    <n v="3064.3199999999997"/>
    <n v="18823.68"/>
    <n v="0.31272727272727274"/>
  </r>
  <r>
    <s v="TX00777"/>
    <x v="17"/>
    <s v="S02"/>
    <x v="2"/>
    <x v="1"/>
    <n v="1790"/>
    <n v="28"/>
    <n v="0.14000000000000001"/>
    <n v="43103.199999999997"/>
    <n v="28998"/>
    <n v="50120"/>
    <s v="2024-06"/>
    <x v="1"/>
    <x v="1"/>
    <x v="2"/>
    <n v="7016.8000000000029"/>
    <n v="24.08"/>
    <n v="15"/>
    <n v="26850"/>
    <n v="2148"/>
    <n v="14105.199999999997"/>
    <n v="0.3272425249169435"/>
  </r>
  <r>
    <s v="TX00778"/>
    <x v="17"/>
    <s v="S02"/>
    <x v="3"/>
    <x v="1"/>
    <n v="1733"/>
    <n v="35"/>
    <n v="0.14000000000000001"/>
    <n v="52163.3"/>
    <n v="33689.519999999997"/>
    <n v="60655"/>
    <s v="2024-06"/>
    <x v="1"/>
    <x v="1"/>
    <x v="2"/>
    <n v="8491.6999999999971"/>
    <n v="30.1"/>
    <n v="18"/>
    <n v="31194"/>
    <n v="2495.5199999999968"/>
    <n v="18473.780000000006"/>
    <n v="0.35415282392026587"/>
  </r>
  <r>
    <s v="TX00779"/>
    <x v="17"/>
    <s v="S02"/>
    <x v="4"/>
    <x v="2"/>
    <n v="2574"/>
    <n v="18"/>
    <n v="0.16"/>
    <n v="38918.879999999997"/>
    <n v="25019.279999999999"/>
    <n v="46332"/>
    <s v="2024-06"/>
    <x v="1"/>
    <x v="1"/>
    <x v="3"/>
    <n v="7413.1200000000026"/>
    <n v="15.12"/>
    <n v="9"/>
    <n v="23166"/>
    <n v="1853.2799999999988"/>
    <n v="13899.599999999999"/>
    <n v="0.35714285714285715"/>
  </r>
  <r>
    <s v="TX00780"/>
    <x v="17"/>
    <s v="S02"/>
    <x v="5"/>
    <x v="2"/>
    <n v="2437"/>
    <n v="30"/>
    <n v="0.14000000000000001"/>
    <n v="62874.6"/>
    <n v="36847.440000000002"/>
    <n v="73110"/>
    <s v="2024-06"/>
    <x v="1"/>
    <x v="1"/>
    <x v="3"/>
    <n v="10235.400000000001"/>
    <n v="25.8"/>
    <n v="14"/>
    <n v="34118"/>
    <n v="2729.4400000000023"/>
    <n v="26027.159999999996"/>
    <n v="0.41395348837209295"/>
  </r>
  <r>
    <s v="TX00781"/>
    <x v="17"/>
    <s v="S02"/>
    <x v="6"/>
    <x v="3"/>
    <n v="2301"/>
    <n v="40"/>
    <n v="0.12"/>
    <n v="80995.199999999997"/>
    <n v="49701.599999999999"/>
    <n v="92040"/>
    <s v="2024-06"/>
    <x v="1"/>
    <x v="1"/>
    <x v="4"/>
    <n v="11044.800000000003"/>
    <n v="35.199999999999996"/>
    <n v="20"/>
    <n v="46020"/>
    <n v="3681.5999999999985"/>
    <n v="31293.599999999999"/>
    <n v="0.38636363636363635"/>
  </r>
  <r>
    <s v="TX00782"/>
    <x v="17"/>
    <s v="S02"/>
    <x v="7"/>
    <x v="4"/>
    <n v="2222"/>
    <n v="10"/>
    <n v="0.13"/>
    <n v="19331.400000000001"/>
    <n v="9599.0400000000009"/>
    <n v="22220"/>
    <s v="2024-06"/>
    <x v="1"/>
    <x v="1"/>
    <x v="5"/>
    <n v="2888.5999999999985"/>
    <n v="8.7000000000000011"/>
    <n v="4"/>
    <n v="8888"/>
    <n v="711.04000000000087"/>
    <n v="9732.36"/>
    <n v="0.50344827586206897"/>
  </r>
  <r>
    <s v="TX00783"/>
    <x v="17"/>
    <s v="S02"/>
    <x v="8"/>
    <x v="4"/>
    <n v="2054"/>
    <n v="22"/>
    <n v="0.16"/>
    <n v="37957.919999999998"/>
    <n v="22183.200000000001"/>
    <n v="45188"/>
    <s v="2024-06"/>
    <x v="1"/>
    <x v="1"/>
    <x v="5"/>
    <n v="7230.0800000000017"/>
    <n v="18.48"/>
    <n v="10"/>
    <n v="20540"/>
    <n v="1643.2000000000007"/>
    <n v="15774.719999999998"/>
    <n v="0.41558441558441556"/>
  </r>
  <r>
    <s v="TX00784"/>
    <x v="17"/>
    <s v="S03"/>
    <x v="0"/>
    <x v="0"/>
    <n v="2714"/>
    <n v="24"/>
    <n v="0.16"/>
    <n v="54714.239999999998"/>
    <n v="35173.440000000002"/>
    <n v="65136"/>
    <s v="2024-06"/>
    <x v="2"/>
    <x v="2"/>
    <x v="0"/>
    <n v="10421.760000000002"/>
    <n v="20.16"/>
    <n v="12"/>
    <n v="32568"/>
    <n v="2605.4400000000023"/>
    <n v="19540.799999999996"/>
    <n v="0.3571428571428571"/>
  </r>
  <r>
    <s v="TX00785"/>
    <x v="17"/>
    <s v="S03"/>
    <x v="1"/>
    <x v="0"/>
    <n v="2402"/>
    <n v="50"/>
    <n v="0.14000000000000001"/>
    <n v="103286"/>
    <n v="72636.479999999996"/>
    <n v="120100"/>
    <s v="2024-06"/>
    <x v="2"/>
    <x v="2"/>
    <x v="1"/>
    <n v="16814"/>
    <n v="43"/>
    <n v="28"/>
    <n v="67256"/>
    <n v="5380.4799999999959"/>
    <n v="30649.520000000004"/>
    <n v="0.29674418604651165"/>
  </r>
  <r>
    <s v="TX00786"/>
    <x v="17"/>
    <s v="S03"/>
    <x v="2"/>
    <x v="1"/>
    <n v="2208"/>
    <n v="28"/>
    <n v="0.16"/>
    <n v="51932.160000000003"/>
    <n v="35769.599999999999"/>
    <n v="61824"/>
    <s v="2024-06"/>
    <x v="2"/>
    <x v="2"/>
    <x v="2"/>
    <n v="9891.8399999999965"/>
    <n v="23.520000000000003"/>
    <n v="15"/>
    <n v="33120"/>
    <n v="2649.5999999999985"/>
    <n v="16162.560000000005"/>
    <n v="0.31122448979591844"/>
  </r>
  <r>
    <s v="TX00787"/>
    <x v="17"/>
    <s v="S03"/>
    <x v="3"/>
    <x v="1"/>
    <n v="2758"/>
    <n v="35"/>
    <n v="0.14000000000000001"/>
    <n v="83015.8"/>
    <n v="53615.519999999997"/>
    <n v="96530"/>
    <s v="2024-06"/>
    <x v="2"/>
    <x v="2"/>
    <x v="2"/>
    <n v="13514.199999999997"/>
    <n v="30.1"/>
    <n v="18"/>
    <n v="49644"/>
    <n v="3971.5199999999968"/>
    <n v="29400.280000000006"/>
    <n v="0.35415282392026587"/>
  </r>
  <r>
    <s v="TX00788"/>
    <x v="17"/>
    <s v="S03"/>
    <x v="4"/>
    <x v="2"/>
    <n v="1645"/>
    <n v="18"/>
    <n v="0.13"/>
    <n v="25760.7"/>
    <n v="15989.4"/>
    <n v="29610"/>
    <s v="2024-06"/>
    <x v="2"/>
    <x v="2"/>
    <x v="3"/>
    <n v="3849.2999999999993"/>
    <n v="15.66"/>
    <n v="9"/>
    <n v="14805"/>
    <n v="1184.3999999999996"/>
    <n v="9771.3000000000011"/>
    <n v="0.37931034482758624"/>
  </r>
  <r>
    <s v="TX00789"/>
    <x v="17"/>
    <s v="S03"/>
    <x v="5"/>
    <x v="2"/>
    <n v="2600"/>
    <n v="30"/>
    <n v="0.13"/>
    <n v="67860"/>
    <n v="39312"/>
    <n v="78000"/>
    <s v="2024-06"/>
    <x v="2"/>
    <x v="2"/>
    <x v="3"/>
    <n v="10140"/>
    <n v="26.1"/>
    <n v="14"/>
    <n v="36400"/>
    <n v="2912"/>
    <n v="28548"/>
    <n v="0.4206896551724138"/>
  </r>
  <r>
    <s v="TX00790"/>
    <x v="17"/>
    <s v="S03"/>
    <x v="6"/>
    <x v="3"/>
    <n v="1883"/>
    <n v="40"/>
    <n v="0.15"/>
    <n v="64022"/>
    <n v="40672.800000000003"/>
    <n v="75320"/>
    <s v="2024-06"/>
    <x v="2"/>
    <x v="2"/>
    <x v="4"/>
    <n v="11298"/>
    <n v="34"/>
    <n v="20"/>
    <n v="37660"/>
    <n v="3012.8000000000029"/>
    <n v="23349.199999999997"/>
    <n v="0.36470588235294116"/>
  </r>
  <r>
    <s v="TX00791"/>
    <x v="17"/>
    <s v="S03"/>
    <x v="7"/>
    <x v="4"/>
    <n v="2987"/>
    <n v="10"/>
    <n v="0.13"/>
    <n v="25986.9"/>
    <n v="12903.84"/>
    <n v="29870"/>
    <s v="2024-06"/>
    <x v="2"/>
    <x v="2"/>
    <x v="5"/>
    <n v="3883.0999999999985"/>
    <n v="8.7000000000000011"/>
    <n v="4"/>
    <n v="11948"/>
    <n v="955.84000000000015"/>
    <n v="13083.060000000001"/>
    <n v="0.50344827586206897"/>
  </r>
  <r>
    <s v="TX00792"/>
    <x v="17"/>
    <s v="S03"/>
    <x v="8"/>
    <x v="4"/>
    <n v="2934"/>
    <n v="22"/>
    <n v="0.16"/>
    <n v="54220.32"/>
    <n v="31687.200000000001"/>
    <n v="64548"/>
    <s v="2024-06"/>
    <x v="2"/>
    <x v="2"/>
    <x v="5"/>
    <n v="10327.68"/>
    <n v="18.48"/>
    <n v="10"/>
    <n v="29340"/>
    <n v="2347.2000000000007"/>
    <n v="22533.119999999999"/>
    <n v="0.41558441558441556"/>
  </r>
  <r>
    <s v="TX00793"/>
    <x v="17"/>
    <s v="S04"/>
    <x v="0"/>
    <x v="0"/>
    <n v="2486"/>
    <n v="24"/>
    <n v="0.17"/>
    <n v="49521.120000000003"/>
    <n v="32218.560000000001"/>
    <n v="59664"/>
    <s v="2024-06"/>
    <x v="3"/>
    <x v="3"/>
    <x v="0"/>
    <n v="10142.879999999997"/>
    <n v="19.920000000000002"/>
    <n v="12"/>
    <n v="29832"/>
    <n v="2386.5600000000013"/>
    <n v="17302.560000000001"/>
    <n v="0.3493975903614458"/>
  </r>
  <r>
    <s v="TX00794"/>
    <x v="17"/>
    <s v="S04"/>
    <x v="1"/>
    <x v="0"/>
    <n v="2472"/>
    <n v="50"/>
    <n v="0.14000000000000001"/>
    <n v="106296"/>
    <n v="74753.279999999999"/>
    <n v="123600"/>
    <s v="2024-06"/>
    <x v="3"/>
    <x v="3"/>
    <x v="1"/>
    <n v="17304"/>
    <n v="43"/>
    <n v="28"/>
    <n v="69216"/>
    <n v="5537.2799999999988"/>
    <n v="31542.720000000001"/>
    <n v="0.29674418604651165"/>
  </r>
  <r>
    <s v="TX00795"/>
    <x v="17"/>
    <s v="S04"/>
    <x v="2"/>
    <x v="1"/>
    <n v="1804"/>
    <n v="28"/>
    <n v="0.15"/>
    <n v="42935.199999999997"/>
    <n v="29224.799999999999"/>
    <n v="50512"/>
    <s v="2024-06"/>
    <x v="3"/>
    <x v="3"/>
    <x v="2"/>
    <n v="7576.8000000000029"/>
    <n v="23.799999999999997"/>
    <n v="15"/>
    <n v="27060"/>
    <n v="2164.7999999999993"/>
    <n v="13710.399999999998"/>
    <n v="0.31932773109243695"/>
  </r>
  <r>
    <s v="TX00796"/>
    <x v="17"/>
    <s v="S04"/>
    <x v="3"/>
    <x v="1"/>
    <n v="1663"/>
    <n v="35"/>
    <n v="0.13"/>
    <n v="50638.35"/>
    <n v="32328.720000000001"/>
    <n v="58205"/>
    <s v="2024-06"/>
    <x v="3"/>
    <x v="3"/>
    <x v="2"/>
    <n v="7566.6500000000015"/>
    <n v="30.45"/>
    <n v="18"/>
    <n v="29934"/>
    <n v="2394.7200000000012"/>
    <n v="18309.629999999997"/>
    <n v="0.36157635467980292"/>
  </r>
  <r>
    <s v="TX00797"/>
    <x v="17"/>
    <s v="S04"/>
    <x v="4"/>
    <x v="2"/>
    <n v="2578"/>
    <n v="18"/>
    <n v="0.15"/>
    <n v="39443.4"/>
    <n v="25058.16"/>
    <n v="46404"/>
    <s v="2024-06"/>
    <x v="3"/>
    <x v="3"/>
    <x v="3"/>
    <n v="6960.5999999999985"/>
    <n v="15.3"/>
    <n v="9"/>
    <n v="23202"/>
    <n v="1856.1599999999999"/>
    <n v="14385.240000000002"/>
    <n v="0.36470588235294121"/>
  </r>
  <r>
    <s v="TX00798"/>
    <x v="17"/>
    <s v="S04"/>
    <x v="5"/>
    <x v="2"/>
    <n v="2582"/>
    <n v="30"/>
    <n v="0.12"/>
    <n v="68164.800000000003"/>
    <n v="39039.839999999997"/>
    <n v="77460"/>
    <s v="2024-06"/>
    <x v="3"/>
    <x v="3"/>
    <x v="3"/>
    <n v="9295.1999999999971"/>
    <n v="26.400000000000002"/>
    <n v="14"/>
    <n v="36148"/>
    <n v="2891.8399999999965"/>
    <n v="29124.960000000006"/>
    <n v="0.42727272727272736"/>
  </r>
  <r>
    <s v="TX00799"/>
    <x v="17"/>
    <s v="S04"/>
    <x v="6"/>
    <x v="3"/>
    <n v="2398"/>
    <n v="40"/>
    <n v="0.16"/>
    <n v="80572.800000000003"/>
    <n v="51796.800000000003"/>
    <n v="95920"/>
    <s v="2024-06"/>
    <x v="3"/>
    <x v="3"/>
    <x v="4"/>
    <n v="15347.199999999997"/>
    <n v="33.6"/>
    <n v="20"/>
    <n v="47960"/>
    <n v="3836.8000000000029"/>
    <n v="28776"/>
    <n v="0.35714285714285715"/>
  </r>
  <r>
    <s v="TX00800"/>
    <x v="17"/>
    <s v="S04"/>
    <x v="7"/>
    <x v="4"/>
    <n v="2829"/>
    <n v="10"/>
    <n v="0.12"/>
    <n v="24895.200000000001"/>
    <n v="12221.28"/>
    <n v="28290"/>
    <s v="2024-06"/>
    <x v="3"/>
    <x v="3"/>
    <x v="5"/>
    <n v="3394.7999999999993"/>
    <n v="8.8000000000000007"/>
    <n v="4"/>
    <n v="11316"/>
    <n v="905.28000000000065"/>
    <n v="12673.92"/>
    <n v="0.50909090909090904"/>
  </r>
  <r>
    <s v="TX00801"/>
    <x v="17"/>
    <s v="S04"/>
    <x v="8"/>
    <x v="4"/>
    <n v="2318"/>
    <n v="22"/>
    <n v="0.14000000000000001"/>
    <n v="43856.56"/>
    <n v="25034.400000000001"/>
    <n v="50996"/>
    <s v="2024-06"/>
    <x v="3"/>
    <x v="3"/>
    <x v="5"/>
    <n v="7139.4400000000023"/>
    <n v="18.919999999999998"/>
    <n v="10"/>
    <n v="23180"/>
    <n v="1854.4000000000015"/>
    <n v="18822.159999999996"/>
    <n v="0.42917547568710351"/>
  </r>
  <r>
    <s v="TX00802"/>
    <x v="17"/>
    <s v="S05"/>
    <x v="0"/>
    <x v="0"/>
    <n v="1707"/>
    <n v="24"/>
    <n v="0.13"/>
    <n v="35642.160000000003"/>
    <n v="22122.720000000001"/>
    <n v="40968"/>
    <s v="2024-06"/>
    <x v="4"/>
    <x v="0"/>
    <x v="0"/>
    <n v="5325.8399999999965"/>
    <n v="20.880000000000003"/>
    <n v="12"/>
    <n v="20484"/>
    <n v="1638.7200000000012"/>
    <n v="13519.440000000002"/>
    <n v="0.37931034482758624"/>
  </r>
  <r>
    <s v="TX00803"/>
    <x v="17"/>
    <s v="S05"/>
    <x v="1"/>
    <x v="0"/>
    <n v="2688"/>
    <n v="50"/>
    <n v="0.14000000000000001"/>
    <n v="115584"/>
    <n v="81285.119999999995"/>
    <n v="134400"/>
    <s v="2024-06"/>
    <x v="4"/>
    <x v="0"/>
    <x v="1"/>
    <n v="18816"/>
    <n v="43"/>
    <n v="28"/>
    <n v="75264"/>
    <n v="6021.1199999999953"/>
    <n v="34298.880000000005"/>
    <n v="0.29674418604651165"/>
  </r>
  <r>
    <s v="TX00804"/>
    <x v="17"/>
    <s v="S05"/>
    <x v="2"/>
    <x v="1"/>
    <n v="2098"/>
    <n v="28"/>
    <n v="0.17"/>
    <n v="48757.52"/>
    <n v="33987.599999999999"/>
    <n v="58744"/>
    <s v="2024-06"/>
    <x v="4"/>
    <x v="0"/>
    <x v="2"/>
    <n v="9986.4800000000032"/>
    <n v="23.24"/>
    <n v="15"/>
    <n v="31470"/>
    <n v="2517.5999999999985"/>
    <n v="14769.919999999998"/>
    <n v="0.30292598967297762"/>
  </r>
  <r>
    <s v="TX00805"/>
    <x v="17"/>
    <s v="S05"/>
    <x v="3"/>
    <x v="1"/>
    <n v="1887"/>
    <n v="35"/>
    <n v="0.16"/>
    <n v="55477.8"/>
    <n v="36683.279999999999"/>
    <n v="66045"/>
    <s v="2024-06"/>
    <x v="4"/>
    <x v="0"/>
    <x v="2"/>
    <n v="10567.199999999997"/>
    <n v="29.400000000000002"/>
    <n v="18"/>
    <n v="33966"/>
    <n v="2717.2799999999988"/>
    <n v="18794.520000000004"/>
    <n v="0.3387755102040817"/>
  </r>
  <r>
    <s v="TX00806"/>
    <x v="17"/>
    <s v="S05"/>
    <x v="4"/>
    <x v="2"/>
    <n v="1412"/>
    <n v="18"/>
    <n v="0.13"/>
    <n v="22111.919999999998"/>
    <n v="13724.64"/>
    <n v="25416"/>
    <s v="2024-06"/>
    <x v="4"/>
    <x v="0"/>
    <x v="3"/>
    <n v="3304.0800000000017"/>
    <n v="15.659999999999998"/>
    <n v="9"/>
    <n v="12708"/>
    <n v="1016.6399999999994"/>
    <n v="8387.2799999999988"/>
    <n v="0.37931034482758619"/>
  </r>
  <r>
    <s v="TX00807"/>
    <x v="17"/>
    <s v="S05"/>
    <x v="5"/>
    <x v="2"/>
    <n v="2516"/>
    <n v="30"/>
    <n v="0.16"/>
    <n v="63403.199999999997"/>
    <n v="38041.919999999998"/>
    <n v="75480"/>
    <s v="2024-06"/>
    <x v="4"/>
    <x v="0"/>
    <x v="3"/>
    <n v="12076.800000000003"/>
    <n v="25.2"/>
    <n v="14"/>
    <n v="35224"/>
    <n v="2817.9199999999983"/>
    <n v="25361.279999999999"/>
    <n v="0.4"/>
  </r>
  <r>
    <s v="TX00808"/>
    <x v="17"/>
    <s v="S05"/>
    <x v="6"/>
    <x v="3"/>
    <n v="1619"/>
    <n v="40"/>
    <n v="0.14000000000000001"/>
    <n v="55693.599999999999"/>
    <n v="34970.400000000001"/>
    <n v="64760"/>
    <s v="2024-06"/>
    <x v="4"/>
    <x v="0"/>
    <x v="4"/>
    <n v="9066.4000000000015"/>
    <n v="34.4"/>
    <n v="20"/>
    <n v="32380"/>
    <n v="2590.4000000000015"/>
    <n v="20723.199999999997"/>
    <n v="0.37209302325581389"/>
  </r>
  <r>
    <s v="TX00809"/>
    <x v="17"/>
    <s v="S05"/>
    <x v="7"/>
    <x v="4"/>
    <n v="2305"/>
    <n v="10"/>
    <n v="0.16"/>
    <n v="19362"/>
    <n v="9957.6"/>
    <n v="23050"/>
    <s v="2024-06"/>
    <x v="4"/>
    <x v="0"/>
    <x v="5"/>
    <n v="3688"/>
    <n v="8.4"/>
    <n v="4"/>
    <n v="9220"/>
    <n v="737.60000000000036"/>
    <n v="9404.4"/>
    <n v="0.48571428571428571"/>
  </r>
  <r>
    <s v="TX00810"/>
    <x v="17"/>
    <s v="S05"/>
    <x v="8"/>
    <x v="4"/>
    <n v="1636"/>
    <n v="22"/>
    <n v="0.15"/>
    <n v="30593.200000000001"/>
    <n v="17668.8"/>
    <n v="35992"/>
    <s v="2024-06"/>
    <x v="4"/>
    <x v="0"/>
    <x v="5"/>
    <n v="5398.7999999999993"/>
    <n v="18.7"/>
    <n v="10"/>
    <n v="16360"/>
    <n v="1308.7999999999993"/>
    <n v="12924.400000000001"/>
    <n v="0.42245989304812837"/>
  </r>
  <r>
    <s v="TX00811"/>
    <x v="18"/>
    <s v="S01"/>
    <x v="0"/>
    <x v="0"/>
    <n v="1553"/>
    <n v="24"/>
    <n v="0.15"/>
    <n v="31681.200000000001"/>
    <n v="20126.88"/>
    <n v="37272"/>
    <s v="2024-07"/>
    <x v="0"/>
    <x v="0"/>
    <x v="0"/>
    <n v="5590.7999999999993"/>
    <n v="20.400000000000002"/>
    <n v="12"/>
    <n v="18636"/>
    <n v="1490.880000000001"/>
    <n v="11554.32"/>
    <n v="0.36470588235294116"/>
  </r>
  <r>
    <s v="TX00812"/>
    <x v="18"/>
    <s v="S01"/>
    <x v="1"/>
    <x v="0"/>
    <n v="1456"/>
    <n v="50"/>
    <n v="0.12"/>
    <n v="64064"/>
    <n v="44029.440000000002"/>
    <n v="72800"/>
    <s v="2024-07"/>
    <x v="0"/>
    <x v="0"/>
    <x v="1"/>
    <n v="8736"/>
    <n v="44"/>
    <n v="28"/>
    <n v="40768"/>
    <n v="3261.4400000000023"/>
    <n v="20034.559999999998"/>
    <n v="0.31272727272727269"/>
  </r>
  <r>
    <s v="TX00813"/>
    <x v="18"/>
    <s v="S01"/>
    <x v="2"/>
    <x v="1"/>
    <n v="1927"/>
    <n v="28"/>
    <n v="0.14000000000000001"/>
    <n v="46402.16"/>
    <n v="31217.4"/>
    <n v="53956"/>
    <s v="2024-07"/>
    <x v="0"/>
    <x v="0"/>
    <x v="2"/>
    <n v="7553.8399999999965"/>
    <n v="24.080000000000002"/>
    <n v="15"/>
    <n v="28905"/>
    <n v="2312.4000000000015"/>
    <n v="15184.760000000002"/>
    <n v="0.32724252491694356"/>
  </r>
  <r>
    <s v="TX00814"/>
    <x v="18"/>
    <s v="S01"/>
    <x v="3"/>
    <x v="1"/>
    <n v="2807"/>
    <n v="35"/>
    <n v="0.16"/>
    <n v="82525.8"/>
    <n v="54568.08"/>
    <n v="98245"/>
    <s v="2024-07"/>
    <x v="0"/>
    <x v="0"/>
    <x v="2"/>
    <n v="15719.199999999997"/>
    <n v="29.400000000000002"/>
    <n v="18"/>
    <n v="50526"/>
    <n v="4042.0800000000017"/>
    <n v="27957.72"/>
    <n v="0.33877551020408164"/>
  </r>
  <r>
    <s v="TX00815"/>
    <x v="18"/>
    <s v="S01"/>
    <x v="4"/>
    <x v="2"/>
    <n v="1878"/>
    <n v="18"/>
    <n v="0.15"/>
    <n v="28733.4"/>
    <n v="18254.16"/>
    <n v="33804"/>
    <s v="2024-07"/>
    <x v="0"/>
    <x v="0"/>
    <x v="3"/>
    <n v="5070.5999999999985"/>
    <n v="15.3"/>
    <n v="9"/>
    <n v="16902"/>
    <n v="1352.1599999999999"/>
    <n v="10479.240000000002"/>
    <n v="0.36470588235294121"/>
  </r>
  <r>
    <s v="TX00816"/>
    <x v="18"/>
    <s v="S01"/>
    <x v="5"/>
    <x v="2"/>
    <n v="2274"/>
    <n v="30"/>
    <n v="0.16"/>
    <n v="57304.800000000003"/>
    <n v="34382.879999999997"/>
    <n v="68220"/>
    <s v="2024-07"/>
    <x v="0"/>
    <x v="0"/>
    <x v="3"/>
    <n v="10915.199999999997"/>
    <n v="25.200000000000003"/>
    <n v="14"/>
    <n v="31836"/>
    <n v="2546.8799999999974"/>
    <n v="22921.920000000006"/>
    <n v="0.40000000000000008"/>
  </r>
  <r>
    <s v="TX00817"/>
    <x v="18"/>
    <s v="S01"/>
    <x v="6"/>
    <x v="3"/>
    <n v="2477"/>
    <n v="40"/>
    <n v="0.14000000000000001"/>
    <n v="85208.8"/>
    <n v="53503.199999999997"/>
    <n v="99080"/>
    <s v="2024-07"/>
    <x v="0"/>
    <x v="0"/>
    <x v="4"/>
    <n v="13871.199999999997"/>
    <n v="34.4"/>
    <n v="20"/>
    <n v="49540"/>
    <n v="3963.1999999999971"/>
    <n v="31705.600000000006"/>
    <n v="0.372093023255814"/>
  </r>
  <r>
    <s v="TX00818"/>
    <x v="18"/>
    <s v="S01"/>
    <x v="7"/>
    <x v="4"/>
    <n v="1522"/>
    <n v="10"/>
    <n v="0.14000000000000001"/>
    <n v="13089.2"/>
    <n v="6575.04"/>
    <n v="15220"/>
    <s v="2024-07"/>
    <x v="0"/>
    <x v="0"/>
    <x v="5"/>
    <n v="2130.7999999999993"/>
    <n v="8.6"/>
    <n v="4"/>
    <n v="6088"/>
    <n v="487.03999999999996"/>
    <n v="6514.1600000000008"/>
    <n v="0.49767441860465117"/>
  </r>
  <r>
    <s v="TX00819"/>
    <x v="18"/>
    <s v="S01"/>
    <x v="8"/>
    <x v="4"/>
    <n v="1518"/>
    <n v="22"/>
    <n v="0.16"/>
    <n v="28052.639999999999"/>
    <n v="16394.400000000001"/>
    <n v="33396"/>
    <s v="2024-07"/>
    <x v="0"/>
    <x v="0"/>
    <x v="5"/>
    <n v="5343.3600000000006"/>
    <n v="18.48"/>
    <n v="10"/>
    <n v="15180"/>
    <n v="1214.4000000000015"/>
    <n v="11658.239999999998"/>
    <n v="0.4155844155844155"/>
  </r>
  <r>
    <s v="TX00820"/>
    <x v="18"/>
    <s v="S02"/>
    <x v="0"/>
    <x v="0"/>
    <n v="2684"/>
    <n v="24"/>
    <n v="0.12"/>
    <n v="56686.080000000002"/>
    <n v="34784.639999999999"/>
    <n v="64416"/>
    <s v="2024-07"/>
    <x v="1"/>
    <x v="1"/>
    <x v="0"/>
    <n v="7729.9199999999983"/>
    <n v="21.12"/>
    <n v="12"/>
    <n v="32208"/>
    <n v="2576.6399999999994"/>
    <n v="21901.440000000002"/>
    <n v="0.38636363636363641"/>
  </r>
  <r>
    <s v="TX00821"/>
    <x v="18"/>
    <s v="S02"/>
    <x v="1"/>
    <x v="0"/>
    <n v="2640"/>
    <n v="50"/>
    <n v="0.16"/>
    <n v="110880"/>
    <n v="79833.600000000006"/>
    <n v="132000"/>
    <s v="2024-07"/>
    <x v="1"/>
    <x v="1"/>
    <x v="1"/>
    <n v="21120"/>
    <n v="42"/>
    <n v="28"/>
    <n v="73920"/>
    <n v="5913.6000000000058"/>
    <n v="31046.399999999994"/>
    <n v="0.27999999999999997"/>
  </r>
  <r>
    <s v="TX00822"/>
    <x v="18"/>
    <s v="S02"/>
    <x v="2"/>
    <x v="1"/>
    <n v="2450"/>
    <n v="28"/>
    <n v="0.13"/>
    <n v="59682"/>
    <n v="39690"/>
    <n v="68600"/>
    <s v="2024-07"/>
    <x v="1"/>
    <x v="1"/>
    <x v="2"/>
    <n v="8918"/>
    <n v="24.36"/>
    <n v="15"/>
    <n v="36750"/>
    <n v="2940"/>
    <n v="19992"/>
    <n v="0.33497536945812806"/>
  </r>
  <r>
    <s v="TX00823"/>
    <x v="18"/>
    <s v="S02"/>
    <x v="3"/>
    <x v="1"/>
    <n v="2538"/>
    <n v="35"/>
    <n v="0.17"/>
    <n v="73728.899999999994"/>
    <n v="49338.720000000001"/>
    <n v="88830"/>
    <s v="2024-07"/>
    <x v="1"/>
    <x v="1"/>
    <x v="2"/>
    <n v="15101.100000000006"/>
    <n v="29.049999999999997"/>
    <n v="18"/>
    <n v="45684"/>
    <n v="3654.7200000000012"/>
    <n v="24390.179999999993"/>
    <n v="0.33080895008605843"/>
  </r>
  <r>
    <s v="TX00824"/>
    <x v="18"/>
    <s v="S02"/>
    <x v="4"/>
    <x v="2"/>
    <n v="2754"/>
    <n v="18"/>
    <n v="0.14000000000000001"/>
    <n v="42631.92"/>
    <n v="26768.880000000001"/>
    <n v="49572"/>
    <s v="2024-07"/>
    <x v="1"/>
    <x v="1"/>
    <x v="3"/>
    <n v="6940.0800000000017"/>
    <n v="15.479999999999999"/>
    <n v="9"/>
    <n v="24786"/>
    <n v="1982.880000000001"/>
    <n v="15863.039999999997"/>
    <n v="0.37209302325581389"/>
  </r>
  <r>
    <s v="TX00825"/>
    <x v="18"/>
    <s v="S02"/>
    <x v="5"/>
    <x v="2"/>
    <n v="1694"/>
    <n v="30"/>
    <n v="0.17"/>
    <n v="42180.6"/>
    <n v="25613.279999999999"/>
    <n v="50820"/>
    <s v="2024-07"/>
    <x v="1"/>
    <x v="1"/>
    <x v="3"/>
    <n v="8639.4000000000015"/>
    <n v="24.9"/>
    <n v="14"/>
    <n v="23716"/>
    <n v="1897.2799999999988"/>
    <n v="16567.32"/>
    <n v="0.39277108433734942"/>
  </r>
  <r>
    <s v="TX00826"/>
    <x v="18"/>
    <s v="S02"/>
    <x v="6"/>
    <x v="3"/>
    <n v="1852"/>
    <n v="40"/>
    <n v="0.17"/>
    <n v="61486.400000000001"/>
    <n v="40003.199999999997"/>
    <n v="74080"/>
    <s v="2024-07"/>
    <x v="1"/>
    <x v="1"/>
    <x v="4"/>
    <n v="12593.599999999999"/>
    <n v="33.200000000000003"/>
    <n v="20"/>
    <n v="37040"/>
    <n v="2963.1999999999971"/>
    <n v="21483.200000000004"/>
    <n v="0.34939759036144585"/>
  </r>
  <r>
    <s v="TX00827"/>
    <x v="18"/>
    <s v="S02"/>
    <x v="7"/>
    <x v="4"/>
    <n v="2406"/>
    <n v="10"/>
    <n v="0.15"/>
    <n v="20451"/>
    <n v="10393.92"/>
    <n v="24060"/>
    <s v="2024-07"/>
    <x v="1"/>
    <x v="1"/>
    <x v="5"/>
    <n v="3609"/>
    <n v="8.5"/>
    <n v="4"/>
    <n v="9624"/>
    <n v="769.92000000000007"/>
    <n v="10057.08"/>
    <n v="0.49176470588235294"/>
  </r>
  <r>
    <s v="TX00828"/>
    <x v="18"/>
    <s v="S02"/>
    <x v="8"/>
    <x v="4"/>
    <n v="1487"/>
    <n v="22"/>
    <n v="0.12"/>
    <n v="28788.32"/>
    <n v="16059.6"/>
    <n v="32714"/>
    <s v="2024-07"/>
    <x v="1"/>
    <x v="1"/>
    <x v="5"/>
    <n v="3925.6800000000003"/>
    <n v="19.36"/>
    <n v="10"/>
    <n v="14870"/>
    <n v="1189.6000000000004"/>
    <n v="12728.72"/>
    <n v="0.44214876033057848"/>
  </r>
  <r>
    <s v="TX00829"/>
    <x v="18"/>
    <s v="S03"/>
    <x v="0"/>
    <x v="0"/>
    <n v="2455"/>
    <n v="24"/>
    <n v="0.17"/>
    <n v="48903.6"/>
    <n v="31816.799999999999"/>
    <n v="58920"/>
    <s v="2024-07"/>
    <x v="2"/>
    <x v="2"/>
    <x v="0"/>
    <n v="10016.400000000001"/>
    <n v="19.919999999999998"/>
    <n v="12"/>
    <n v="29460"/>
    <n v="2356.7999999999993"/>
    <n v="17086.8"/>
    <n v="0.3493975903614458"/>
  </r>
  <r>
    <s v="TX00830"/>
    <x v="18"/>
    <s v="S03"/>
    <x v="1"/>
    <x v="0"/>
    <n v="1628"/>
    <n v="50"/>
    <n v="0.14000000000000001"/>
    <n v="70004"/>
    <n v="49230.720000000001"/>
    <n v="81400"/>
    <s v="2024-07"/>
    <x v="2"/>
    <x v="2"/>
    <x v="1"/>
    <n v="11396"/>
    <n v="43"/>
    <n v="28"/>
    <n v="45584"/>
    <n v="3646.7200000000012"/>
    <n v="20773.28"/>
    <n v="0.29674418604651159"/>
  </r>
  <r>
    <s v="TX00831"/>
    <x v="18"/>
    <s v="S03"/>
    <x v="2"/>
    <x v="1"/>
    <n v="2670"/>
    <n v="28"/>
    <n v="0.14000000000000001"/>
    <n v="64293.599999999999"/>
    <n v="43254"/>
    <n v="74760"/>
    <s v="2024-07"/>
    <x v="2"/>
    <x v="2"/>
    <x v="2"/>
    <n v="10466.400000000001"/>
    <n v="24.08"/>
    <n v="15"/>
    <n v="40050"/>
    <n v="3204"/>
    <n v="21039.599999999999"/>
    <n v="0.3272425249169435"/>
  </r>
  <r>
    <s v="TX00832"/>
    <x v="18"/>
    <s v="S03"/>
    <x v="3"/>
    <x v="1"/>
    <n v="2952"/>
    <n v="35"/>
    <n v="0.15"/>
    <n v="87822"/>
    <n v="57386.879999999997"/>
    <n v="103320"/>
    <s v="2024-07"/>
    <x v="2"/>
    <x v="2"/>
    <x v="2"/>
    <n v="15498"/>
    <n v="29.75"/>
    <n v="18"/>
    <n v="53136"/>
    <n v="4250.8799999999974"/>
    <n v="30435.120000000003"/>
    <n v="0.34655462184873953"/>
  </r>
  <r>
    <s v="TX00833"/>
    <x v="18"/>
    <s v="S03"/>
    <x v="4"/>
    <x v="2"/>
    <n v="2354"/>
    <n v="18"/>
    <n v="0.16"/>
    <n v="35592.480000000003"/>
    <n v="22880.880000000001"/>
    <n v="42372"/>
    <s v="2024-07"/>
    <x v="2"/>
    <x v="2"/>
    <x v="3"/>
    <n v="6779.5199999999968"/>
    <n v="15.120000000000001"/>
    <n v="9"/>
    <n v="21186"/>
    <n v="1694.880000000001"/>
    <n v="12711.600000000002"/>
    <n v="0.35714285714285715"/>
  </r>
  <r>
    <s v="TX00834"/>
    <x v="18"/>
    <s v="S03"/>
    <x v="5"/>
    <x v="2"/>
    <n v="2917"/>
    <n v="30"/>
    <n v="0.14000000000000001"/>
    <n v="75258.600000000006"/>
    <n v="44105.04"/>
    <n v="87510"/>
    <s v="2024-07"/>
    <x v="2"/>
    <x v="2"/>
    <x v="3"/>
    <n v="12251.399999999994"/>
    <n v="25.8"/>
    <n v="14"/>
    <n v="40838"/>
    <n v="3267.0400000000009"/>
    <n v="31153.560000000005"/>
    <n v="0.41395348837209306"/>
  </r>
  <r>
    <s v="TX00835"/>
    <x v="18"/>
    <s v="S03"/>
    <x v="6"/>
    <x v="3"/>
    <n v="1478"/>
    <n v="40"/>
    <n v="0.16"/>
    <n v="49660.800000000003"/>
    <n v="31924.799999999999"/>
    <n v="59120"/>
    <s v="2024-07"/>
    <x v="2"/>
    <x v="2"/>
    <x v="4"/>
    <n v="9459.1999999999971"/>
    <n v="33.6"/>
    <n v="20"/>
    <n v="29560"/>
    <n v="2364.7999999999993"/>
    <n v="17736.000000000004"/>
    <n v="0.35714285714285721"/>
  </r>
  <r>
    <s v="TX00836"/>
    <x v="18"/>
    <s v="S03"/>
    <x v="7"/>
    <x v="4"/>
    <n v="1513"/>
    <n v="10"/>
    <n v="0.12"/>
    <n v="13314.4"/>
    <n v="6536.16"/>
    <n v="15130"/>
    <s v="2024-07"/>
    <x v="2"/>
    <x v="2"/>
    <x v="5"/>
    <n v="1815.6000000000004"/>
    <n v="8.7999999999999989"/>
    <n v="4"/>
    <n v="6052"/>
    <n v="484.15999999999985"/>
    <n v="6778.24"/>
    <n v="0.50909090909090904"/>
  </r>
  <r>
    <s v="TX00837"/>
    <x v="18"/>
    <s v="S03"/>
    <x v="8"/>
    <x v="4"/>
    <n v="1518"/>
    <n v="22"/>
    <n v="0.15"/>
    <n v="28386.6"/>
    <n v="16394.400000000001"/>
    <n v="33396"/>
    <s v="2024-07"/>
    <x v="2"/>
    <x v="2"/>
    <x v="5"/>
    <n v="5009.4000000000015"/>
    <n v="18.7"/>
    <n v="10"/>
    <n v="15180"/>
    <n v="1214.4000000000015"/>
    <n v="11992.199999999997"/>
    <n v="0.42245989304812825"/>
  </r>
  <r>
    <s v="TX00838"/>
    <x v="18"/>
    <s v="S04"/>
    <x v="0"/>
    <x v="0"/>
    <n v="2019"/>
    <n v="24"/>
    <n v="0.17"/>
    <n v="40218.480000000003"/>
    <n v="26166.240000000002"/>
    <n v="48456"/>
    <s v="2024-07"/>
    <x v="3"/>
    <x v="3"/>
    <x v="0"/>
    <n v="8237.5199999999968"/>
    <n v="19.920000000000002"/>
    <n v="12"/>
    <n v="24228"/>
    <n v="1938.2400000000016"/>
    <n v="14052.240000000002"/>
    <n v="0.3493975903614458"/>
  </r>
  <r>
    <s v="TX00839"/>
    <x v="18"/>
    <s v="S04"/>
    <x v="1"/>
    <x v="0"/>
    <n v="2248"/>
    <n v="50"/>
    <n v="0.13"/>
    <n v="97788"/>
    <n v="67979.520000000004"/>
    <n v="112400"/>
    <s v="2024-07"/>
    <x v="3"/>
    <x v="3"/>
    <x v="1"/>
    <n v="14612"/>
    <n v="43.5"/>
    <n v="28"/>
    <n v="62944"/>
    <n v="5035.5200000000041"/>
    <n v="29808.479999999996"/>
    <n v="0.30482758620689648"/>
  </r>
  <r>
    <s v="TX00840"/>
    <x v="18"/>
    <s v="S04"/>
    <x v="2"/>
    <x v="1"/>
    <n v="2305"/>
    <n v="28"/>
    <n v="0.15"/>
    <n v="54859"/>
    <n v="37341"/>
    <n v="64540"/>
    <s v="2024-07"/>
    <x v="3"/>
    <x v="3"/>
    <x v="2"/>
    <n v="9681"/>
    <n v="23.8"/>
    <n v="15"/>
    <n v="34575"/>
    <n v="2766"/>
    <n v="17518"/>
    <n v="0.31932773109243695"/>
  </r>
  <r>
    <s v="TX00841"/>
    <x v="18"/>
    <s v="S04"/>
    <x v="3"/>
    <x v="1"/>
    <n v="2138"/>
    <n v="35"/>
    <n v="0.16"/>
    <n v="62857.2"/>
    <n v="41562.720000000001"/>
    <n v="74830"/>
    <s v="2024-07"/>
    <x v="3"/>
    <x v="3"/>
    <x v="2"/>
    <n v="11972.800000000003"/>
    <n v="29.4"/>
    <n v="18"/>
    <n v="38484"/>
    <n v="3078.7200000000012"/>
    <n v="21294.479999999996"/>
    <n v="0.33877551020408159"/>
  </r>
  <r>
    <s v="TX00842"/>
    <x v="18"/>
    <s v="S04"/>
    <x v="4"/>
    <x v="2"/>
    <n v="2173"/>
    <n v="18"/>
    <n v="0.12"/>
    <n v="34420.32"/>
    <n v="21121.56"/>
    <n v="39114"/>
    <s v="2024-07"/>
    <x v="3"/>
    <x v="3"/>
    <x v="3"/>
    <n v="4693.68"/>
    <n v="15.84"/>
    <n v="9"/>
    <n v="19557"/>
    <n v="1564.5600000000013"/>
    <n v="13298.759999999998"/>
    <n v="0.3863636363636363"/>
  </r>
  <r>
    <s v="TX00843"/>
    <x v="18"/>
    <s v="S04"/>
    <x v="5"/>
    <x v="2"/>
    <n v="1843"/>
    <n v="30"/>
    <n v="0.13"/>
    <n v="48102.3"/>
    <n v="27866.16"/>
    <n v="55290"/>
    <s v="2024-07"/>
    <x v="3"/>
    <x v="3"/>
    <x v="3"/>
    <n v="7187.6999999999971"/>
    <n v="26.1"/>
    <n v="14"/>
    <n v="25802"/>
    <n v="2064.16"/>
    <n v="20236.140000000003"/>
    <n v="0.42068965517241386"/>
  </r>
  <r>
    <s v="TX00844"/>
    <x v="18"/>
    <s v="S04"/>
    <x v="6"/>
    <x v="3"/>
    <n v="1795"/>
    <n v="40"/>
    <n v="0.14000000000000001"/>
    <n v="61748"/>
    <n v="38772"/>
    <n v="71800"/>
    <s v="2024-07"/>
    <x v="3"/>
    <x v="3"/>
    <x v="4"/>
    <n v="10052"/>
    <n v="34.4"/>
    <n v="20"/>
    <n v="35900"/>
    <n v="2872"/>
    <n v="22976"/>
    <n v="0.37209302325581395"/>
  </r>
  <r>
    <s v="TX00845"/>
    <x v="18"/>
    <s v="S04"/>
    <x v="7"/>
    <x v="4"/>
    <n v="2477"/>
    <n v="10"/>
    <n v="0.15"/>
    <n v="21054.5"/>
    <n v="10700.64"/>
    <n v="24770"/>
    <s v="2024-07"/>
    <x v="3"/>
    <x v="3"/>
    <x v="5"/>
    <n v="3715.5"/>
    <n v="8.5"/>
    <n v="4"/>
    <n v="9908"/>
    <n v="792.63999999999942"/>
    <n v="10353.86"/>
    <n v="0.49176470588235299"/>
  </r>
  <r>
    <s v="TX00846"/>
    <x v="18"/>
    <s v="S04"/>
    <x v="8"/>
    <x v="4"/>
    <n v="3036"/>
    <n v="22"/>
    <n v="0.12"/>
    <n v="58776.959999999999"/>
    <n v="32788.800000000003"/>
    <n v="66792"/>
    <s v="2024-07"/>
    <x v="3"/>
    <x v="3"/>
    <x v="5"/>
    <n v="8015.0400000000009"/>
    <n v="19.36"/>
    <n v="10"/>
    <n v="30360"/>
    <n v="2428.8000000000029"/>
    <n v="25988.159999999996"/>
    <n v="0.44214876033057843"/>
  </r>
  <r>
    <s v="TX00847"/>
    <x v="18"/>
    <s v="S05"/>
    <x v="0"/>
    <x v="0"/>
    <n v="1790"/>
    <n v="24"/>
    <n v="0.14000000000000001"/>
    <n v="36945.599999999999"/>
    <n v="23198.400000000001"/>
    <n v="42960"/>
    <s v="2024-07"/>
    <x v="4"/>
    <x v="0"/>
    <x v="0"/>
    <n v="6014.4000000000015"/>
    <n v="20.64"/>
    <n v="12"/>
    <n v="21480"/>
    <n v="1718.4000000000015"/>
    <n v="13747.199999999997"/>
    <n v="0.37209302325581389"/>
  </r>
  <r>
    <s v="TX00848"/>
    <x v="18"/>
    <s v="S05"/>
    <x v="1"/>
    <x v="0"/>
    <n v="1412"/>
    <n v="50"/>
    <n v="0.16"/>
    <n v="59304"/>
    <n v="42698.879999999997"/>
    <n v="70600"/>
    <s v="2024-07"/>
    <x v="4"/>
    <x v="0"/>
    <x v="1"/>
    <n v="11296"/>
    <n v="42"/>
    <n v="28"/>
    <n v="39536"/>
    <n v="3162.8799999999974"/>
    <n v="16605.120000000003"/>
    <n v="0.28000000000000003"/>
  </r>
  <r>
    <s v="TX00849"/>
    <x v="18"/>
    <s v="S05"/>
    <x v="2"/>
    <x v="1"/>
    <n v="2063"/>
    <n v="28"/>
    <n v="0.14000000000000001"/>
    <n v="49677.04"/>
    <n v="33420.6"/>
    <n v="57764"/>
    <s v="2024-07"/>
    <x v="4"/>
    <x v="0"/>
    <x v="2"/>
    <n v="8086.9599999999991"/>
    <n v="24.080000000000002"/>
    <n v="15"/>
    <n v="30945"/>
    <n v="2475.5999999999985"/>
    <n v="16256.440000000002"/>
    <n v="0.32724252491694356"/>
  </r>
  <r>
    <s v="TX00850"/>
    <x v="18"/>
    <s v="S05"/>
    <x v="3"/>
    <x v="1"/>
    <n v="2186"/>
    <n v="35"/>
    <n v="0.17"/>
    <n v="63503.3"/>
    <n v="42495.839999999997"/>
    <n v="76510"/>
    <s v="2024-07"/>
    <x v="4"/>
    <x v="0"/>
    <x v="2"/>
    <n v="13006.699999999997"/>
    <n v="29.05"/>
    <n v="18"/>
    <n v="39348"/>
    <n v="3147.8399999999965"/>
    <n v="21007.460000000006"/>
    <n v="0.3308089500860586"/>
  </r>
  <r>
    <s v="TX00851"/>
    <x v="18"/>
    <s v="S05"/>
    <x v="4"/>
    <x v="2"/>
    <n v="1469"/>
    <n v="18"/>
    <n v="0.14000000000000001"/>
    <n v="22740.12"/>
    <n v="14278.68"/>
    <n v="26442"/>
    <s v="2024-07"/>
    <x v="4"/>
    <x v="0"/>
    <x v="3"/>
    <n v="3701.880000000001"/>
    <n v="15.479999999999999"/>
    <n v="9"/>
    <n v="13221"/>
    <n v="1057.6800000000003"/>
    <n v="8461.4399999999987"/>
    <n v="0.37209302325581389"/>
  </r>
  <r>
    <s v="TX00852"/>
    <x v="18"/>
    <s v="S05"/>
    <x v="5"/>
    <x v="2"/>
    <n v="2574"/>
    <n v="30"/>
    <n v="0.12"/>
    <n v="67953.600000000006"/>
    <n v="38918.879999999997"/>
    <n v="77220"/>
    <s v="2024-07"/>
    <x v="4"/>
    <x v="0"/>
    <x v="3"/>
    <n v="9266.3999999999942"/>
    <n v="26.400000000000002"/>
    <n v="14"/>
    <n v="36036"/>
    <n v="2882.8799999999974"/>
    <n v="29034.720000000008"/>
    <n v="0.42727272727272736"/>
  </r>
  <r>
    <s v="TX00853"/>
    <x v="18"/>
    <s v="S05"/>
    <x v="6"/>
    <x v="3"/>
    <n v="1416"/>
    <n v="40"/>
    <n v="0.12"/>
    <n v="49843.199999999997"/>
    <n v="30585.599999999999"/>
    <n v="56640"/>
    <s v="2024-07"/>
    <x v="4"/>
    <x v="0"/>
    <x v="4"/>
    <n v="6796.8000000000029"/>
    <n v="35.199999999999996"/>
    <n v="20"/>
    <n v="28320"/>
    <n v="2265.5999999999985"/>
    <n v="19257.599999999999"/>
    <n v="0.38636363636363635"/>
  </r>
  <r>
    <s v="TX00854"/>
    <x v="18"/>
    <s v="S05"/>
    <x v="7"/>
    <x v="4"/>
    <n v="1641"/>
    <n v="10"/>
    <n v="0.13"/>
    <n v="14276.7"/>
    <n v="7089.12"/>
    <n v="16410"/>
    <s v="2024-07"/>
    <x v="4"/>
    <x v="0"/>
    <x v="5"/>
    <n v="2133.2999999999993"/>
    <n v="8.7000000000000011"/>
    <n v="4"/>
    <n v="6564"/>
    <n v="525.11999999999989"/>
    <n v="7187.5800000000008"/>
    <n v="0.50344827586206897"/>
  </r>
  <r>
    <s v="TX00855"/>
    <x v="18"/>
    <s v="S05"/>
    <x v="8"/>
    <x v="4"/>
    <n v="2389"/>
    <n v="22"/>
    <n v="0.12"/>
    <n v="46251.040000000001"/>
    <n v="25801.200000000001"/>
    <n v="52558"/>
    <s v="2024-07"/>
    <x v="4"/>
    <x v="0"/>
    <x v="5"/>
    <n v="6306.9599999999991"/>
    <n v="19.36"/>
    <n v="10"/>
    <n v="23890"/>
    <n v="1911.2000000000007"/>
    <n v="20449.84"/>
    <n v="0.44214876033057848"/>
  </r>
  <r>
    <s v="TX00856"/>
    <x v="19"/>
    <s v="S01"/>
    <x v="0"/>
    <x v="0"/>
    <n v="1975"/>
    <n v="24"/>
    <n v="0.16"/>
    <n v="39816"/>
    <n v="25596"/>
    <n v="47400"/>
    <s v="2024-08"/>
    <x v="0"/>
    <x v="0"/>
    <x v="0"/>
    <n v="7584"/>
    <n v="20.16"/>
    <n v="12"/>
    <n v="23700"/>
    <n v="1896"/>
    <n v="14220"/>
    <n v="0.35714285714285715"/>
  </r>
  <r>
    <s v="TX00857"/>
    <x v="19"/>
    <s v="S01"/>
    <x v="1"/>
    <x v="0"/>
    <n v="2714"/>
    <n v="50"/>
    <n v="0.15"/>
    <n v="115345"/>
    <n v="82071.360000000001"/>
    <n v="135700"/>
    <s v="2024-08"/>
    <x v="0"/>
    <x v="0"/>
    <x v="1"/>
    <n v="20355"/>
    <n v="42.5"/>
    <n v="28"/>
    <n v="75992"/>
    <n v="6079.3600000000006"/>
    <n v="33273.64"/>
    <n v="0.28847058823529409"/>
  </r>
  <r>
    <s v="TX00858"/>
    <x v="19"/>
    <s v="S01"/>
    <x v="2"/>
    <x v="1"/>
    <n v="2050"/>
    <n v="28"/>
    <n v="0.15"/>
    <n v="48790"/>
    <n v="33210"/>
    <n v="57400"/>
    <s v="2024-08"/>
    <x v="0"/>
    <x v="0"/>
    <x v="2"/>
    <n v="8610"/>
    <n v="23.8"/>
    <n v="15"/>
    <n v="30750"/>
    <n v="2460"/>
    <n v="15580"/>
    <n v="0.31932773109243695"/>
  </r>
  <r>
    <s v="TX00859"/>
    <x v="19"/>
    <s v="S01"/>
    <x v="3"/>
    <x v="1"/>
    <n v="3062"/>
    <n v="35"/>
    <n v="0.15"/>
    <n v="91094.5"/>
    <n v="59525.279999999999"/>
    <n v="107170"/>
    <s v="2024-08"/>
    <x v="0"/>
    <x v="0"/>
    <x v="2"/>
    <n v="16075.5"/>
    <n v="29.75"/>
    <n v="18"/>
    <n v="55116"/>
    <n v="4409.2799999999988"/>
    <n v="31569.22"/>
    <n v="0.34655462184873953"/>
  </r>
  <r>
    <s v="TX00860"/>
    <x v="19"/>
    <s v="S01"/>
    <x v="4"/>
    <x v="2"/>
    <n v="1381"/>
    <n v="18"/>
    <n v="0.16"/>
    <n v="20880.72"/>
    <n v="13423.32"/>
    <n v="24858"/>
    <s v="2024-08"/>
    <x v="0"/>
    <x v="0"/>
    <x v="3"/>
    <n v="3977.2799999999988"/>
    <n v="15.120000000000001"/>
    <n v="9"/>
    <n v="12429"/>
    <n v="994.31999999999971"/>
    <n v="7457.4000000000015"/>
    <n v="0.35714285714285721"/>
  </r>
  <r>
    <s v="TX00861"/>
    <x v="19"/>
    <s v="S01"/>
    <x v="5"/>
    <x v="2"/>
    <n v="2442"/>
    <n v="30"/>
    <n v="0.14000000000000001"/>
    <n v="63003.6"/>
    <n v="36923.040000000001"/>
    <n v="73260"/>
    <s v="2024-08"/>
    <x v="0"/>
    <x v="0"/>
    <x v="3"/>
    <n v="10256.400000000001"/>
    <n v="25.8"/>
    <n v="14"/>
    <n v="34188"/>
    <n v="2735.0400000000009"/>
    <n v="26080.559999999998"/>
    <n v="0.413953488372093"/>
  </r>
  <r>
    <s v="TX00862"/>
    <x v="19"/>
    <s v="S01"/>
    <x v="6"/>
    <x v="3"/>
    <n v="2116"/>
    <n v="40"/>
    <n v="0.16"/>
    <n v="71097.600000000006"/>
    <n v="45705.599999999999"/>
    <n v="84640"/>
    <s v="2024-08"/>
    <x v="0"/>
    <x v="0"/>
    <x v="4"/>
    <n v="13542.399999999994"/>
    <n v="33.6"/>
    <n v="20"/>
    <n v="42320"/>
    <n v="3385.5999999999985"/>
    <n v="25392.000000000007"/>
    <n v="0.35714285714285721"/>
  </r>
  <r>
    <s v="TX00863"/>
    <x v="19"/>
    <s v="S01"/>
    <x v="7"/>
    <x v="4"/>
    <n v="1878"/>
    <n v="10"/>
    <n v="0.16"/>
    <n v="15775.2"/>
    <n v="8112.96"/>
    <n v="18780"/>
    <s v="2024-08"/>
    <x v="0"/>
    <x v="0"/>
    <x v="5"/>
    <n v="3004.7999999999993"/>
    <n v="8.4"/>
    <n v="4"/>
    <n v="7512"/>
    <n v="600.96"/>
    <n v="7662.2400000000007"/>
    <n v="0.48571428571428571"/>
  </r>
  <r>
    <s v="TX00864"/>
    <x v="19"/>
    <s v="S01"/>
    <x v="8"/>
    <x v="4"/>
    <n v="2574"/>
    <n v="22"/>
    <n v="0.16"/>
    <n v="47567.519999999997"/>
    <n v="27799.200000000001"/>
    <n v="56628"/>
    <s v="2024-08"/>
    <x v="0"/>
    <x v="0"/>
    <x v="5"/>
    <n v="9060.4800000000032"/>
    <n v="18.48"/>
    <n v="10"/>
    <n v="25740"/>
    <n v="2059.2000000000007"/>
    <n v="19768.319999999996"/>
    <n v="0.41558441558441556"/>
  </r>
  <r>
    <s v="TX00865"/>
    <x v="19"/>
    <s v="S02"/>
    <x v="0"/>
    <x v="0"/>
    <n v="2371"/>
    <n v="24"/>
    <n v="0.15"/>
    <n v="48368.4"/>
    <n v="30728.16"/>
    <n v="56904"/>
    <s v="2024-08"/>
    <x v="1"/>
    <x v="1"/>
    <x v="0"/>
    <n v="8535.5999999999985"/>
    <n v="20.400000000000002"/>
    <n v="12"/>
    <n v="28452"/>
    <n v="2276.16"/>
    <n v="17640.240000000002"/>
    <n v="0.36470588235294121"/>
  </r>
  <r>
    <s v="TX00866"/>
    <x v="19"/>
    <s v="S02"/>
    <x v="1"/>
    <x v="0"/>
    <n v="2248"/>
    <n v="50"/>
    <n v="0.13"/>
    <n v="97788"/>
    <n v="67979.520000000004"/>
    <n v="112400"/>
    <s v="2024-08"/>
    <x v="1"/>
    <x v="1"/>
    <x v="1"/>
    <n v="14612"/>
    <n v="43.5"/>
    <n v="28"/>
    <n v="62944"/>
    <n v="5035.5200000000041"/>
    <n v="29808.479999999996"/>
    <n v="0.30482758620689648"/>
  </r>
  <r>
    <s v="TX00867"/>
    <x v="19"/>
    <s v="S02"/>
    <x v="2"/>
    <x v="1"/>
    <n v="2424"/>
    <n v="28"/>
    <n v="0.12"/>
    <n v="59727.360000000001"/>
    <n v="39268.800000000003"/>
    <n v="67872"/>
    <s v="2024-08"/>
    <x v="1"/>
    <x v="1"/>
    <x v="2"/>
    <n v="8144.6399999999994"/>
    <n v="24.64"/>
    <n v="15"/>
    <n v="36360"/>
    <n v="2908.8000000000029"/>
    <n v="20458.559999999998"/>
    <n v="0.34253246753246747"/>
  </r>
  <r>
    <s v="TX00868"/>
    <x v="19"/>
    <s v="S02"/>
    <x v="3"/>
    <x v="1"/>
    <n v="1575"/>
    <n v="35"/>
    <n v="0.13"/>
    <n v="47958.75"/>
    <n v="30618"/>
    <n v="55125"/>
    <s v="2024-08"/>
    <x v="1"/>
    <x v="1"/>
    <x v="2"/>
    <n v="7166.25"/>
    <n v="30.45"/>
    <n v="18"/>
    <n v="28350"/>
    <n v="2268"/>
    <n v="17340.75"/>
    <n v="0.36157635467980298"/>
  </r>
  <r>
    <s v="TX00869"/>
    <x v="19"/>
    <s v="S02"/>
    <x v="4"/>
    <x v="2"/>
    <n v="1372"/>
    <n v="18"/>
    <n v="0.16"/>
    <n v="20744.64"/>
    <n v="13335.84"/>
    <n v="24696"/>
    <s v="2024-08"/>
    <x v="1"/>
    <x v="1"/>
    <x v="3"/>
    <n v="3951.3600000000006"/>
    <n v="15.12"/>
    <n v="9"/>
    <n v="12348"/>
    <n v="987.84000000000015"/>
    <n v="7408.7999999999993"/>
    <n v="0.3571428571428571"/>
  </r>
  <r>
    <s v="TX00870"/>
    <x v="19"/>
    <s v="S02"/>
    <x v="5"/>
    <x v="2"/>
    <n v="2239"/>
    <n v="30"/>
    <n v="0.15"/>
    <n v="57094.5"/>
    <n v="33853.68"/>
    <n v="67170"/>
    <s v="2024-08"/>
    <x v="1"/>
    <x v="1"/>
    <x v="3"/>
    <n v="10075.5"/>
    <n v="25.5"/>
    <n v="14"/>
    <n v="31346"/>
    <n v="2507.6800000000003"/>
    <n v="23240.82"/>
    <n v="0.40705882352941175"/>
  </r>
  <r>
    <s v="TX00871"/>
    <x v="19"/>
    <s v="S02"/>
    <x v="6"/>
    <x v="3"/>
    <n v="2173"/>
    <n v="40"/>
    <n v="0.14000000000000001"/>
    <n v="74751.199999999997"/>
    <n v="46936.800000000003"/>
    <n v="86920"/>
    <s v="2024-08"/>
    <x v="1"/>
    <x v="1"/>
    <x v="4"/>
    <n v="12168.800000000003"/>
    <n v="34.4"/>
    <n v="20"/>
    <n v="43460"/>
    <n v="3476.8000000000029"/>
    <n v="27814.399999999994"/>
    <n v="0.37209302325581389"/>
  </r>
  <r>
    <s v="TX00872"/>
    <x v="19"/>
    <s v="S02"/>
    <x v="7"/>
    <x v="4"/>
    <n v="1764"/>
    <n v="10"/>
    <n v="0.16"/>
    <n v="14817.6"/>
    <n v="7620.48"/>
    <n v="17640"/>
    <s v="2024-08"/>
    <x v="1"/>
    <x v="1"/>
    <x v="5"/>
    <n v="2822.3999999999996"/>
    <n v="8.4"/>
    <n v="4"/>
    <n v="7056"/>
    <n v="564.47999999999956"/>
    <n v="7197.1200000000008"/>
    <n v="0.48571428571428577"/>
  </r>
  <r>
    <s v="TX00873"/>
    <x v="19"/>
    <s v="S02"/>
    <x v="8"/>
    <x v="4"/>
    <n v="1962"/>
    <n v="22"/>
    <n v="0.13"/>
    <n v="37552.68"/>
    <n v="21189.599999999999"/>
    <n v="43164"/>
    <s v="2024-08"/>
    <x v="1"/>
    <x v="1"/>
    <x v="5"/>
    <n v="5611.32"/>
    <n v="19.14"/>
    <n v="10"/>
    <n v="19620"/>
    <n v="1569.5999999999985"/>
    <n v="16363.080000000002"/>
    <n v="0.43573667711598751"/>
  </r>
  <r>
    <s v="TX00874"/>
    <x v="19"/>
    <s v="S03"/>
    <x v="0"/>
    <x v="0"/>
    <n v="2499"/>
    <n v="24"/>
    <n v="0.14000000000000001"/>
    <n v="51579.360000000001"/>
    <n v="32387.040000000001"/>
    <n v="59976"/>
    <s v="2024-08"/>
    <x v="2"/>
    <x v="2"/>
    <x v="0"/>
    <n v="8396.64"/>
    <n v="20.64"/>
    <n v="12"/>
    <n v="29988"/>
    <n v="2399.0400000000009"/>
    <n v="19192.32"/>
    <n v="0.37209302325581395"/>
  </r>
  <r>
    <s v="TX00875"/>
    <x v="19"/>
    <s v="S03"/>
    <x v="1"/>
    <x v="0"/>
    <n v="2257"/>
    <n v="50"/>
    <n v="0.14000000000000001"/>
    <n v="97051"/>
    <n v="68251.679999999993"/>
    <n v="112850"/>
    <s v="2024-08"/>
    <x v="2"/>
    <x v="2"/>
    <x v="1"/>
    <n v="15799"/>
    <n v="43"/>
    <n v="28"/>
    <n v="63196"/>
    <n v="5055.679999999993"/>
    <n v="28799.320000000007"/>
    <n v="0.2967441860465117"/>
  </r>
  <r>
    <s v="TX00876"/>
    <x v="19"/>
    <s v="S03"/>
    <x v="2"/>
    <x v="1"/>
    <n v="1496"/>
    <n v="28"/>
    <n v="0.15"/>
    <n v="35604.800000000003"/>
    <n v="24235.200000000001"/>
    <n v="41888"/>
    <s v="2024-08"/>
    <x v="2"/>
    <x v="2"/>
    <x v="2"/>
    <n v="6283.1999999999971"/>
    <n v="23.8"/>
    <n v="15"/>
    <n v="22440"/>
    <n v="1795.2000000000007"/>
    <n v="11369.600000000002"/>
    <n v="0.31932773109243701"/>
  </r>
  <r>
    <s v="TX00877"/>
    <x v="19"/>
    <s v="S03"/>
    <x v="3"/>
    <x v="1"/>
    <n v="2833"/>
    <n v="35"/>
    <n v="0.16"/>
    <n v="83290.2"/>
    <n v="55073.52"/>
    <n v="99155"/>
    <s v="2024-08"/>
    <x v="2"/>
    <x v="2"/>
    <x v="2"/>
    <n v="15864.800000000003"/>
    <n v="29.4"/>
    <n v="18"/>
    <n v="50994"/>
    <n v="4079.5199999999968"/>
    <n v="28216.68"/>
    <n v="0.33877551020408164"/>
  </r>
  <r>
    <s v="TX00878"/>
    <x v="19"/>
    <s v="S03"/>
    <x v="4"/>
    <x v="2"/>
    <n v="1614"/>
    <n v="18"/>
    <n v="0.17"/>
    <n v="24113.16"/>
    <n v="15688.08"/>
    <n v="29052"/>
    <s v="2024-08"/>
    <x v="2"/>
    <x v="2"/>
    <x v="3"/>
    <n v="4938.84"/>
    <n v="14.94"/>
    <n v="9"/>
    <n v="14526"/>
    <n v="1162.08"/>
    <n v="8425.08"/>
    <n v="0.3493975903614458"/>
  </r>
  <r>
    <s v="TX00879"/>
    <x v="19"/>
    <s v="S03"/>
    <x v="5"/>
    <x v="2"/>
    <n v="2838"/>
    <n v="30"/>
    <n v="0.15"/>
    <n v="72369"/>
    <n v="42910.559999999998"/>
    <n v="85140"/>
    <s v="2024-08"/>
    <x v="2"/>
    <x v="2"/>
    <x v="3"/>
    <n v="12771"/>
    <n v="25.5"/>
    <n v="14"/>
    <n v="39732"/>
    <n v="3178.5599999999977"/>
    <n v="29458.440000000002"/>
    <n v="0.40705882352941181"/>
  </r>
  <r>
    <s v="TX00880"/>
    <x v="19"/>
    <s v="S03"/>
    <x v="6"/>
    <x v="3"/>
    <n v="1610"/>
    <n v="40"/>
    <n v="0.14000000000000001"/>
    <n v="55384"/>
    <n v="34776"/>
    <n v="64400"/>
    <s v="2024-08"/>
    <x v="2"/>
    <x v="2"/>
    <x v="4"/>
    <n v="9016"/>
    <n v="34.4"/>
    <n v="20"/>
    <n v="32200"/>
    <n v="2576"/>
    <n v="20608"/>
    <n v="0.37209302325581395"/>
  </r>
  <r>
    <s v="TX00881"/>
    <x v="19"/>
    <s v="S03"/>
    <x v="7"/>
    <x v="4"/>
    <n v="2921"/>
    <n v="10"/>
    <n v="0.15"/>
    <n v="24828.5"/>
    <n v="12618.72"/>
    <n v="29210"/>
    <s v="2024-08"/>
    <x v="2"/>
    <x v="2"/>
    <x v="5"/>
    <n v="4381.5"/>
    <n v="8.5"/>
    <n v="4"/>
    <n v="11684"/>
    <n v="934.71999999999935"/>
    <n v="12209.78"/>
    <n v="0.49176470588235299"/>
  </r>
  <r>
    <s v="TX00882"/>
    <x v="19"/>
    <s v="S03"/>
    <x v="8"/>
    <x v="4"/>
    <n v="3031"/>
    <n v="22"/>
    <n v="0.13"/>
    <n v="58013.34"/>
    <n v="32734.799999999999"/>
    <n v="66682"/>
    <s v="2024-08"/>
    <x v="2"/>
    <x v="2"/>
    <x v="5"/>
    <n v="8668.6600000000035"/>
    <n v="19.14"/>
    <n v="10"/>
    <n v="30310"/>
    <n v="2424.7999999999993"/>
    <n v="25278.539999999997"/>
    <n v="0.43573667711598746"/>
  </r>
  <r>
    <s v="TX00883"/>
    <x v="19"/>
    <s v="S04"/>
    <x v="0"/>
    <x v="0"/>
    <n v="1782"/>
    <n v="24"/>
    <n v="0.15"/>
    <n v="36352.800000000003"/>
    <n v="23094.720000000001"/>
    <n v="42768"/>
    <s v="2024-08"/>
    <x v="3"/>
    <x v="3"/>
    <x v="0"/>
    <n v="6415.1999999999971"/>
    <n v="20.400000000000002"/>
    <n v="12"/>
    <n v="21384"/>
    <n v="1710.7200000000012"/>
    <n v="13258.080000000002"/>
    <n v="0.36470588235294121"/>
  </r>
  <r>
    <s v="TX00884"/>
    <x v="19"/>
    <s v="S04"/>
    <x v="1"/>
    <x v="0"/>
    <n v="2521"/>
    <n v="50"/>
    <n v="0.14000000000000001"/>
    <n v="108403"/>
    <n v="76235.039999999994"/>
    <n v="126050"/>
    <s v="2024-08"/>
    <x v="3"/>
    <x v="3"/>
    <x v="1"/>
    <n v="17647"/>
    <n v="43"/>
    <n v="28"/>
    <n v="70588"/>
    <n v="5647.0399999999936"/>
    <n v="32167.960000000006"/>
    <n v="0.2967441860465117"/>
  </r>
  <r>
    <s v="TX00885"/>
    <x v="19"/>
    <s v="S04"/>
    <x v="2"/>
    <x v="1"/>
    <n v="3062"/>
    <n v="28"/>
    <n v="0.15"/>
    <n v="72875.600000000006"/>
    <n v="49604.4"/>
    <n v="85736"/>
    <s v="2024-08"/>
    <x v="3"/>
    <x v="3"/>
    <x v="2"/>
    <n v="12860.399999999994"/>
    <n v="23.8"/>
    <n v="15"/>
    <n v="45930"/>
    <n v="3674.4000000000015"/>
    <n v="23271.200000000004"/>
    <n v="0.31932773109243701"/>
  </r>
  <r>
    <s v="TX00886"/>
    <x v="19"/>
    <s v="S04"/>
    <x v="3"/>
    <x v="1"/>
    <n v="2002"/>
    <n v="35"/>
    <n v="0.14000000000000001"/>
    <n v="60260.2"/>
    <n v="38918.879999999997"/>
    <n v="70070"/>
    <s v="2024-08"/>
    <x v="3"/>
    <x v="3"/>
    <x v="2"/>
    <n v="9809.8000000000029"/>
    <n v="30.099999999999998"/>
    <n v="18"/>
    <n v="36036"/>
    <n v="2882.8799999999974"/>
    <n v="21341.32"/>
    <n v="0.35415282392026581"/>
  </r>
  <r>
    <s v="TX00887"/>
    <x v="19"/>
    <s v="S04"/>
    <x v="4"/>
    <x v="2"/>
    <n v="2635"/>
    <n v="18"/>
    <n v="0.12"/>
    <n v="41738.400000000001"/>
    <n v="25612.2"/>
    <n v="47430"/>
    <s v="2024-08"/>
    <x v="3"/>
    <x v="3"/>
    <x v="3"/>
    <n v="5691.5999999999985"/>
    <n v="15.84"/>
    <n v="9"/>
    <n v="23715"/>
    <n v="1897.2000000000007"/>
    <n v="16126.2"/>
    <n v="0.38636363636363635"/>
  </r>
  <r>
    <s v="TX00888"/>
    <x v="19"/>
    <s v="S04"/>
    <x v="5"/>
    <x v="2"/>
    <n v="1940"/>
    <n v="30"/>
    <n v="0.12"/>
    <n v="51216"/>
    <n v="29332.799999999999"/>
    <n v="58200"/>
    <s v="2024-08"/>
    <x v="3"/>
    <x v="3"/>
    <x v="3"/>
    <n v="6984"/>
    <n v="26.4"/>
    <n v="14"/>
    <n v="27160"/>
    <n v="2172.7999999999993"/>
    <n v="21883.200000000001"/>
    <n v="0.4272727272727273"/>
  </r>
  <r>
    <s v="TX00889"/>
    <x v="19"/>
    <s v="S04"/>
    <x v="6"/>
    <x v="3"/>
    <n v="2068"/>
    <n v="40"/>
    <n v="0.16"/>
    <n v="69484.800000000003"/>
    <n v="44668.800000000003"/>
    <n v="82720"/>
    <s v="2024-08"/>
    <x v="3"/>
    <x v="3"/>
    <x v="4"/>
    <n v="13235.199999999997"/>
    <n v="33.6"/>
    <n v="20"/>
    <n v="41360"/>
    <n v="3308.8000000000029"/>
    <n v="24816"/>
    <n v="0.35714285714285715"/>
  </r>
  <r>
    <s v="TX00890"/>
    <x v="19"/>
    <s v="S04"/>
    <x v="7"/>
    <x v="4"/>
    <n v="1342"/>
    <n v="10"/>
    <n v="0.12"/>
    <n v="11809.6"/>
    <n v="5797.44"/>
    <n v="13420"/>
    <s v="2024-08"/>
    <x v="3"/>
    <x v="3"/>
    <x v="5"/>
    <n v="1610.3999999999996"/>
    <n v="8.8000000000000007"/>
    <n v="4"/>
    <n v="5368"/>
    <n v="429.4399999999996"/>
    <n v="6012.1600000000008"/>
    <n v="0.50909090909090915"/>
  </r>
  <r>
    <s v="TX00891"/>
    <x v="19"/>
    <s v="S04"/>
    <x v="8"/>
    <x v="4"/>
    <n v="2024"/>
    <n v="22"/>
    <n v="0.16"/>
    <n v="37403.519999999997"/>
    <n v="21859.200000000001"/>
    <n v="44528"/>
    <s v="2024-08"/>
    <x v="3"/>
    <x v="3"/>
    <x v="5"/>
    <n v="7124.4800000000032"/>
    <n v="18.479999999999997"/>
    <n v="10"/>
    <n v="20240"/>
    <n v="1619.2000000000007"/>
    <n v="15544.319999999996"/>
    <n v="0.4155844155844155"/>
  </r>
  <r>
    <s v="TX00892"/>
    <x v="19"/>
    <s v="S05"/>
    <x v="0"/>
    <x v="0"/>
    <n v="1425"/>
    <n v="24"/>
    <n v="0.12"/>
    <n v="30096"/>
    <n v="18468"/>
    <n v="34200"/>
    <s v="2024-08"/>
    <x v="4"/>
    <x v="0"/>
    <x v="0"/>
    <n v="4104"/>
    <n v="21.12"/>
    <n v="12"/>
    <n v="17100"/>
    <n v="1368"/>
    <n v="11628"/>
    <n v="0.38636363636363635"/>
  </r>
  <r>
    <s v="TX00893"/>
    <x v="19"/>
    <s v="S05"/>
    <x v="1"/>
    <x v="0"/>
    <n v="1755"/>
    <n v="50"/>
    <n v="0.15"/>
    <n v="74587.5"/>
    <n v="53071.199999999997"/>
    <n v="87750"/>
    <s v="2024-08"/>
    <x v="4"/>
    <x v="0"/>
    <x v="1"/>
    <n v="13162.5"/>
    <n v="42.5"/>
    <n v="28"/>
    <n v="49140"/>
    <n v="3931.1999999999971"/>
    <n v="21516.300000000003"/>
    <n v="0.28847058823529415"/>
  </r>
  <r>
    <s v="TX00894"/>
    <x v="19"/>
    <s v="S05"/>
    <x v="2"/>
    <x v="1"/>
    <n v="2002"/>
    <n v="28"/>
    <n v="0.13"/>
    <n v="48768.72"/>
    <n v="32432.400000000001"/>
    <n v="56056"/>
    <s v="2024-08"/>
    <x v="4"/>
    <x v="0"/>
    <x v="2"/>
    <n v="7287.2799999999988"/>
    <n v="24.36"/>
    <n v="15"/>
    <n v="30030"/>
    <n v="2402.4000000000015"/>
    <n v="16336.32"/>
    <n v="0.33497536945812806"/>
  </r>
  <r>
    <s v="TX00895"/>
    <x v="19"/>
    <s v="S05"/>
    <x v="3"/>
    <x v="1"/>
    <n v="1482"/>
    <n v="35"/>
    <n v="0.15"/>
    <n v="44089.5"/>
    <n v="28810.080000000002"/>
    <n v="51870"/>
    <s v="2024-08"/>
    <x v="4"/>
    <x v="0"/>
    <x v="2"/>
    <n v="7780.5"/>
    <n v="29.75"/>
    <n v="18"/>
    <n v="26676"/>
    <n v="2134.0800000000017"/>
    <n v="15279.419999999998"/>
    <n v="0.34655462184873947"/>
  </r>
  <r>
    <s v="TX00896"/>
    <x v="19"/>
    <s v="S05"/>
    <x v="4"/>
    <x v="2"/>
    <n v="2525"/>
    <n v="18"/>
    <n v="0.13"/>
    <n v="39541.5"/>
    <n v="24543"/>
    <n v="45450"/>
    <s v="2024-08"/>
    <x v="4"/>
    <x v="0"/>
    <x v="3"/>
    <n v="5908.5"/>
    <n v="15.66"/>
    <n v="9"/>
    <n v="22725"/>
    <n v="1818"/>
    <n v="14998.5"/>
    <n v="0.37931034482758619"/>
  </r>
  <r>
    <s v="TX00897"/>
    <x v="19"/>
    <s v="S05"/>
    <x v="5"/>
    <x v="2"/>
    <n v="1918"/>
    <n v="30"/>
    <n v="0.13"/>
    <n v="50059.8"/>
    <n v="29000.16"/>
    <n v="57540"/>
    <s v="2024-08"/>
    <x v="4"/>
    <x v="0"/>
    <x v="3"/>
    <n v="7480.1999999999971"/>
    <n v="26.1"/>
    <n v="14"/>
    <n v="26852"/>
    <n v="2148.16"/>
    <n v="21059.640000000003"/>
    <n v="0.42068965517241386"/>
  </r>
  <r>
    <s v="TX00898"/>
    <x v="19"/>
    <s v="S05"/>
    <x v="6"/>
    <x v="3"/>
    <n v="1522"/>
    <n v="40"/>
    <n v="0.15"/>
    <n v="51748"/>
    <n v="32875.199999999997"/>
    <n v="60880"/>
    <s v="2024-08"/>
    <x v="4"/>
    <x v="0"/>
    <x v="4"/>
    <n v="9132"/>
    <n v="34"/>
    <n v="20"/>
    <n v="30440"/>
    <n v="2435.1999999999971"/>
    <n v="18872.800000000003"/>
    <n v="0.36470588235294121"/>
  </r>
  <r>
    <s v="TX00899"/>
    <x v="19"/>
    <s v="S05"/>
    <x v="7"/>
    <x v="4"/>
    <n v="2886"/>
    <n v="10"/>
    <n v="0.14000000000000001"/>
    <n v="24819.599999999999"/>
    <n v="12467.52"/>
    <n v="28860"/>
    <s v="2024-08"/>
    <x v="4"/>
    <x v="0"/>
    <x v="5"/>
    <n v="4040.4000000000015"/>
    <n v="8.6"/>
    <n v="4"/>
    <n v="11544"/>
    <n v="923.52000000000044"/>
    <n v="12352.079999999998"/>
    <n v="0.49767441860465111"/>
  </r>
  <r>
    <s v="TX00900"/>
    <x v="19"/>
    <s v="S05"/>
    <x v="8"/>
    <x v="4"/>
    <n v="2565"/>
    <n v="22"/>
    <n v="0.12"/>
    <n v="49658.400000000001"/>
    <n v="27702"/>
    <n v="56430"/>
    <s v="2024-08"/>
    <x v="4"/>
    <x v="0"/>
    <x v="5"/>
    <n v="6771.5999999999985"/>
    <n v="19.36"/>
    <n v="10"/>
    <n v="25650"/>
    <n v="2052"/>
    <n v="21956.400000000001"/>
    <n v="0.44214876033057854"/>
  </r>
  <r>
    <s v="TX00901"/>
    <x v="20"/>
    <s v="S01"/>
    <x v="0"/>
    <x v="0"/>
    <n v="2798"/>
    <n v="24"/>
    <n v="0.13"/>
    <n v="58422.239999999998"/>
    <n v="36262.080000000002"/>
    <n v="67152"/>
    <s v="2024-09"/>
    <x v="0"/>
    <x v="0"/>
    <x v="0"/>
    <n v="8729.760000000002"/>
    <n v="20.88"/>
    <n v="12"/>
    <n v="33576"/>
    <n v="2686.0800000000017"/>
    <n v="22160.159999999996"/>
    <n v="0.37931034482758613"/>
  </r>
  <r>
    <s v="TX00902"/>
    <x v="20"/>
    <s v="S01"/>
    <x v="1"/>
    <x v="0"/>
    <n v="2125"/>
    <n v="50"/>
    <n v="0.16"/>
    <n v="89250"/>
    <n v="64260"/>
    <n v="106250"/>
    <s v="2024-09"/>
    <x v="0"/>
    <x v="0"/>
    <x v="1"/>
    <n v="17000"/>
    <n v="42"/>
    <n v="28"/>
    <n v="59500"/>
    <n v="4760"/>
    <n v="24990"/>
    <n v="0.28000000000000003"/>
  </r>
  <r>
    <s v="TX00903"/>
    <x v="20"/>
    <s v="S01"/>
    <x v="2"/>
    <x v="1"/>
    <n v="2380"/>
    <n v="28"/>
    <n v="0.14000000000000001"/>
    <n v="57310.400000000001"/>
    <n v="38556"/>
    <n v="66640"/>
    <s v="2024-09"/>
    <x v="0"/>
    <x v="0"/>
    <x v="2"/>
    <n v="9329.5999999999985"/>
    <n v="24.080000000000002"/>
    <n v="15"/>
    <n v="35700"/>
    <n v="2856"/>
    <n v="18754.400000000001"/>
    <n v="0.32724252491694356"/>
  </r>
  <r>
    <s v="TX00904"/>
    <x v="20"/>
    <s v="S01"/>
    <x v="3"/>
    <x v="1"/>
    <n v="2129"/>
    <n v="35"/>
    <n v="0.16"/>
    <n v="62592.6"/>
    <n v="41387.760000000002"/>
    <n v="74515"/>
    <s v="2024-09"/>
    <x v="0"/>
    <x v="0"/>
    <x v="2"/>
    <n v="11922.400000000001"/>
    <n v="29.4"/>
    <n v="18"/>
    <n v="38322"/>
    <n v="3065.760000000002"/>
    <n v="21204.839999999997"/>
    <n v="0.33877551020408159"/>
  </r>
  <r>
    <s v="TX00905"/>
    <x v="20"/>
    <s v="S01"/>
    <x v="4"/>
    <x v="2"/>
    <n v="1711"/>
    <n v="18"/>
    <n v="0.12"/>
    <n v="27102.240000000002"/>
    <n v="16630.919999999998"/>
    <n v="30798"/>
    <s v="2024-09"/>
    <x v="0"/>
    <x v="0"/>
    <x v="3"/>
    <n v="3695.7599999999984"/>
    <n v="15.840000000000002"/>
    <n v="9"/>
    <n v="15399"/>
    <n v="1231.9199999999983"/>
    <n v="10471.320000000003"/>
    <n v="0.38636363636363646"/>
  </r>
  <r>
    <s v="TX00906"/>
    <x v="20"/>
    <s v="S01"/>
    <x v="5"/>
    <x v="2"/>
    <n v="1562"/>
    <n v="30"/>
    <n v="0.14000000000000001"/>
    <n v="40299.599999999999"/>
    <n v="23617.439999999999"/>
    <n v="46860"/>
    <s v="2024-09"/>
    <x v="0"/>
    <x v="0"/>
    <x v="3"/>
    <n v="6560.4000000000015"/>
    <n v="25.8"/>
    <n v="14"/>
    <n v="21868"/>
    <n v="1749.4399999999987"/>
    <n v="16682.16"/>
    <n v="0.41395348837209306"/>
  </r>
  <r>
    <s v="TX00907"/>
    <x v="20"/>
    <s v="S01"/>
    <x v="6"/>
    <x v="3"/>
    <n v="2292"/>
    <n v="40"/>
    <n v="0.16"/>
    <n v="77011.199999999997"/>
    <n v="49507.199999999997"/>
    <n v="91680"/>
    <s v="2024-09"/>
    <x v="0"/>
    <x v="0"/>
    <x v="4"/>
    <n v="14668.800000000003"/>
    <n v="33.6"/>
    <n v="20"/>
    <n v="45840"/>
    <n v="3667.1999999999971"/>
    <n v="27504"/>
    <n v="0.35714285714285715"/>
  </r>
  <r>
    <s v="TX00908"/>
    <x v="20"/>
    <s v="S01"/>
    <x v="7"/>
    <x v="4"/>
    <n v="2930"/>
    <n v="10"/>
    <n v="0.14000000000000001"/>
    <n v="25198"/>
    <n v="12657.6"/>
    <n v="29300"/>
    <s v="2024-09"/>
    <x v="0"/>
    <x v="0"/>
    <x v="5"/>
    <n v="4102"/>
    <n v="8.6"/>
    <n v="4"/>
    <n v="11720"/>
    <n v="937.60000000000036"/>
    <n v="12540.4"/>
    <n v="0.49767441860465117"/>
  </r>
  <r>
    <s v="TX00909"/>
    <x v="20"/>
    <s v="S01"/>
    <x v="8"/>
    <x v="4"/>
    <n v="2776"/>
    <n v="22"/>
    <n v="0.13"/>
    <n v="53132.639999999999"/>
    <n v="29980.799999999999"/>
    <n v="61072"/>
    <s v="2024-09"/>
    <x v="0"/>
    <x v="0"/>
    <x v="5"/>
    <n v="7939.3600000000006"/>
    <n v="19.14"/>
    <n v="10"/>
    <n v="27760"/>
    <n v="2220.7999999999993"/>
    <n v="23151.84"/>
    <n v="0.43573667711598746"/>
  </r>
  <r>
    <s v="TX00910"/>
    <x v="20"/>
    <s v="S02"/>
    <x v="0"/>
    <x v="0"/>
    <n v="2965"/>
    <n v="24"/>
    <n v="0.16"/>
    <n v="59774.400000000001"/>
    <n v="38426.400000000001"/>
    <n v="71160"/>
    <s v="2024-09"/>
    <x v="1"/>
    <x v="1"/>
    <x v="0"/>
    <n v="11385.599999999999"/>
    <n v="20.16"/>
    <n v="12"/>
    <n v="35580"/>
    <n v="2846.4000000000015"/>
    <n v="21348"/>
    <n v="0.35714285714285715"/>
  </r>
  <r>
    <s v="TX00911"/>
    <x v="20"/>
    <s v="S02"/>
    <x v="1"/>
    <x v="0"/>
    <n v="1482"/>
    <n v="50"/>
    <n v="0.12"/>
    <n v="65208"/>
    <n v="44815.68"/>
    <n v="74100"/>
    <s v="2024-09"/>
    <x v="1"/>
    <x v="1"/>
    <x v="1"/>
    <n v="8892"/>
    <n v="44"/>
    <n v="28"/>
    <n v="41496"/>
    <n v="3319.6800000000003"/>
    <n v="20392.32"/>
    <n v="0.31272727272727274"/>
  </r>
  <r>
    <s v="TX00912"/>
    <x v="20"/>
    <s v="S02"/>
    <x v="2"/>
    <x v="1"/>
    <n v="2626"/>
    <n v="28"/>
    <n v="0.14000000000000001"/>
    <n v="63234.080000000002"/>
    <n v="42541.2"/>
    <n v="73528"/>
    <s v="2024-09"/>
    <x v="1"/>
    <x v="1"/>
    <x v="2"/>
    <n v="10293.919999999998"/>
    <n v="24.080000000000002"/>
    <n v="15"/>
    <n v="39390"/>
    <n v="3151.1999999999971"/>
    <n v="20692.880000000005"/>
    <n v="0.32724252491694361"/>
  </r>
  <r>
    <s v="TX00913"/>
    <x v="20"/>
    <s v="S02"/>
    <x v="3"/>
    <x v="1"/>
    <n v="2565"/>
    <n v="35"/>
    <n v="0.14000000000000001"/>
    <n v="77206.5"/>
    <n v="49863.6"/>
    <n v="89775"/>
    <s v="2024-09"/>
    <x v="1"/>
    <x v="1"/>
    <x v="2"/>
    <n v="12568.5"/>
    <n v="30.1"/>
    <n v="18"/>
    <n v="46170"/>
    <n v="3693.5999999999985"/>
    <n v="27342.9"/>
    <n v="0.35415282392026581"/>
  </r>
  <r>
    <s v="TX00914"/>
    <x v="20"/>
    <s v="S02"/>
    <x v="4"/>
    <x v="2"/>
    <n v="3018"/>
    <n v="18"/>
    <n v="0.15"/>
    <n v="46175.4"/>
    <n v="29334.959999999999"/>
    <n v="54324"/>
    <s v="2024-09"/>
    <x v="1"/>
    <x v="1"/>
    <x v="3"/>
    <n v="8148.5999999999985"/>
    <n v="15.3"/>
    <n v="9"/>
    <n v="27162"/>
    <n v="2172.9599999999991"/>
    <n v="16840.440000000002"/>
    <n v="0.36470588235294121"/>
  </r>
  <r>
    <s v="TX00915"/>
    <x v="20"/>
    <s v="S02"/>
    <x v="5"/>
    <x v="2"/>
    <n v="1408"/>
    <n v="30"/>
    <n v="0.12"/>
    <n v="37171.199999999997"/>
    <n v="21288.959999999999"/>
    <n v="42240"/>
    <s v="2024-09"/>
    <x v="1"/>
    <x v="1"/>
    <x v="3"/>
    <n v="5068.8000000000029"/>
    <n v="26.4"/>
    <n v="14"/>
    <n v="19712"/>
    <n v="1576.9599999999991"/>
    <n v="15882.239999999998"/>
    <n v="0.42727272727272725"/>
  </r>
  <r>
    <s v="TX00916"/>
    <x v="20"/>
    <s v="S02"/>
    <x v="6"/>
    <x v="3"/>
    <n v="2543"/>
    <n v="40"/>
    <n v="0.14000000000000001"/>
    <n v="87479.2"/>
    <n v="54928.800000000003"/>
    <n v="101720"/>
    <s v="2024-09"/>
    <x v="1"/>
    <x v="1"/>
    <x v="4"/>
    <n v="14240.800000000003"/>
    <n v="34.4"/>
    <n v="20"/>
    <n v="50860"/>
    <n v="4068.8000000000029"/>
    <n v="32550.399999999994"/>
    <n v="0.37209302325581389"/>
  </r>
  <r>
    <s v="TX00917"/>
    <x v="20"/>
    <s v="S02"/>
    <x v="7"/>
    <x v="4"/>
    <n v="1808"/>
    <n v="10"/>
    <n v="0.13"/>
    <n v="15729.6"/>
    <n v="7810.56"/>
    <n v="18080"/>
    <s v="2024-09"/>
    <x v="1"/>
    <x v="1"/>
    <x v="5"/>
    <n v="2350.3999999999996"/>
    <n v="8.7000000000000011"/>
    <n v="4"/>
    <n v="7232"/>
    <n v="578.5600000000004"/>
    <n v="7919.04"/>
    <n v="0.50344827586206897"/>
  </r>
  <r>
    <s v="TX00918"/>
    <x v="20"/>
    <s v="S02"/>
    <x v="8"/>
    <x v="4"/>
    <n v="2912"/>
    <n v="22"/>
    <n v="0.17"/>
    <n v="53173.120000000003"/>
    <n v="31449.599999999999"/>
    <n v="64064"/>
    <s v="2024-09"/>
    <x v="1"/>
    <x v="1"/>
    <x v="5"/>
    <n v="10890.879999999997"/>
    <n v="18.260000000000002"/>
    <n v="10"/>
    <n v="29120"/>
    <n v="2329.5999999999985"/>
    <n v="21723.520000000004"/>
    <n v="0.40854326396495078"/>
  </r>
  <r>
    <s v="TX00919"/>
    <x v="20"/>
    <s v="S03"/>
    <x v="0"/>
    <x v="0"/>
    <n v="2032"/>
    <n v="24"/>
    <n v="0.13"/>
    <n v="42428.160000000003"/>
    <n v="26334.720000000001"/>
    <n v="48768"/>
    <s v="2024-09"/>
    <x v="2"/>
    <x v="2"/>
    <x v="0"/>
    <n v="6339.8399999999965"/>
    <n v="20.880000000000003"/>
    <n v="12"/>
    <n v="24384"/>
    <n v="1950.7200000000012"/>
    <n v="16093.440000000002"/>
    <n v="0.37931034482758624"/>
  </r>
  <r>
    <s v="TX00920"/>
    <x v="20"/>
    <s v="S03"/>
    <x v="1"/>
    <x v="0"/>
    <n v="2591"/>
    <n v="50"/>
    <n v="0.13"/>
    <n v="112708.5"/>
    <n v="78351.839999999997"/>
    <n v="129550"/>
    <s v="2024-09"/>
    <x v="2"/>
    <x v="2"/>
    <x v="1"/>
    <n v="16841.5"/>
    <n v="43.5"/>
    <n v="28"/>
    <n v="72548"/>
    <n v="5803.8399999999965"/>
    <n v="34356.660000000003"/>
    <n v="0.30482758620689659"/>
  </r>
  <r>
    <s v="TX00921"/>
    <x v="20"/>
    <s v="S03"/>
    <x v="2"/>
    <x v="1"/>
    <n v="2829"/>
    <n v="28"/>
    <n v="0.17"/>
    <n v="65745.960000000006"/>
    <n v="45829.8"/>
    <n v="79212"/>
    <s v="2024-09"/>
    <x v="2"/>
    <x v="2"/>
    <x v="2"/>
    <n v="13466.039999999994"/>
    <n v="23.240000000000002"/>
    <n v="15"/>
    <n v="42435"/>
    <n v="3394.8000000000029"/>
    <n v="19916.160000000003"/>
    <n v="0.30292598967297762"/>
  </r>
  <r>
    <s v="TX00922"/>
    <x v="20"/>
    <s v="S03"/>
    <x v="3"/>
    <x v="1"/>
    <n v="1821"/>
    <n v="35"/>
    <n v="0.13"/>
    <n v="55449.45"/>
    <n v="35400.239999999998"/>
    <n v="63735"/>
    <s v="2024-09"/>
    <x v="2"/>
    <x v="2"/>
    <x v="2"/>
    <n v="8285.5500000000029"/>
    <n v="30.45"/>
    <n v="18"/>
    <n v="32778"/>
    <n v="2622.239999999998"/>
    <n v="20049.21"/>
    <n v="0.36157635467980298"/>
  </r>
  <r>
    <s v="TX00923"/>
    <x v="20"/>
    <s v="S03"/>
    <x v="4"/>
    <x v="2"/>
    <n v="1619"/>
    <n v="18"/>
    <n v="0.15"/>
    <n v="24770.7"/>
    <n v="15736.68"/>
    <n v="29142"/>
    <s v="2024-09"/>
    <x v="2"/>
    <x v="2"/>
    <x v="3"/>
    <n v="4371.2999999999993"/>
    <n v="15.3"/>
    <n v="9"/>
    <n v="14571"/>
    <n v="1165.6800000000003"/>
    <n v="9034.02"/>
    <n v="0.36470588235294116"/>
  </r>
  <r>
    <s v="TX00924"/>
    <x v="20"/>
    <s v="S03"/>
    <x v="5"/>
    <x v="2"/>
    <n v="1566"/>
    <n v="30"/>
    <n v="0.15"/>
    <n v="39933"/>
    <n v="23677.919999999998"/>
    <n v="46980"/>
    <s v="2024-09"/>
    <x v="2"/>
    <x v="2"/>
    <x v="3"/>
    <n v="7047"/>
    <n v="25.5"/>
    <n v="14"/>
    <n v="21924"/>
    <n v="1753.9199999999983"/>
    <n v="16255.080000000002"/>
    <n v="0.40705882352941181"/>
  </r>
  <r>
    <s v="TX00925"/>
    <x v="20"/>
    <s v="S03"/>
    <x v="6"/>
    <x v="3"/>
    <n v="1337"/>
    <n v="40"/>
    <n v="0.12"/>
    <n v="47062.400000000001"/>
    <n v="28879.200000000001"/>
    <n v="53480"/>
    <s v="2024-09"/>
    <x v="2"/>
    <x v="2"/>
    <x v="4"/>
    <n v="6417.5999999999985"/>
    <n v="35.200000000000003"/>
    <n v="20"/>
    <n v="26740"/>
    <n v="2139.2000000000007"/>
    <n v="18183.2"/>
    <n v="0.38636363636363635"/>
  </r>
  <r>
    <s v="TX00926"/>
    <x v="20"/>
    <s v="S03"/>
    <x v="7"/>
    <x v="4"/>
    <n v="2719"/>
    <n v="10"/>
    <n v="0.16"/>
    <n v="22839.599999999999"/>
    <n v="11746.08"/>
    <n v="27190"/>
    <s v="2024-09"/>
    <x v="2"/>
    <x v="2"/>
    <x v="5"/>
    <n v="4350.4000000000015"/>
    <n v="8.3999999999999986"/>
    <n v="4"/>
    <n v="10876"/>
    <n v="870.07999999999993"/>
    <n v="11093.519999999999"/>
    <n v="0.48571428571428571"/>
  </r>
  <r>
    <s v="TX00927"/>
    <x v="20"/>
    <s v="S03"/>
    <x v="8"/>
    <x v="4"/>
    <n v="2679"/>
    <n v="22"/>
    <n v="0.15"/>
    <n v="50097.3"/>
    <n v="28933.200000000001"/>
    <n v="58938"/>
    <s v="2024-09"/>
    <x v="2"/>
    <x v="2"/>
    <x v="5"/>
    <n v="8840.6999999999971"/>
    <n v="18.700000000000003"/>
    <n v="10"/>
    <n v="26790"/>
    <n v="2143.2000000000007"/>
    <n v="21164.100000000002"/>
    <n v="0.42245989304812837"/>
  </r>
  <r>
    <s v="TX00928"/>
    <x v="20"/>
    <s v="S04"/>
    <x v="0"/>
    <x v="0"/>
    <n v="2578"/>
    <n v="24"/>
    <n v="0.14000000000000001"/>
    <n v="53209.919999999998"/>
    <n v="33410.879999999997"/>
    <n v="61872"/>
    <s v="2024-09"/>
    <x v="3"/>
    <x v="3"/>
    <x v="0"/>
    <n v="8662.0800000000017"/>
    <n v="20.64"/>
    <n v="12"/>
    <n v="30936"/>
    <n v="2474.8799999999974"/>
    <n v="19799.04"/>
    <n v="0.372093023255814"/>
  </r>
  <r>
    <s v="TX00929"/>
    <x v="20"/>
    <s v="S04"/>
    <x v="1"/>
    <x v="0"/>
    <n v="1711"/>
    <n v="50"/>
    <n v="0.15"/>
    <n v="72717.5"/>
    <n v="51740.639999999999"/>
    <n v="85550"/>
    <s v="2024-09"/>
    <x v="3"/>
    <x v="3"/>
    <x v="1"/>
    <n v="12832.5"/>
    <n v="42.5"/>
    <n v="28"/>
    <n v="47908"/>
    <n v="3832.6399999999994"/>
    <n v="20976.86"/>
    <n v="0.28847058823529415"/>
  </r>
  <r>
    <s v="TX00930"/>
    <x v="20"/>
    <s v="S04"/>
    <x v="2"/>
    <x v="1"/>
    <n v="1949"/>
    <n v="28"/>
    <n v="0.14000000000000001"/>
    <n v="46931.92"/>
    <n v="31573.8"/>
    <n v="54572"/>
    <s v="2024-09"/>
    <x v="3"/>
    <x v="3"/>
    <x v="2"/>
    <n v="7640.0800000000017"/>
    <n v="24.08"/>
    <n v="15"/>
    <n v="29235"/>
    <n v="2338.7999999999993"/>
    <n v="15358.119999999999"/>
    <n v="0.3272425249169435"/>
  </r>
  <r>
    <s v="TX00931"/>
    <x v="20"/>
    <s v="S04"/>
    <x v="3"/>
    <x v="1"/>
    <n v="1465"/>
    <n v="35"/>
    <n v="0.15"/>
    <n v="43583.75"/>
    <n v="28479.599999999999"/>
    <n v="51275"/>
    <s v="2024-09"/>
    <x v="3"/>
    <x v="3"/>
    <x v="2"/>
    <n v="7691.25"/>
    <n v="29.75"/>
    <n v="18"/>
    <n v="26370"/>
    <n v="2109.5999999999985"/>
    <n v="15104.150000000001"/>
    <n v="0.34655462184873953"/>
  </r>
  <r>
    <s v="TX00932"/>
    <x v="20"/>
    <s v="S04"/>
    <x v="4"/>
    <x v="2"/>
    <n v="2653"/>
    <n v="18"/>
    <n v="0.15"/>
    <n v="40590.9"/>
    <n v="25787.16"/>
    <n v="47754"/>
    <s v="2024-09"/>
    <x v="3"/>
    <x v="3"/>
    <x v="3"/>
    <n v="7163.0999999999985"/>
    <n v="15.3"/>
    <n v="9"/>
    <n v="23877"/>
    <n v="1910.1599999999999"/>
    <n v="14803.740000000002"/>
    <n v="0.36470588235294121"/>
  </r>
  <r>
    <s v="TX00933"/>
    <x v="20"/>
    <s v="S04"/>
    <x v="5"/>
    <x v="2"/>
    <n v="3080"/>
    <n v="30"/>
    <n v="0.17"/>
    <n v="76692"/>
    <n v="46569.599999999999"/>
    <n v="92400"/>
    <s v="2024-09"/>
    <x v="3"/>
    <x v="3"/>
    <x v="3"/>
    <n v="15708"/>
    <n v="24.9"/>
    <n v="14"/>
    <n v="43120"/>
    <n v="3449.5999999999985"/>
    <n v="30122.400000000001"/>
    <n v="0.39277108433734942"/>
  </r>
  <r>
    <s v="TX00934"/>
    <x v="20"/>
    <s v="S04"/>
    <x v="6"/>
    <x v="3"/>
    <n v="2296"/>
    <n v="40"/>
    <n v="0.17"/>
    <n v="76227.199999999997"/>
    <n v="49593.599999999999"/>
    <n v="91840"/>
    <s v="2024-09"/>
    <x v="3"/>
    <x v="3"/>
    <x v="4"/>
    <n v="15612.800000000003"/>
    <n v="33.199999999999996"/>
    <n v="20"/>
    <n v="45920"/>
    <n v="3673.5999999999985"/>
    <n v="26633.599999999999"/>
    <n v="0.3493975903614458"/>
  </r>
  <r>
    <s v="TX00935"/>
    <x v="20"/>
    <s v="S04"/>
    <x v="7"/>
    <x v="4"/>
    <n v="2235"/>
    <n v="10"/>
    <n v="0.17"/>
    <n v="18550.5"/>
    <n v="9655.2000000000007"/>
    <n v="22350"/>
    <s v="2024-09"/>
    <x v="3"/>
    <x v="3"/>
    <x v="5"/>
    <n v="3799.5"/>
    <n v="8.3000000000000007"/>
    <n v="4"/>
    <n v="8940"/>
    <n v="715.20000000000073"/>
    <n v="8895.2999999999993"/>
    <n v="0.4795180722891566"/>
  </r>
  <r>
    <s v="TX00936"/>
    <x v="20"/>
    <s v="S04"/>
    <x v="8"/>
    <x v="4"/>
    <n v="2213"/>
    <n v="22"/>
    <n v="0.14000000000000001"/>
    <n v="41869.96"/>
    <n v="23900.400000000001"/>
    <n v="48686"/>
    <s v="2024-09"/>
    <x v="3"/>
    <x v="3"/>
    <x v="5"/>
    <n v="6816.0400000000009"/>
    <n v="18.919999999999998"/>
    <n v="10"/>
    <n v="22130"/>
    <n v="1770.4000000000015"/>
    <n v="17969.559999999998"/>
    <n v="0.42917547568710357"/>
  </r>
  <r>
    <s v="TX00937"/>
    <x v="20"/>
    <s v="S05"/>
    <x v="0"/>
    <x v="0"/>
    <n v="2318"/>
    <n v="24"/>
    <n v="0.15"/>
    <n v="47287.199999999997"/>
    <n v="30041.279999999999"/>
    <n v="55632"/>
    <s v="2024-09"/>
    <x v="4"/>
    <x v="0"/>
    <x v="0"/>
    <n v="8344.8000000000029"/>
    <n v="20.399999999999999"/>
    <n v="12"/>
    <n v="27816"/>
    <n v="2225.2799999999988"/>
    <n v="17245.919999999998"/>
    <n v="0.36470588235294116"/>
  </r>
  <r>
    <s v="TX00938"/>
    <x v="20"/>
    <s v="S05"/>
    <x v="1"/>
    <x v="0"/>
    <n v="1676"/>
    <n v="50"/>
    <n v="0.15"/>
    <n v="71230"/>
    <n v="50682.239999999998"/>
    <n v="83800"/>
    <s v="2024-09"/>
    <x v="4"/>
    <x v="0"/>
    <x v="1"/>
    <n v="12570"/>
    <n v="42.5"/>
    <n v="28"/>
    <n v="46928"/>
    <n v="3754.239999999998"/>
    <n v="20547.760000000002"/>
    <n v="0.28847058823529415"/>
  </r>
  <r>
    <s v="TX00939"/>
    <x v="20"/>
    <s v="S05"/>
    <x v="2"/>
    <x v="1"/>
    <n v="2807"/>
    <n v="28"/>
    <n v="0.15"/>
    <n v="66806.600000000006"/>
    <n v="45473.4"/>
    <n v="78596"/>
    <s v="2024-09"/>
    <x v="4"/>
    <x v="0"/>
    <x v="2"/>
    <n v="11789.399999999994"/>
    <n v="23.8"/>
    <n v="15"/>
    <n v="42105"/>
    <n v="3368.4000000000015"/>
    <n v="21333.200000000004"/>
    <n v="0.31932773109243701"/>
  </r>
  <r>
    <s v="TX00940"/>
    <x v="20"/>
    <s v="S05"/>
    <x v="3"/>
    <x v="1"/>
    <n v="1350"/>
    <n v="35"/>
    <n v="0.14000000000000001"/>
    <n v="40635"/>
    <n v="26244"/>
    <n v="47250"/>
    <s v="2024-09"/>
    <x v="4"/>
    <x v="0"/>
    <x v="2"/>
    <n v="6615"/>
    <n v="30.1"/>
    <n v="18"/>
    <n v="24300"/>
    <n v="1944"/>
    <n v="14391"/>
    <n v="0.35415282392026576"/>
  </r>
  <r>
    <s v="TX00941"/>
    <x v="20"/>
    <s v="S05"/>
    <x v="4"/>
    <x v="2"/>
    <n v="2384"/>
    <n v="18"/>
    <n v="0.14000000000000001"/>
    <n v="36904.32"/>
    <n v="23172.48"/>
    <n v="42912"/>
    <s v="2024-09"/>
    <x v="4"/>
    <x v="0"/>
    <x v="3"/>
    <n v="6007.68"/>
    <n v="15.48"/>
    <n v="9"/>
    <n v="21456"/>
    <n v="1716.4799999999996"/>
    <n v="13731.84"/>
    <n v="0.37209302325581395"/>
  </r>
  <r>
    <s v="TX00942"/>
    <x v="20"/>
    <s v="S05"/>
    <x v="5"/>
    <x v="2"/>
    <n v="2728"/>
    <n v="30"/>
    <n v="0.12"/>
    <n v="72019.199999999997"/>
    <n v="41247.360000000001"/>
    <n v="81840"/>
    <s v="2024-09"/>
    <x v="4"/>
    <x v="0"/>
    <x v="3"/>
    <n v="9820.8000000000029"/>
    <n v="26.4"/>
    <n v="14"/>
    <n v="38192"/>
    <n v="3055.3600000000006"/>
    <n v="30771.839999999997"/>
    <n v="0.42727272727272725"/>
  </r>
  <r>
    <s v="TX00943"/>
    <x v="20"/>
    <s v="S05"/>
    <x v="6"/>
    <x v="3"/>
    <n v="1333"/>
    <n v="40"/>
    <n v="0.15"/>
    <n v="45322"/>
    <n v="28792.799999999999"/>
    <n v="53320"/>
    <s v="2024-09"/>
    <x v="4"/>
    <x v="0"/>
    <x v="4"/>
    <n v="7998"/>
    <n v="34"/>
    <n v="20"/>
    <n v="26660"/>
    <n v="2132.7999999999993"/>
    <n v="16529.2"/>
    <n v="0.36470588235294121"/>
  </r>
  <r>
    <s v="TX00944"/>
    <x v="20"/>
    <s v="S05"/>
    <x v="7"/>
    <x v="4"/>
    <n v="3022"/>
    <n v="10"/>
    <n v="0.16"/>
    <n v="25384.799999999999"/>
    <n v="13055.04"/>
    <n v="30220"/>
    <s v="2024-09"/>
    <x v="4"/>
    <x v="0"/>
    <x v="5"/>
    <n v="4835.2000000000007"/>
    <n v="8.4"/>
    <n v="4"/>
    <n v="12088"/>
    <n v="967.04000000000087"/>
    <n v="12329.759999999998"/>
    <n v="0.48571428571428565"/>
  </r>
  <r>
    <s v="TX00945"/>
    <x v="20"/>
    <s v="S05"/>
    <x v="8"/>
    <x v="4"/>
    <n v="2169"/>
    <n v="22"/>
    <n v="0.15"/>
    <n v="40560.300000000003"/>
    <n v="23425.200000000001"/>
    <n v="47718"/>
    <s v="2024-09"/>
    <x v="4"/>
    <x v="0"/>
    <x v="5"/>
    <n v="7157.6999999999971"/>
    <n v="18.700000000000003"/>
    <n v="10"/>
    <n v="21690"/>
    <n v="1735.2000000000007"/>
    <n v="17135.100000000002"/>
    <n v="0.42245989304812837"/>
  </r>
  <r>
    <s v="TX00946"/>
    <x v="21"/>
    <s v="S01"/>
    <x v="0"/>
    <x v="0"/>
    <n v="1707"/>
    <n v="24"/>
    <n v="0.14000000000000001"/>
    <n v="35232.480000000003"/>
    <n v="22122.720000000001"/>
    <n v="40968"/>
    <s v="2024-10"/>
    <x v="0"/>
    <x v="0"/>
    <x v="0"/>
    <n v="5735.5199999999968"/>
    <n v="20.64"/>
    <n v="12"/>
    <n v="20484"/>
    <n v="1638.7200000000012"/>
    <n v="13109.760000000002"/>
    <n v="0.372093023255814"/>
  </r>
  <r>
    <s v="TX00947"/>
    <x v="21"/>
    <s v="S01"/>
    <x v="1"/>
    <x v="0"/>
    <n v="1504"/>
    <n v="50"/>
    <n v="0.16"/>
    <n v="63168"/>
    <n v="45480.959999999999"/>
    <n v="75200"/>
    <s v="2024-10"/>
    <x v="0"/>
    <x v="0"/>
    <x v="1"/>
    <n v="12032"/>
    <n v="42"/>
    <n v="28"/>
    <n v="42112"/>
    <n v="3368.9599999999991"/>
    <n v="17687.04"/>
    <n v="0.28000000000000003"/>
  </r>
  <r>
    <s v="TX00948"/>
    <x v="21"/>
    <s v="S01"/>
    <x v="2"/>
    <x v="1"/>
    <n v="2635"/>
    <n v="28"/>
    <n v="0.14000000000000001"/>
    <n v="63450.8"/>
    <n v="42687"/>
    <n v="73780"/>
    <s v="2024-10"/>
    <x v="0"/>
    <x v="0"/>
    <x v="2"/>
    <n v="10329.199999999997"/>
    <n v="24.080000000000002"/>
    <n v="15"/>
    <n v="39525"/>
    <n v="3162"/>
    <n v="20763.800000000003"/>
    <n v="0.32724252491694356"/>
  </r>
  <r>
    <s v="TX00949"/>
    <x v="21"/>
    <s v="S01"/>
    <x v="3"/>
    <x v="1"/>
    <n v="2063"/>
    <n v="35"/>
    <n v="0.13"/>
    <n v="62818.35"/>
    <n v="40104.720000000001"/>
    <n v="72205"/>
    <s v="2024-10"/>
    <x v="0"/>
    <x v="0"/>
    <x v="2"/>
    <n v="9386.6500000000015"/>
    <n v="30.45"/>
    <n v="18"/>
    <n v="37134"/>
    <n v="2970.7200000000012"/>
    <n v="22713.629999999997"/>
    <n v="0.36157635467980292"/>
  </r>
  <r>
    <s v="TX00950"/>
    <x v="21"/>
    <s v="S01"/>
    <x v="4"/>
    <x v="2"/>
    <n v="2978"/>
    <n v="18"/>
    <n v="0.16"/>
    <n v="45027.360000000001"/>
    <n v="28946.16"/>
    <n v="53604"/>
    <s v="2024-10"/>
    <x v="0"/>
    <x v="0"/>
    <x v="3"/>
    <n v="8576.64"/>
    <n v="15.120000000000001"/>
    <n v="9"/>
    <n v="26802"/>
    <n v="2144.16"/>
    <n v="16081.2"/>
    <n v="0.35714285714285715"/>
  </r>
  <r>
    <s v="TX00951"/>
    <x v="21"/>
    <s v="S01"/>
    <x v="5"/>
    <x v="2"/>
    <n v="2917"/>
    <n v="30"/>
    <n v="0.12"/>
    <n v="77008.800000000003"/>
    <n v="44105.04"/>
    <n v="87510"/>
    <s v="2024-10"/>
    <x v="0"/>
    <x v="0"/>
    <x v="3"/>
    <n v="10501.199999999997"/>
    <n v="26.400000000000002"/>
    <n v="14"/>
    <n v="40838"/>
    <n v="3267.0400000000009"/>
    <n v="32903.760000000002"/>
    <n v="0.4272727272727273"/>
  </r>
  <r>
    <s v="TX00952"/>
    <x v="21"/>
    <s v="S01"/>
    <x v="6"/>
    <x v="3"/>
    <n v="3058"/>
    <n v="40"/>
    <n v="0.17"/>
    <n v="101525.6"/>
    <n v="66052.800000000003"/>
    <n v="122320"/>
    <s v="2024-10"/>
    <x v="0"/>
    <x v="0"/>
    <x v="4"/>
    <n v="20794.399999999994"/>
    <n v="33.200000000000003"/>
    <n v="20"/>
    <n v="61160"/>
    <n v="4892.8000000000029"/>
    <n v="35472.800000000003"/>
    <n v="0.3493975903614458"/>
  </r>
  <r>
    <s v="TX00953"/>
    <x v="21"/>
    <s v="S01"/>
    <x v="7"/>
    <x v="4"/>
    <n v="1566"/>
    <n v="10"/>
    <n v="0.12"/>
    <n v="13780.8"/>
    <n v="6765.12"/>
    <n v="15660"/>
    <s v="2024-10"/>
    <x v="0"/>
    <x v="0"/>
    <x v="5"/>
    <n v="1879.2000000000007"/>
    <n v="8.7999999999999989"/>
    <n v="4"/>
    <n v="6264"/>
    <n v="501.11999999999989"/>
    <n v="7015.6799999999994"/>
    <n v="0.50909090909090904"/>
  </r>
  <r>
    <s v="TX00954"/>
    <x v="21"/>
    <s v="S01"/>
    <x v="8"/>
    <x v="4"/>
    <n v="3009"/>
    <n v="22"/>
    <n v="0.13"/>
    <n v="57592.26"/>
    <n v="32497.200000000001"/>
    <n v="66198"/>
    <s v="2024-10"/>
    <x v="0"/>
    <x v="0"/>
    <x v="5"/>
    <n v="8605.739999999998"/>
    <n v="19.14"/>
    <n v="10"/>
    <n v="30090"/>
    <n v="2407.2000000000007"/>
    <n v="25095.06"/>
    <n v="0.43573667711598746"/>
  </r>
  <r>
    <s v="TX00955"/>
    <x v="21"/>
    <s v="S02"/>
    <x v="0"/>
    <x v="0"/>
    <n v="2956"/>
    <n v="24"/>
    <n v="0.16"/>
    <n v="59592.959999999999"/>
    <n v="38309.760000000002"/>
    <n v="70944"/>
    <s v="2024-10"/>
    <x v="1"/>
    <x v="1"/>
    <x v="0"/>
    <n v="11351.04"/>
    <n v="20.16"/>
    <n v="12"/>
    <n v="35472"/>
    <n v="2837.760000000002"/>
    <n v="21283.199999999997"/>
    <n v="0.3571428571428571"/>
  </r>
  <r>
    <s v="TX00956"/>
    <x v="21"/>
    <s v="S02"/>
    <x v="1"/>
    <x v="0"/>
    <n v="1430"/>
    <n v="50"/>
    <n v="0.14000000000000001"/>
    <n v="61490"/>
    <n v="43243.199999999997"/>
    <n v="71500"/>
    <s v="2024-10"/>
    <x v="1"/>
    <x v="1"/>
    <x v="1"/>
    <n v="10010"/>
    <n v="43"/>
    <n v="28"/>
    <n v="40040"/>
    <n v="3203.1999999999971"/>
    <n v="18246.800000000003"/>
    <n v="0.29674418604651165"/>
  </r>
  <r>
    <s v="TX00957"/>
    <x v="21"/>
    <s v="S02"/>
    <x v="2"/>
    <x v="1"/>
    <n v="2156"/>
    <n v="28"/>
    <n v="0.15"/>
    <n v="51312.800000000003"/>
    <n v="34927.199999999997"/>
    <n v="60368"/>
    <s v="2024-10"/>
    <x v="1"/>
    <x v="1"/>
    <x v="2"/>
    <n v="9055.1999999999971"/>
    <n v="23.8"/>
    <n v="15"/>
    <n v="32340"/>
    <n v="2587.1999999999971"/>
    <n v="16385.600000000006"/>
    <n v="0.31932773109243706"/>
  </r>
  <r>
    <s v="TX00958"/>
    <x v="21"/>
    <s v="S02"/>
    <x v="3"/>
    <x v="1"/>
    <n v="1724"/>
    <n v="35"/>
    <n v="0.13"/>
    <n v="52495.8"/>
    <n v="33514.559999999998"/>
    <n v="60340"/>
    <s v="2024-10"/>
    <x v="1"/>
    <x v="1"/>
    <x v="2"/>
    <n v="7844.1999999999971"/>
    <n v="30.450000000000003"/>
    <n v="18"/>
    <n v="31032"/>
    <n v="2482.5599999999977"/>
    <n v="18981.240000000005"/>
    <n v="0.36157635467980304"/>
  </r>
  <r>
    <s v="TX00959"/>
    <x v="21"/>
    <s v="S02"/>
    <x v="4"/>
    <x v="2"/>
    <n v="2389"/>
    <n v="18"/>
    <n v="0.12"/>
    <n v="37841.760000000002"/>
    <n v="23221.08"/>
    <n v="43002"/>
    <s v="2024-10"/>
    <x v="1"/>
    <x v="1"/>
    <x v="3"/>
    <n v="5160.239999999998"/>
    <n v="15.840000000000002"/>
    <n v="9"/>
    <n v="21501"/>
    <n v="1720.0800000000017"/>
    <n v="14620.68"/>
    <n v="0.38636363636363635"/>
  </r>
  <r>
    <s v="TX00960"/>
    <x v="21"/>
    <s v="S02"/>
    <x v="5"/>
    <x v="2"/>
    <n v="3075"/>
    <n v="30"/>
    <n v="0.15"/>
    <n v="78412.5"/>
    <n v="46494"/>
    <n v="92250"/>
    <s v="2024-10"/>
    <x v="1"/>
    <x v="1"/>
    <x v="3"/>
    <n v="13837.5"/>
    <n v="25.5"/>
    <n v="14"/>
    <n v="43050"/>
    <n v="3444"/>
    <n v="31918.5"/>
    <n v="0.40705882352941175"/>
  </r>
  <r>
    <s v="TX00961"/>
    <x v="21"/>
    <s v="S02"/>
    <x v="6"/>
    <x v="3"/>
    <n v="2846"/>
    <n v="40"/>
    <n v="0.14000000000000001"/>
    <n v="97902.399999999994"/>
    <n v="61473.599999999999"/>
    <n v="113840"/>
    <s v="2024-10"/>
    <x v="1"/>
    <x v="1"/>
    <x v="4"/>
    <n v="15937.600000000006"/>
    <n v="34.4"/>
    <n v="20"/>
    <n v="56920"/>
    <n v="4553.5999999999985"/>
    <n v="36428.799999999996"/>
    <n v="0.37209302325581395"/>
  </r>
  <r>
    <s v="TX00962"/>
    <x v="21"/>
    <s v="S02"/>
    <x v="7"/>
    <x v="4"/>
    <n v="2054"/>
    <n v="10"/>
    <n v="0.13"/>
    <n v="17869.8"/>
    <n v="8873.2800000000007"/>
    <n v="20540"/>
    <s v="2024-10"/>
    <x v="1"/>
    <x v="1"/>
    <x v="5"/>
    <n v="2670.2000000000007"/>
    <n v="8.6999999999999993"/>
    <n v="4"/>
    <n v="8216"/>
    <n v="657.28000000000065"/>
    <n v="8996.5199999999986"/>
    <n v="0.50344827586206886"/>
  </r>
  <r>
    <s v="TX00963"/>
    <x v="21"/>
    <s v="S02"/>
    <x v="8"/>
    <x v="4"/>
    <n v="2670"/>
    <n v="22"/>
    <n v="0.13"/>
    <n v="51103.8"/>
    <n v="28836"/>
    <n v="58740"/>
    <s v="2024-10"/>
    <x v="1"/>
    <x v="1"/>
    <x v="5"/>
    <n v="7636.1999999999971"/>
    <n v="19.14"/>
    <n v="10"/>
    <n v="26700"/>
    <n v="2136"/>
    <n v="22267.800000000003"/>
    <n v="0.43573667711598751"/>
  </r>
  <r>
    <s v="TX00964"/>
    <x v="21"/>
    <s v="S03"/>
    <x v="0"/>
    <x v="0"/>
    <n v="2037"/>
    <n v="24"/>
    <n v="0.13"/>
    <n v="42532.56"/>
    <n v="26399.52"/>
    <n v="48888"/>
    <s v="2024-10"/>
    <x v="2"/>
    <x v="2"/>
    <x v="0"/>
    <n v="6355.4400000000023"/>
    <n v="20.88"/>
    <n v="12"/>
    <n v="24444"/>
    <n v="1955.5200000000004"/>
    <n v="16133.039999999997"/>
    <n v="0.37931034482758619"/>
  </r>
  <r>
    <s v="TX00965"/>
    <x v="21"/>
    <s v="S03"/>
    <x v="1"/>
    <x v="0"/>
    <n v="1918"/>
    <n v="50"/>
    <n v="0.13"/>
    <n v="83433"/>
    <n v="58000.32"/>
    <n v="95900"/>
    <s v="2024-10"/>
    <x v="2"/>
    <x v="2"/>
    <x v="1"/>
    <n v="12467"/>
    <n v="43.5"/>
    <n v="28"/>
    <n v="53704"/>
    <n v="4296.32"/>
    <n v="25432.68"/>
    <n v="0.30482758620689654"/>
  </r>
  <r>
    <s v="TX00966"/>
    <x v="21"/>
    <s v="S03"/>
    <x v="2"/>
    <x v="1"/>
    <n v="1909"/>
    <n v="28"/>
    <n v="0.14000000000000001"/>
    <n v="45968.72"/>
    <n v="30925.8"/>
    <n v="53452"/>
    <s v="2024-10"/>
    <x v="2"/>
    <x v="2"/>
    <x v="2"/>
    <n v="7483.2799999999988"/>
    <n v="24.080000000000002"/>
    <n v="15"/>
    <n v="28635"/>
    <n v="2290.7999999999993"/>
    <n v="15042.920000000002"/>
    <n v="0.32724252491694356"/>
  </r>
  <r>
    <s v="TX00967"/>
    <x v="21"/>
    <s v="S03"/>
    <x v="3"/>
    <x v="1"/>
    <n v="1676"/>
    <n v="35"/>
    <n v="0.14000000000000001"/>
    <n v="50447.6"/>
    <n v="32581.439999999999"/>
    <n v="58660"/>
    <s v="2024-10"/>
    <x v="2"/>
    <x v="2"/>
    <x v="2"/>
    <n v="8212.4000000000015"/>
    <n v="30.099999999999998"/>
    <n v="18"/>
    <n v="30168"/>
    <n v="2413.4399999999987"/>
    <n v="17866.16"/>
    <n v="0.35415282392026581"/>
  </r>
  <r>
    <s v="TX00968"/>
    <x v="21"/>
    <s v="S03"/>
    <x v="4"/>
    <x v="2"/>
    <n v="2987"/>
    <n v="18"/>
    <n v="0.17"/>
    <n v="44625.78"/>
    <n v="29033.64"/>
    <n v="53766"/>
    <s v="2024-10"/>
    <x v="2"/>
    <x v="2"/>
    <x v="3"/>
    <n v="9140.2200000000012"/>
    <n v="14.94"/>
    <n v="9"/>
    <n v="26883"/>
    <n v="2150.6399999999994"/>
    <n v="15592.14"/>
    <n v="0.3493975903614458"/>
  </r>
  <r>
    <s v="TX00969"/>
    <x v="21"/>
    <s v="S03"/>
    <x v="5"/>
    <x v="2"/>
    <n v="1548"/>
    <n v="30"/>
    <n v="0.13"/>
    <n v="40402.800000000003"/>
    <n v="23405.759999999998"/>
    <n v="46440"/>
    <s v="2024-10"/>
    <x v="2"/>
    <x v="2"/>
    <x v="3"/>
    <n v="6037.1999999999971"/>
    <n v="26.1"/>
    <n v="14"/>
    <n v="21672"/>
    <n v="1733.7599999999984"/>
    <n v="16997.040000000005"/>
    <n v="0.42068965517241386"/>
  </r>
  <r>
    <s v="TX00970"/>
    <x v="21"/>
    <s v="S03"/>
    <x v="6"/>
    <x v="3"/>
    <n v="2138"/>
    <n v="40"/>
    <n v="0.13"/>
    <n v="74402.399999999994"/>
    <n v="46180.800000000003"/>
    <n v="85520"/>
    <s v="2024-10"/>
    <x v="2"/>
    <x v="2"/>
    <x v="4"/>
    <n v="11117.600000000006"/>
    <n v="34.799999999999997"/>
    <n v="20"/>
    <n v="42760"/>
    <n v="3420.8000000000029"/>
    <n v="28221.599999999991"/>
    <n v="0.37931034482758613"/>
  </r>
  <r>
    <s v="TX00971"/>
    <x v="21"/>
    <s v="S03"/>
    <x v="7"/>
    <x v="4"/>
    <n v="2983"/>
    <n v="10"/>
    <n v="0.15"/>
    <n v="25355.5"/>
    <n v="12886.56"/>
    <n v="29830"/>
    <s v="2024-10"/>
    <x v="2"/>
    <x v="2"/>
    <x v="5"/>
    <n v="4474.5"/>
    <n v="8.5"/>
    <n v="4"/>
    <n v="11932"/>
    <n v="954.55999999999949"/>
    <n v="12468.94"/>
    <n v="0.49176470588235294"/>
  </r>
  <r>
    <s v="TX00972"/>
    <x v="21"/>
    <s v="S03"/>
    <x v="8"/>
    <x v="4"/>
    <n v="2939"/>
    <n v="22"/>
    <n v="0.16"/>
    <n v="54312.72"/>
    <n v="31741.200000000001"/>
    <n v="64658"/>
    <s v="2024-10"/>
    <x v="2"/>
    <x v="2"/>
    <x v="5"/>
    <n v="10345.279999999999"/>
    <n v="18.48"/>
    <n v="10"/>
    <n v="29390"/>
    <n v="2351.2000000000007"/>
    <n v="22571.52"/>
    <n v="0.41558441558441556"/>
  </r>
  <r>
    <s v="TX00973"/>
    <x v="21"/>
    <s v="S04"/>
    <x v="0"/>
    <x v="0"/>
    <n v="2670"/>
    <n v="24"/>
    <n v="0.15"/>
    <n v="54468"/>
    <n v="34603.199999999997"/>
    <n v="64080"/>
    <s v="2024-10"/>
    <x v="3"/>
    <x v="3"/>
    <x v="0"/>
    <n v="9612"/>
    <n v="20.399999999999999"/>
    <n v="12"/>
    <n v="32040"/>
    <n v="2563.1999999999971"/>
    <n v="19864.800000000003"/>
    <n v="0.36470588235294121"/>
  </r>
  <r>
    <s v="TX00974"/>
    <x v="21"/>
    <s v="S04"/>
    <x v="1"/>
    <x v="0"/>
    <n v="2464"/>
    <n v="50"/>
    <n v="0.13"/>
    <n v="107184"/>
    <n v="74511.360000000001"/>
    <n v="123200"/>
    <s v="2024-10"/>
    <x v="3"/>
    <x v="3"/>
    <x v="1"/>
    <n v="16016"/>
    <n v="43.5"/>
    <n v="28"/>
    <n v="68992"/>
    <n v="5519.3600000000006"/>
    <n v="32672.639999999999"/>
    <n v="0.30482758620689654"/>
  </r>
  <r>
    <s v="TX00975"/>
    <x v="21"/>
    <s v="S04"/>
    <x v="2"/>
    <x v="1"/>
    <n v="2644"/>
    <n v="28"/>
    <n v="0.12"/>
    <n v="65148.160000000003"/>
    <n v="42832.800000000003"/>
    <n v="74032"/>
    <s v="2024-10"/>
    <x v="3"/>
    <x v="3"/>
    <x v="2"/>
    <n v="8883.8399999999965"/>
    <n v="24.64"/>
    <n v="15"/>
    <n v="39660"/>
    <n v="3172.8000000000029"/>
    <n v="22315.360000000001"/>
    <n v="0.34253246753246752"/>
  </r>
  <r>
    <s v="TX00976"/>
    <x v="21"/>
    <s v="S04"/>
    <x v="3"/>
    <x v="1"/>
    <n v="1557"/>
    <n v="35"/>
    <n v="0.15"/>
    <n v="46320.75"/>
    <n v="30268.080000000002"/>
    <n v="54495"/>
    <s v="2024-10"/>
    <x v="3"/>
    <x v="3"/>
    <x v="2"/>
    <n v="8174.25"/>
    <n v="29.75"/>
    <n v="18"/>
    <n v="28026"/>
    <n v="2242.0800000000017"/>
    <n v="16052.669999999998"/>
    <n v="0.34655462184873947"/>
  </r>
  <r>
    <s v="TX00977"/>
    <x v="21"/>
    <s v="S04"/>
    <x v="4"/>
    <x v="2"/>
    <n v="2794"/>
    <n v="18"/>
    <n v="0.14000000000000001"/>
    <n v="43251.12"/>
    <n v="27157.68"/>
    <n v="50292"/>
    <s v="2024-10"/>
    <x v="3"/>
    <x v="3"/>
    <x v="3"/>
    <n v="7040.8799999999974"/>
    <n v="15.48"/>
    <n v="9"/>
    <n v="25146"/>
    <n v="2011.6800000000003"/>
    <n v="16093.440000000002"/>
    <n v="0.372093023255814"/>
  </r>
  <r>
    <s v="TX00978"/>
    <x v="21"/>
    <s v="S04"/>
    <x v="5"/>
    <x v="2"/>
    <n v="2851"/>
    <n v="30"/>
    <n v="0.16"/>
    <n v="71845.2"/>
    <n v="43107.12"/>
    <n v="85530"/>
    <s v="2024-10"/>
    <x v="3"/>
    <x v="3"/>
    <x v="3"/>
    <n v="13684.800000000003"/>
    <n v="25.2"/>
    <n v="14"/>
    <n v="39914"/>
    <n v="3193.1200000000026"/>
    <n v="28738.079999999994"/>
    <n v="0.39999999999999997"/>
  </r>
  <r>
    <s v="TX00979"/>
    <x v="21"/>
    <s v="S04"/>
    <x v="6"/>
    <x v="3"/>
    <n v="2301"/>
    <n v="40"/>
    <n v="0.16"/>
    <n v="77313.600000000006"/>
    <n v="49701.599999999999"/>
    <n v="92040"/>
    <s v="2024-10"/>
    <x v="3"/>
    <x v="3"/>
    <x v="4"/>
    <n v="14726.399999999994"/>
    <n v="33.6"/>
    <n v="20"/>
    <n v="46020"/>
    <n v="3681.5999999999985"/>
    <n v="27612.000000000007"/>
    <n v="0.35714285714285721"/>
  </r>
  <r>
    <s v="TX00980"/>
    <x v="21"/>
    <s v="S04"/>
    <x v="7"/>
    <x v="4"/>
    <n v="1364"/>
    <n v="10"/>
    <n v="0.14000000000000001"/>
    <n v="11730.4"/>
    <n v="5892.48"/>
    <n v="13640"/>
    <s v="2024-10"/>
    <x v="3"/>
    <x v="3"/>
    <x v="5"/>
    <n v="1909.6000000000004"/>
    <n v="8.6"/>
    <n v="4"/>
    <n v="5456"/>
    <n v="436.47999999999956"/>
    <n v="5837.92"/>
    <n v="0.49767441860465117"/>
  </r>
  <r>
    <s v="TX00981"/>
    <x v="21"/>
    <s v="S04"/>
    <x v="8"/>
    <x v="4"/>
    <n v="1865"/>
    <n v="22"/>
    <n v="0.15"/>
    <n v="34875.5"/>
    <n v="20142"/>
    <n v="41030"/>
    <s v="2024-10"/>
    <x v="3"/>
    <x v="3"/>
    <x v="5"/>
    <n v="6154.5"/>
    <n v="18.7"/>
    <n v="10"/>
    <n v="18650"/>
    <n v="1492"/>
    <n v="14733.5"/>
    <n v="0.42245989304812837"/>
  </r>
  <r>
    <s v="TX00982"/>
    <x v="21"/>
    <s v="S05"/>
    <x v="0"/>
    <x v="0"/>
    <n v="1658"/>
    <n v="24"/>
    <n v="0.16"/>
    <n v="33425.279999999999"/>
    <n v="21487.68"/>
    <n v="39792"/>
    <s v="2024-10"/>
    <x v="4"/>
    <x v="0"/>
    <x v="0"/>
    <n v="6366.7200000000012"/>
    <n v="20.16"/>
    <n v="12"/>
    <n v="19896"/>
    <n v="1591.6800000000003"/>
    <n v="11937.599999999999"/>
    <n v="0.3571428571428571"/>
  </r>
  <r>
    <s v="TX00983"/>
    <x v="21"/>
    <s v="S05"/>
    <x v="1"/>
    <x v="0"/>
    <n v="1874"/>
    <n v="50"/>
    <n v="0.14000000000000001"/>
    <n v="80582"/>
    <n v="56669.760000000002"/>
    <n v="93700"/>
    <s v="2024-10"/>
    <x v="4"/>
    <x v="0"/>
    <x v="1"/>
    <n v="13118"/>
    <n v="43"/>
    <n v="28"/>
    <n v="52472"/>
    <n v="4197.760000000002"/>
    <n v="23912.239999999998"/>
    <n v="0.29674418604651159"/>
  </r>
  <r>
    <s v="TX00984"/>
    <x v="21"/>
    <s v="S05"/>
    <x v="2"/>
    <x v="1"/>
    <n v="2433"/>
    <n v="28"/>
    <n v="0.17"/>
    <n v="56542.92"/>
    <n v="39414.6"/>
    <n v="68124"/>
    <s v="2024-10"/>
    <x v="4"/>
    <x v="0"/>
    <x v="2"/>
    <n v="11581.080000000002"/>
    <n v="23.24"/>
    <n v="15"/>
    <n v="36495"/>
    <n v="2919.5999999999985"/>
    <n v="17128.32"/>
    <n v="0.30292598967297762"/>
  </r>
  <r>
    <s v="TX00985"/>
    <x v="21"/>
    <s v="S05"/>
    <x v="3"/>
    <x v="1"/>
    <n v="2354"/>
    <n v="35"/>
    <n v="0.16"/>
    <n v="69207.600000000006"/>
    <n v="45761.760000000002"/>
    <n v="82390"/>
    <s v="2024-10"/>
    <x v="4"/>
    <x v="0"/>
    <x v="2"/>
    <n v="13182.399999999994"/>
    <n v="29.400000000000002"/>
    <n v="18"/>
    <n v="42372"/>
    <n v="3389.760000000002"/>
    <n v="23445.840000000004"/>
    <n v="0.33877551020408164"/>
  </r>
  <r>
    <s v="TX00986"/>
    <x v="21"/>
    <s v="S05"/>
    <x v="4"/>
    <x v="2"/>
    <n v="1702"/>
    <n v="18"/>
    <n v="0.14000000000000001"/>
    <n v="26346.959999999999"/>
    <n v="16543.439999999999"/>
    <n v="30636"/>
    <s v="2024-10"/>
    <x v="4"/>
    <x v="0"/>
    <x v="3"/>
    <n v="4289.0400000000009"/>
    <n v="15.479999999999999"/>
    <n v="9"/>
    <n v="15318"/>
    <n v="1225.4399999999987"/>
    <n v="9803.52"/>
    <n v="0.372093023255814"/>
  </r>
  <r>
    <s v="TX00987"/>
    <x v="21"/>
    <s v="S05"/>
    <x v="5"/>
    <x v="2"/>
    <n v="1500"/>
    <n v="30"/>
    <n v="0.17"/>
    <n v="37350"/>
    <n v="22680"/>
    <n v="45000"/>
    <s v="2024-10"/>
    <x v="4"/>
    <x v="0"/>
    <x v="3"/>
    <n v="7650"/>
    <n v="24.9"/>
    <n v="14"/>
    <n v="21000"/>
    <n v="1680"/>
    <n v="14670"/>
    <n v="0.39277108433734942"/>
  </r>
  <r>
    <s v="TX00988"/>
    <x v="21"/>
    <s v="S05"/>
    <x v="6"/>
    <x v="3"/>
    <n v="1905"/>
    <n v="40"/>
    <n v="0.15"/>
    <n v="64770"/>
    <n v="41148"/>
    <n v="76200"/>
    <s v="2024-10"/>
    <x v="4"/>
    <x v="0"/>
    <x v="4"/>
    <n v="11430"/>
    <n v="34"/>
    <n v="20"/>
    <n v="38100"/>
    <n v="3048"/>
    <n v="23622"/>
    <n v="0.36470588235294116"/>
  </r>
  <r>
    <s v="TX00989"/>
    <x v="21"/>
    <s v="S05"/>
    <x v="7"/>
    <x v="4"/>
    <n v="1914"/>
    <n v="10"/>
    <n v="0.16"/>
    <n v="16077.6"/>
    <n v="8268.48"/>
    <n v="19140"/>
    <s v="2024-10"/>
    <x v="4"/>
    <x v="0"/>
    <x v="5"/>
    <n v="3062.3999999999996"/>
    <n v="8.4"/>
    <n v="4"/>
    <n v="7656"/>
    <n v="612.47999999999956"/>
    <n v="7809.1200000000008"/>
    <n v="0.48571428571428577"/>
  </r>
  <r>
    <s v="TX00990"/>
    <x v="21"/>
    <s v="S05"/>
    <x v="8"/>
    <x v="4"/>
    <n v="2741"/>
    <n v="22"/>
    <n v="0.14000000000000001"/>
    <n v="51859.72"/>
    <n v="29602.799999999999"/>
    <n v="60302"/>
    <s v="2024-10"/>
    <x v="4"/>
    <x v="0"/>
    <x v="5"/>
    <n v="8442.2799999999988"/>
    <n v="18.920000000000002"/>
    <n v="10"/>
    <n v="27410"/>
    <n v="2192.7999999999993"/>
    <n v="22256.920000000002"/>
    <n v="0.42917547568710362"/>
  </r>
  <r>
    <s v="TX00991"/>
    <x v="22"/>
    <s v="S01"/>
    <x v="0"/>
    <x v="0"/>
    <n v="2376"/>
    <n v="24"/>
    <n v="0.15"/>
    <n v="48470.400000000001"/>
    <n v="30792.959999999999"/>
    <n v="57024"/>
    <s v="2024-11"/>
    <x v="0"/>
    <x v="0"/>
    <x v="0"/>
    <n v="8553.5999999999985"/>
    <n v="20.400000000000002"/>
    <n v="12"/>
    <n v="28512"/>
    <n v="2280.9599999999991"/>
    <n v="17677.440000000002"/>
    <n v="0.36470588235294121"/>
  </r>
  <r>
    <s v="TX00992"/>
    <x v="22"/>
    <s v="S01"/>
    <x v="1"/>
    <x v="0"/>
    <n v="2921"/>
    <n v="50"/>
    <n v="0.13"/>
    <n v="127063.5"/>
    <n v="88331.04"/>
    <n v="146050"/>
    <s v="2024-11"/>
    <x v="0"/>
    <x v="0"/>
    <x v="1"/>
    <n v="18986.5"/>
    <n v="43.5"/>
    <n v="28"/>
    <n v="81788"/>
    <n v="6543.0399999999936"/>
    <n v="38732.460000000006"/>
    <n v="0.30482758620689659"/>
  </r>
  <r>
    <s v="TX00993"/>
    <x v="22"/>
    <s v="S01"/>
    <x v="2"/>
    <x v="1"/>
    <n v="2992"/>
    <n v="28"/>
    <n v="0.16"/>
    <n v="70371.839999999997"/>
    <n v="48470.400000000001"/>
    <n v="83776"/>
    <s v="2024-11"/>
    <x v="0"/>
    <x v="0"/>
    <x v="2"/>
    <n v="13404.160000000003"/>
    <n v="23.52"/>
    <n v="15"/>
    <n v="44880"/>
    <n v="3590.4000000000015"/>
    <n v="21901.439999999995"/>
    <n v="0.31122448979591832"/>
  </r>
  <r>
    <s v="TX00994"/>
    <x v="22"/>
    <s v="S01"/>
    <x v="3"/>
    <x v="1"/>
    <n v="1452"/>
    <n v="35"/>
    <n v="0.16"/>
    <n v="42688.800000000003"/>
    <n v="28226.880000000001"/>
    <n v="50820"/>
    <s v="2024-11"/>
    <x v="0"/>
    <x v="0"/>
    <x v="2"/>
    <n v="8131.1999999999971"/>
    <n v="29.400000000000002"/>
    <n v="18"/>
    <n v="26136"/>
    <n v="2090.880000000001"/>
    <n v="14461.920000000002"/>
    <n v="0.33877551020408164"/>
  </r>
  <r>
    <s v="TX00995"/>
    <x v="22"/>
    <s v="S01"/>
    <x v="4"/>
    <x v="2"/>
    <n v="2666"/>
    <n v="18"/>
    <n v="0.12"/>
    <n v="42229.440000000002"/>
    <n v="25913.52"/>
    <n v="47988"/>
    <s v="2024-11"/>
    <x v="0"/>
    <x v="0"/>
    <x v="3"/>
    <n v="5758.5599999999977"/>
    <n v="15.840000000000002"/>
    <n v="9"/>
    <n v="23994"/>
    <n v="1919.5200000000004"/>
    <n v="16315.920000000002"/>
    <n v="0.38636363636363641"/>
  </r>
  <r>
    <s v="TX00996"/>
    <x v="22"/>
    <s v="S01"/>
    <x v="5"/>
    <x v="2"/>
    <n v="2494"/>
    <n v="30"/>
    <n v="0.17"/>
    <n v="62100.6"/>
    <n v="37709.279999999999"/>
    <n v="74820"/>
    <s v="2024-11"/>
    <x v="0"/>
    <x v="0"/>
    <x v="3"/>
    <n v="12719.400000000001"/>
    <n v="24.9"/>
    <n v="14"/>
    <n v="34916"/>
    <n v="2793.2799999999988"/>
    <n v="24391.32"/>
    <n v="0.39277108433734942"/>
  </r>
  <r>
    <s v="TX00997"/>
    <x v="22"/>
    <s v="S01"/>
    <x v="6"/>
    <x v="3"/>
    <n v="2151"/>
    <n v="40"/>
    <n v="0.14000000000000001"/>
    <n v="73994.399999999994"/>
    <n v="46461.599999999999"/>
    <n v="86040"/>
    <s v="2024-11"/>
    <x v="0"/>
    <x v="0"/>
    <x v="4"/>
    <n v="12045.600000000006"/>
    <n v="34.4"/>
    <n v="20"/>
    <n v="43020"/>
    <n v="3441.5999999999985"/>
    <n v="27532.799999999996"/>
    <n v="0.37209302325581395"/>
  </r>
  <r>
    <s v="TX00998"/>
    <x v="22"/>
    <s v="S01"/>
    <x v="7"/>
    <x v="4"/>
    <n v="2666"/>
    <n v="10"/>
    <n v="0.12"/>
    <n v="23460.799999999999"/>
    <n v="11517.12"/>
    <n v="26660"/>
    <s v="2024-11"/>
    <x v="0"/>
    <x v="0"/>
    <x v="5"/>
    <n v="3199.2000000000007"/>
    <n v="8.7999999999999989"/>
    <n v="4"/>
    <n v="10664"/>
    <n v="853.1200000000008"/>
    <n v="11943.679999999998"/>
    <n v="0.50909090909090904"/>
  </r>
  <r>
    <s v="TX00999"/>
    <x v="22"/>
    <s v="S01"/>
    <x v="8"/>
    <x v="4"/>
    <n v="1522"/>
    <n v="22"/>
    <n v="0.16"/>
    <n v="28126.560000000001"/>
    <n v="16437.599999999999"/>
    <n v="33484"/>
    <s v="2024-11"/>
    <x v="0"/>
    <x v="0"/>
    <x v="5"/>
    <n v="5357.4399999999987"/>
    <n v="18.48"/>
    <n v="10"/>
    <n v="15220"/>
    <n v="1217.5999999999985"/>
    <n v="11688.960000000003"/>
    <n v="0.41558441558441567"/>
  </r>
  <r>
    <s v="TX01000"/>
    <x v="22"/>
    <s v="S02"/>
    <x v="0"/>
    <x v="0"/>
    <n v="1980"/>
    <n v="24"/>
    <n v="0.16"/>
    <n v="39916.800000000003"/>
    <n v="25660.799999999999"/>
    <n v="47520"/>
    <s v="2024-11"/>
    <x v="1"/>
    <x v="1"/>
    <x v="0"/>
    <n v="7603.1999999999971"/>
    <n v="20.16"/>
    <n v="12"/>
    <n v="23760"/>
    <n v="1900.7999999999993"/>
    <n v="14256.000000000004"/>
    <n v="0.35714285714285721"/>
  </r>
  <r>
    <s v="TX01001"/>
    <x v="22"/>
    <s v="S02"/>
    <x v="1"/>
    <x v="0"/>
    <n v="2279"/>
    <n v="50"/>
    <n v="0.17"/>
    <n v="94578.5"/>
    <n v="68916.960000000006"/>
    <n v="113950"/>
    <s v="2024-11"/>
    <x v="1"/>
    <x v="1"/>
    <x v="1"/>
    <n v="19371.5"/>
    <n v="41.5"/>
    <n v="28"/>
    <n v="63812"/>
    <n v="5104.9600000000064"/>
    <n v="25661.539999999994"/>
    <n v="0.27132530120481924"/>
  </r>
  <r>
    <s v="TX01002"/>
    <x v="22"/>
    <s v="S02"/>
    <x v="2"/>
    <x v="1"/>
    <n v="3018"/>
    <n v="28"/>
    <n v="0.14000000000000001"/>
    <n v="72673.440000000002"/>
    <n v="48891.6"/>
    <n v="84504"/>
    <s v="2024-11"/>
    <x v="1"/>
    <x v="1"/>
    <x v="2"/>
    <n v="11830.559999999998"/>
    <n v="24.080000000000002"/>
    <n v="15"/>
    <n v="45270"/>
    <n v="3621.5999999999985"/>
    <n v="23781.840000000004"/>
    <n v="0.32724252491694356"/>
  </r>
  <r>
    <s v="TX01003"/>
    <x v="22"/>
    <s v="S02"/>
    <x v="3"/>
    <x v="1"/>
    <n v="2789"/>
    <n v="35"/>
    <n v="0.13"/>
    <n v="84925.05"/>
    <n v="54218.16"/>
    <n v="97615"/>
    <s v="2024-11"/>
    <x v="1"/>
    <x v="1"/>
    <x v="2"/>
    <n v="12689.949999999997"/>
    <n v="30.45"/>
    <n v="18"/>
    <n v="50202"/>
    <n v="4016.1600000000035"/>
    <n v="30706.89"/>
    <n v="0.36157635467980292"/>
  </r>
  <r>
    <s v="TX01004"/>
    <x v="22"/>
    <s v="S02"/>
    <x v="4"/>
    <x v="2"/>
    <n v="3058"/>
    <n v="18"/>
    <n v="0.17"/>
    <n v="45686.52"/>
    <n v="29723.759999999998"/>
    <n v="55044"/>
    <s v="2024-11"/>
    <x v="1"/>
    <x v="1"/>
    <x v="3"/>
    <n v="9357.4800000000032"/>
    <n v="14.94"/>
    <n v="9"/>
    <n v="27522"/>
    <n v="2201.7599999999984"/>
    <n v="15962.759999999998"/>
    <n v="0.3493975903614458"/>
  </r>
  <r>
    <s v="TX01005"/>
    <x v="22"/>
    <s v="S02"/>
    <x v="5"/>
    <x v="2"/>
    <n v="1826"/>
    <n v="30"/>
    <n v="0.17"/>
    <n v="45467.4"/>
    <n v="27609.119999999999"/>
    <n v="54780"/>
    <s v="2024-11"/>
    <x v="1"/>
    <x v="1"/>
    <x v="3"/>
    <n v="9312.5999999999985"/>
    <n v="24.900000000000002"/>
    <n v="14"/>
    <n v="25564"/>
    <n v="2045.119999999999"/>
    <n v="17858.280000000002"/>
    <n v="0.39277108433734942"/>
  </r>
  <r>
    <s v="TX01006"/>
    <x v="22"/>
    <s v="S02"/>
    <x v="6"/>
    <x v="3"/>
    <n v="1350"/>
    <n v="40"/>
    <n v="0.13"/>
    <n v="46980"/>
    <n v="29160"/>
    <n v="54000"/>
    <s v="2024-11"/>
    <x v="1"/>
    <x v="1"/>
    <x v="4"/>
    <n v="7020"/>
    <n v="34.799999999999997"/>
    <n v="20"/>
    <n v="27000"/>
    <n v="2160"/>
    <n v="17820"/>
    <n v="0.37931034482758619"/>
  </r>
  <r>
    <s v="TX01007"/>
    <x v="22"/>
    <s v="S02"/>
    <x v="7"/>
    <x v="4"/>
    <n v="2173"/>
    <n v="10"/>
    <n v="0.14000000000000001"/>
    <n v="18687.8"/>
    <n v="9387.36"/>
    <n v="21730"/>
    <s v="2024-11"/>
    <x v="1"/>
    <x v="1"/>
    <x v="5"/>
    <n v="3042.2000000000007"/>
    <n v="8.6"/>
    <n v="4"/>
    <n v="8692"/>
    <n v="695.36000000000058"/>
    <n v="9300.4399999999987"/>
    <n v="0.49767441860465111"/>
  </r>
  <r>
    <s v="TX01008"/>
    <x v="22"/>
    <s v="S02"/>
    <x v="8"/>
    <x v="4"/>
    <n v="1658"/>
    <n v="22"/>
    <n v="0.15"/>
    <n v="31004.6"/>
    <n v="17906.400000000001"/>
    <n v="36476"/>
    <s v="2024-11"/>
    <x v="1"/>
    <x v="1"/>
    <x v="5"/>
    <n v="5471.4000000000015"/>
    <n v="18.7"/>
    <n v="10"/>
    <n v="16580"/>
    <n v="1326.4000000000015"/>
    <n v="13098.199999999997"/>
    <n v="0.42245989304812825"/>
  </r>
  <r>
    <s v="TX01009"/>
    <x v="22"/>
    <s v="S03"/>
    <x v="0"/>
    <x v="0"/>
    <n v="2934"/>
    <n v="24"/>
    <n v="0.15"/>
    <n v="59853.599999999999"/>
    <n v="38024.639999999999"/>
    <n v="70416"/>
    <s v="2024-11"/>
    <x v="2"/>
    <x v="2"/>
    <x v="0"/>
    <n v="10562.400000000001"/>
    <n v="20.399999999999999"/>
    <n v="12"/>
    <n v="35208"/>
    <n v="2816.6399999999994"/>
    <n v="21828.959999999999"/>
    <n v="0.36470588235294116"/>
  </r>
  <r>
    <s v="TX01010"/>
    <x v="22"/>
    <s v="S03"/>
    <x v="1"/>
    <x v="0"/>
    <n v="3053"/>
    <n v="50"/>
    <n v="0.12"/>
    <n v="134332"/>
    <n v="92322.72"/>
    <n v="152650"/>
    <s v="2024-11"/>
    <x v="2"/>
    <x v="2"/>
    <x v="1"/>
    <n v="18318"/>
    <n v="44"/>
    <n v="28"/>
    <n v="85484"/>
    <n v="6838.7200000000012"/>
    <n v="42009.279999999999"/>
    <n v="0.31272727272727274"/>
  </r>
  <r>
    <s v="TX01011"/>
    <x v="22"/>
    <s v="S03"/>
    <x v="2"/>
    <x v="1"/>
    <n v="2094"/>
    <n v="28"/>
    <n v="0.16"/>
    <n v="49250.879999999997"/>
    <n v="33922.800000000003"/>
    <n v="58632"/>
    <s v="2024-11"/>
    <x v="2"/>
    <x v="2"/>
    <x v="2"/>
    <n v="9381.1200000000026"/>
    <n v="23.52"/>
    <n v="15"/>
    <n v="31410"/>
    <n v="2512.8000000000029"/>
    <n v="15328.079999999994"/>
    <n v="0.31122448979591827"/>
  </r>
  <r>
    <s v="TX01012"/>
    <x v="22"/>
    <s v="S03"/>
    <x v="3"/>
    <x v="1"/>
    <n v="3062"/>
    <n v="35"/>
    <n v="0.16"/>
    <n v="90022.8"/>
    <n v="59525.279999999999"/>
    <n v="107170"/>
    <s v="2024-11"/>
    <x v="2"/>
    <x v="2"/>
    <x v="2"/>
    <n v="17147.199999999997"/>
    <n v="29.400000000000002"/>
    <n v="18"/>
    <n v="55116"/>
    <n v="4409.2799999999988"/>
    <n v="30497.520000000004"/>
    <n v="0.33877551020408164"/>
  </r>
  <r>
    <s v="TX01013"/>
    <x v="22"/>
    <s v="S03"/>
    <x v="4"/>
    <x v="2"/>
    <n v="1531"/>
    <n v="18"/>
    <n v="0.15"/>
    <n v="23424.3"/>
    <n v="14881.32"/>
    <n v="27558"/>
    <s v="2024-11"/>
    <x v="2"/>
    <x v="2"/>
    <x v="3"/>
    <n v="4133.7000000000007"/>
    <n v="15.299999999999999"/>
    <n v="9"/>
    <n v="13779"/>
    <n v="1102.3199999999997"/>
    <n v="8542.98"/>
    <n v="0.36470588235294116"/>
  </r>
  <r>
    <s v="TX01014"/>
    <x v="22"/>
    <s v="S03"/>
    <x v="5"/>
    <x v="2"/>
    <n v="1579"/>
    <n v="30"/>
    <n v="0.13"/>
    <n v="41211.9"/>
    <n v="23874.48"/>
    <n v="47370"/>
    <s v="2024-11"/>
    <x v="2"/>
    <x v="2"/>
    <x v="3"/>
    <n v="6158.0999999999985"/>
    <n v="26.1"/>
    <n v="14"/>
    <n v="22106"/>
    <n v="1768.4799999999996"/>
    <n v="17337.420000000002"/>
    <n v="0.4206896551724138"/>
  </r>
  <r>
    <s v="TX01015"/>
    <x v="22"/>
    <s v="S03"/>
    <x v="6"/>
    <x v="3"/>
    <n v="2222"/>
    <n v="40"/>
    <n v="0.14000000000000001"/>
    <n v="76436.800000000003"/>
    <n v="47995.199999999997"/>
    <n v="88880"/>
    <s v="2024-11"/>
    <x v="2"/>
    <x v="2"/>
    <x v="4"/>
    <n v="12443.199999999997"/>
    <n v="34.4"/>
    <n v="20"/>
    <n v="44440"/>
    <n v="3555.1999999999971"/>
    <n v="28441.600000000006"/>
    <n v="0.372093023255814"/>
  </r>
  <r>
    <s v="TX01016"/>
    <x v="22"/>
    <s v="S03"/>
    <x v="7"/>
    <x v="4"/>
    <n v="1526"/>
    <n v="10"/>
    <n v="0.15"/>
    <n v="12971"/>
    <n v="6592.32"/>
    <n v="15260"/>
    <s v="2024-11"/>
    <x v="2"/>
    <x v="2"/>
    <x v="5"/>
    <n v="2289"/>
    <n v="8.5"/>
    <n v="4"/>
    <n v="6104"/>
    <n v="488.31999999999971"/>
    <n v="6378.68"/>
    <n v="0.49176470588235294"/>
  </r>
  <r>
    <s v="TX01017"/>
    <x v="22"/>
    <s v="S03"/>
    <x v="8"/>
    <x v="4"/>
    <n v="1993"/>
    <n v="22"/>
    <n v="0.14000000000000001"/>
    <n v="37707.56"/>
    <n v="21524.400000000001"/>
    <n v="43846"/>
    <s v="2024-11"/>
    <x v="2"/>
    <x v="2"/>
    <x v="5"/>
    <n v="6138.4400000000023"/>
    <n v="18.919999999999998"/>
    <n v="10"/>
    <n v="19930"/>
    <n v="1594.4000000000015"/>
    <n v="16183.159999999996"/>
    <n v="0.42917547568710351"/>
  </r>
  <r>
    <s v="TX01018"/>
    <x v="22"/>
    <s v="S04"/>
    <x v="0"/>
    <x v="0"/>
    <n v="1795"/>
    <n v="24"/>
    <n v="0.12"/>
    <n v="37910.400000000001"/>
    <n v="23263.200000000001"/>
    <n v="43080"/>
    <s v="2024-11"/>
    <x v="3"/>
    <x v="3"/>
    <x v="0"/>
    <n v="5169.5999999999985"/>
    <n v="21.12"/>
    <n v="12"/>
    <n v="21540"/>
    <n v="1723.2000000000007"/>
    <n v="14647.2"/>
    <n v="0.38636363636363635"/>
  </r>
  <r>
    <s v="TX01019"/>
    <x v="22"/>
    <s v="S04"/>
    <x v="1"/>
    <x v="0"/>
    <n v="2886"/>
    <n v="50"/>
    <n v="0.13"/>
    <n v="125541"/>
    <n v="87272.639999999999"/>
    <n v="144300"/>
    <s v="2024-11"/>
    <x v="3"/>
    <x v="3"/>
    <x v="1"/>
    <n v="18759"/>
    <n v="43.5"/>
    <n v="28"/>
    <n v="80808"/>
    <n v="6464.6399999999994"/>
    <n v="38268.36"/>
    <n v="0.30482758620689654"/>
  </r>
  <r>
    <s v="TX01020"/>
    <x v="22"/>
    <s v="S04"/>
    <x v="2"/>
    <x v="1"/>
    <n v="2468"/>
    <n v="28"/>
    <n v="0.15"/>
    <n v="58738.400000000001"/>
    <n v="39981.599999999999"/>
    <n v="69104"/>
    <s v="2024-11"/>
    <x v="3"/>
    <x v="3"/>
    <x v="2"/>
    <n v="10365.599999999999"/>
    <n v="23.8"/>
    <n v="15"/>
    <n v="37020"/>
    <n v="2961.5999999999985"/>
    <n v="18756.800000000003"/>
    <n v="0.31932773109243701"/>
  </r>
  <r>
    <s v="TX01021"/>
    <x v="22"/>
    <s v="S04"/>
    <x v="3"/>
    <x v="1"/>
    <n v="1518"/>
    <n v="35"/>
    <n v="0.15"/>
    <n v="45160.5"/>
    <n v="29509.919999999998"/>
    <n v="53130"/>
    <s v="2024-11"/>
    <x v="3"/>
    <x v="3"/>
    <x v="2"/>
    <n v="7969.5"/>
    <n v="29.75"/>
    <n v="18"/>
    <n v="27324"/>
    <n v="2185.9199999999983"/>
    <n v="15650.580000000002"/>
    <n v="0.34655462184873953"/>
  </r>
  <r>
    <s v="TX01022"/>
    <x v="22"/>
    <s v="S04"/>
    <x v="4"/>
    <x v="2"/>
    <n v="3071"/>
    <n v="18"/>
    <n v="0.14000000000000001"/>
    <n v="47539.08"/>
    <n v="29850.12"/>
    <n v="55278"/>
    <s v="2024-11"/>
    <x v="3"/>
    <x v="3"/>
    <x v="3"/>
    <n v="7738.9199999999983"/>
    <n v="15.48"/>
    <n v="9"/>
    <n v="27639"/>
    <n v="2211.119999999999"/>
    <n v="17688.960000000003"/>
    <n v="0.372093023255814"/>
  </r>
  <r>
    <s v="TX01023"/>
    <x v="22"/>
    <s v="S04"/>
    <x v="5"/>
    <x v="2"/>
    <n v="1755"/>
    <n v="30"/>
    <n v="0.16"/>
    <n v="44226"/>
    <n v="26535.599999999999"/>
    <n v="52650"/>
    <s v="2024-11"/>
    <x v="3"/>
    <x v="3"/>
    <x v="3"/>
    <n v="8424"/>
    <n v="25.2"/>
    <n v="14"/>
    <n v="24570"/>
    <n v="1965.5999999999985"/>
    <n v="17690.400000000001"/>
    <n v="0.4"/>
  </r>
  <r>
    <s v="TX01024"/>
    <x v="22"/>
    <s v="S04"/>
    <x v="6"/>
    <x v="3"/>
    <n v="2112"/>
    <n v="40"/>
    <n v="0.14000000000000001"/>
    <n v="72652.800000000003"/>
    <n v="45619.199999999997"/>
    <n v="84480"/>
    <s v="2024-11"/>
    <x v="3"/>
    <x v="3"/>
    <x v="4"/>
    <n v="11827.199999999997"/>
    <n v="34.4"/>
    <n v="20"/>
    <n v="42240"/>
    <n v="3379.1999999999971"/>
    <n v="27033.600000000006"/>
    <n v="0.372093023255814"/>
  </r>
  <r>
    <s v="TX01025"/>
    <x v="22"/>
    <s v="S04"/>
    <x v="7"/>
    <x v="4"/>
    <n v="1474"/>
    <n v="10"/>
    <n v="0.14000000000000001"/>
    <n v="12676.4"/>
    <n v="6367.68"/>
    <n v="14740"/>
    <s v="2024-11"/>
    <x v="3"/>
    <x v="3"/>
    <x v="5"/>
    <n v="2063.6000000000004"/>
    <n v="8.6"/>
    <n v="4"/>
    <n v="5896"/>
    <n v="471.68000000000029"/>
    <n v="6308.7199999999993"/>
    <n v="0.49767441860465111"/>
  </r>
  <r>
    <s v="TX01026"/>
    <x v="22"/>
    <s v="S04"/>
    <x v="8"/>
    <x v="4"/>
    <n v="2978"/>
    <n v="22"/>
    <n v="0.13"/>
    <n v="56998.92"/>
    <n v="32162.400000000001"/>
    <n v="65516"/>
    <s v="2024-11"/>
    <x v="3"/>
    <x v="3"/>
    <x v="5"/>
    <n v="8517.0800000000017"/>
    <n v="19.14"/>
    <n v="10"/>
    <n v="29780"/>
    <n v="2382.4000000000015"/>
    <n v="24836.519999999997"/>
    <n v="0.4357366771159874"/>
  </r>
  <r>
    <s v="TX01027"/>
    <x v="22"/>
    <s v="S05"/>
    <x v="0"/>
    <x v="0"/>
    <n v="2992"/>
    <n v="24"/>
    <n v="0.14000000000000001"/>
    <n v="61754.879999999997"/>
    <n v="38776.32"/>
    <n v="71808"/>
    <s v="2024-11"/>
    <x v="4"/>
    <x v="0"/>
    <x v="0"/>
    <n v="10053.120000000003"/>
    <n v="20.64"/>
    <n v="12"/>
    <n v="35904"/>
    <n v="2872.3199999999997"/>
    <n v="22978.559999999998"/>
    <n v="0.37209302325581395"/>
  </r>
  <r>
    <s v="TX01028"/>
    <x v="22"/>
    <s v="S05"/>
    <x v="1"/>
    <x v="0"/>
    <n v="2604"/>
    <n v="50"/>
    <n v="0.14000000000000001"/>
    <n v="111972"/>
    <n v="78744.960000000006"/>
    <n v="130200"/>
    <s v="2024-11"/>
    <x v="4"/>
    <x v="0"/>
    <x v="1"/>
    <n v="18228"/>
    <n v="43"/>
    <n v="28"/>
    <n v="72912"/>
    <n v="5832.9600000000064"/>
    <n v="33227.039999999994"/>
    <n v="0.29674418604651159"/>
  </r>
  <r>
    <s v="TX01029"/>
    <x v="22"/>
    <s v="S05"/>
    <x v="2"/>
    <x v="1"/>
    <n v="2050"/>
    <n v="28"/>
    <n v="0.12"/>
    <n v="50512"/>
    <n v="33210"/>
    <n v="57400"/>
    <s v="2024-11"/>
    <x v="4"/>
    <x v="0"/>
    <x v="2"/>
    <n v="6888"/>
    <n v="24.64"/>
    <n v="15"/>
    <n v="30750"/>
    <n v="2460"/>
    <n v="17302"/>
    <n v="0.34253246753246752"/>
  </r>
  <r>
    <s v="TX01030"/>
    <x v="22"/>
    <s v="S05"/>
    <x v="3"/>
    <x v="1"/>
    <n v="2252"/>
    <n v="35"/>
    <n v="0.15"/>
    <n v="66997"/>
    <n v="43778.879999999997"/>
    <n v="78820"/>
    <s v="2024-11"/>
    <x v="4"/>
    <x v="0"/>
    <x v="2"/>
    <n v="11823"/>
    <n v="29.75"/>
    <n v="18"/>
    <n v="40536"/>
    <n v="3242.8799999999974"/>
    <n v="23218.120000000003"/>
    <n v="0.34655462184873953"/>
  </r>
  <r>
    <s v="TX01031"/>
    <x v="22"/>
    <s v="S05"/>
    <x v="4"/>
    <x v="2"/>
    <n v="2090"/>
    <n v="18"/>
    <n v="0.16"/>
    <n v="31600.799999999999"/>
    <n v="20314.8"/>
    <n v="37620"/>
    <s v="2024-11"/>
    <x v="4"/>
    <x v="0"/>
    <x v="3"/>
    <n v="6019.2000000000007"/>
    <n v="15.12"/>
    <n v="9"/>
    <n v="18810"/>
    <n v="1504.7999999999993"/>
    <n v="11286"/>
    <n v="0.35714285714285715"/>
  </r>
  <r>
    <s v="TX01032"/>
    <x v="22"/>
    <s v="S05"/>
    <x v="5"/>
    <x v="2"/>
    <n v="1421"/>
    <n v="30"/>
    <n v="0.15"/>
    <n v="36235.5"/>
    <n v="21485.52"/>
    <n v="42630"/>
    <s v="2024-11"/>
    <x v="4"/>
    <x v="0"/>
    <x v="3"/>
    <n v="6394.5"/>
    <n v="25.5"/>
    <n v="14"/>
    <n v="19894"/>
    <n v="1591.5200000000004"/>
    <n v="14749.98"/>
    <n v="0.40705882352941175"/>
  </r>
  <r>
    <s v="TX01033"/>
    <x v="22"/>
    <s v="S05"/>
    <x v="6"/>
    <x v="3"/>
    <n v="2864"/>
    <n v="40"/>
    <n v="0.16"/>
    <n v="96230.399999999994"/>
    <n v="61862.400000000001"/>
    <n v="114560"/>
    <s v="2024-11"/>
    <x v="4"/>
    <x v="0"/>
    <x v="4"/>
    <n v="18329.600000000006"/>
    <n v="33.6"/>
    <n v="20"/>
    <n v="57280"/>
    <n v="4582.4000000000015"/>
    <n v="34367.999999999993"/>
    <n v="0.3571428571428571"/>
  </r>
  <r>
    <s v="TX01034"/>
    <x v="22"/>
    <s v="S05"/>
    <x v="7"/>
    <x v="4"/>
    <n v="1579"/>
    <n v="10"/>
    <n v="0.13"/>
    <n v="13737.3"/>
    <n v="6821.28"/>
    <n v="15790"/>
    <s v="2024-11"/>
    <x v="4"/>
    <x v="0"/>
    <x v="5"/>
    <n v="2052.7000000000007"/>
    <n v="8.6999999999999993"/>
    <n v="4"/>
    <n v="6316"/>
    <n v="505.27999999999975"/>
    <n v="6916.0199999999995"/>
    <n v="0.50344827586206897"/>
  </r>
  <r>
    <s v="TX01035"/>
    <x v="22"/>
    <s v="S05"/>
    <x v="8"/>
    <x v="4"/>
    <n v="2402"/>
    <n v="22"/>
    <n v="0.16"/>
    <n v="44388.959999999999"/>
    <n v="25941.599999999999"/>
    <n v="52844"/>
    <s v="2024-11"/>
    <x v="4"/>
    <x v="0"/>
    <x v="5"/>
    <n v="8455.0400000000009"/>
    <n v="18.48"/>
    <n v="10"/>
    <n v="24020"/>
    <n v="1921.5999999999985"/>
    <n v="18447.36"/>
    <n v="0.41558441558441561"/>
  </r>
  <r>
    <s v="TX01036"/>
    <x v="23"/>
    <s v="S01"/>
    <x v="0"/>
    <x v="0"/>
    <n v="2820"/>
    <n v="24"/>
    <n v="0.15"/>
    <n v="57528"/>
    <n v="36547.199999999997"/>
    <n v="67680"/>
    <s v="2024-12"/>
    <x v="0"/>
    <x v="0"/>
    <x v="0"/>
    <n v="10152"/>
    <n v="20.399999999999999"/>
    <n v="12"/>
    <n v="33840"/>
    <n v="2707.1999999999971"/>
    <n v="20980.800000000003"/>
    <n v="0.36470588235294121"/>
  </r>
  <r>
    <s v="TX01037"/>
    <x v="23"/>
    <s v="S01"/>
    <x v="1"/>
    <x v="0"/>
    <n v="2204"/>
    <n v="50"/>
    <n v="0.16"/>
    <n v="92568"/>
    <n v="66648.960000000006"/>
    <n v="110200"/>
    <s v="2024-12"/>
    <x v="0"/>
    <x v="0"/>
    <x v="1"/>
    <n v="17632"/>
    <n v="42"/>
    <n v="28"/>
    <n v="61712"/>
    <n v="4936.9600000000064"/>
    <n v="25919.039999999994"/>
    <n v="0.27999999999999992"/>
  </r>
  <r>
    <s v="TX01038"/>
    <x v="23"/>
    <s v="S01"/>
    <x v="2"/>
    <x v="1"/>
    <n v="2802"/>
    <n v="28"/>
    <n v="0.16"/>
    <n v="65903.039999999994"/>
    <n v="45392.4"/>
    <n v="78456"/>
    <s v="2024-12"/>
    <x v="0"/>
    <x v="0"/>
    <x v="2"/>
    <n v="12552.960000000006"/>
    <n v="23.519999999999996"/>
    <n v="15"/>
    <n v="42030"/>
    <n v="3362.4000000000015"/>
    <n v="20510.639999999992"/>
    <n v="0.31122448979591827"/>
  </r>
  <r>
    <s v="TX01039"/>
    <x v="23"/>
    <s v="S01"/>
    <x v="3"/>
    <x v="1"/>
    <n v="2371"/>
    <n v="35"/>
    <n v="0.17"/>
    <n v="68877.55"/>
    <n v="46092.24"/>
    <n v="82985"/>
    <s v="2024-12"/>
    <x v="0"/>
    <x v="0"/>
    <x v="2"/>
    <n v="14107.449999999997"/>
    <n v="29.05"/>
    <n v="18"/>
    <n v="42678"/>
    <n v="3414.239999999998"/>
    <n v="22785.310000000005"/>
    <n v="0.3308089500860586"/>
  </r>
  <r>
    <s v="TX01040"/>
    <x v="23"/>
    <s v="S01"/>
    <x v="4"/>
    <x v="2"/>
    <n v="1628"/>
    <n v="18"/>
    <n v="0.15"/>
    <n v="24908.400000000001"/>
    <n v="15824.16"/>
    <n v="29304"/>
    <s v="2024-12"/>
    <x v="0"/>
    <x v="0"/>
    <x v="3"/>
    <n v="4395.5999999999985"/>
    <n v="15.3"/>
    <n v="9"/>
    <n v="14652"/>
    <n v="1172.1599999999999"/>
    <n v="9084.2400000000016"/>
    <n v="0.36470588235294121"/>
  </r>
  <r>
    <s v="TX01041"/>
    <x v="23"/>
    <s v="S01"/>
    <x v="5"/>
    <x v="2"/>
    <n v="1874"/>
    <n v="30"/>
    <n v="0.12"/>
    <n v="49473.599999999999"/>
    <n v="28334.880000000001"/>
    <n v="56220"/>
    <s v="2024-12"/>
    <x v="0"/>
    <x v="0"/>
    <x v="3"/>
    <n v="6746.4000000000015"/>
    <n v="26.4"/>
    <n v="14"/>
    <n v="26236"/>
    <n v="2098.880000000001"/>
    <n v="21138.719999999998"/>
    <n v="0.42727272727272725"/>
  </r>
  <r>
    <s v="TX01042"/>
    <x v="23"/>
    <s v="S01"/>
    <x v="6"/>
    <x v="3"/>
    <n v="3036"/>
    <n v="40"/>
    <n v="0.14000000000000001"/>
    <n v="104438.39999999999"/>
    <n v="65577.600000000006"/>
    <n v="121440"/>
    <s v="2024-12"/>
    <x v="0"/>
    <x v="0"/>
    <x v="4"/>
    <n v="17001.600000000006"/>
    <n v="34.4"/>
    <n v="20"/>
    <n v="60720"/>
    <n v="4857.6000000000058"/>
    <n v="38860.799999999988"/>
    <n v="0.37209302325581384"/>
  </r>
  <r>
    <s v="TX01043"/>
    <x v="23"/>
    <s v="S01"/>
    <x v="7"/>
    <x v="4"/>
    <n v="1328"/>
    <n v="10"/>
    <n v="0.13"/>
    <n v="11553.6"/>
    <n v="5736.96"/>
    <n v="13280"/>
    <s v="2024-12"/>
    <x v="0"/>
    <x v="0"/>
    <x v="5"/>
    <n v="1726.3999999999996"/>
    <n v="8.7000000000000011"/>
    <n v="4"/>
    <n v="5312"/>
    <n v="424.96000000000004"/>
    <n v="5816.64"/>
    <n v="0.50344827586206897"/>
  </r>
  <r>
    <s v="TX01044"/>
    <x v="23"/>
    <s v="S01"/>
    <x v="8"/>
    <x v="4"/>
    <n v="2138"/>
    <n v="22"/>
    <n v="0.15"/>
    <n v="39980.6"/>
    <n v="23090.400000000001"/>
    <n v="47036"/>
    <s v="2024-12"/>
    <x v="0"/>
    <x v="0"/>
    <x v="5"/>
    <n v="7055.4000000000015"/>
    <n v="18.7"/>
    <n v="10"/>
    <n v="21380"/>
    <n v="1710.4000000000015"/>
    <n v="16890.199999999997"/>
    <n v="0.42245989304812831"/>
  </r>
  <r>
    <s v="TX01045"/>
    <x v="23"/>
    <s v="S02"/>
    <x v="0"/>
    <x v="0"/>
    <n v="2631"/>
    <n v="24"/>
    <n v="0.15"/>
    <n v="53672.4"/>
    <n v="34097.760000000002"/>
    <n v="63144"/>
    <s v="2024-12"/>
    <x v="1"/>
    <x v="1"/>
    <x v="0"/>
    <n v="9471.5999999999985"/>
    <n v="20.400000000000002"/>
    <n v="12"/>
    <n v="31572"/>
    <n v="2525.760000000002"/>
    <n v="19574.64"/>
    <n v="0.36470588235294116"/>
  </r>
  <r>
    <s v="TX01046"/>
    <x v="23"/>
    <s v="S02"/>
    <x v="1"/>
    <x v="0"/>
    <n v="1377"/>
    <n v="50"/>
    <n v="0.15"/>
    <n v="58522.5"/>
    <n v="41640.480000000003"/>
    <n v="68850"/>
    <s v="2024-12"/>
    <x v="1"/>
    <x v="1"/>
    <x v="1"/>
    <n v="10327.5"/>
    <n v="42.5"/>
    <n v="28"/>
    <n v="38556"/>
    <n v="3084.4800000000032"/>
    <n v="16882.019999999997"/>
    <n v="0.28847058823529409"/>
  </r>
  <r>
    <s v="TX01047"/>
    <x v="23"/>
    <s v="S02"/>
    <x v="2"/>
    <x v="1"/>
    <n v="1716"/>
    <n v="28"/>
    <n v="0.13"/>
    <n v="41801.760000000002"/>
    <n v="27799.200000000001"/>
    <n v="48048"/>
    <s v="2024-12"/>
    <x v="1"/>
    <x v="1"/>
    <x v="2"/>
    <n v="6246.239999999998"/>
    <n v="24.36"/>
    <n v="15"/>
    <n v="25740"/>
    <n v="2059.2000000000007"/>
    <n v="14002.560000000001"/>
    <n v="0.33497536945812811"/>
  </r>
  <r>
    <s v="TX01048"/>
    <x v="23"/>
    <s v="S02"/>
    <x v="3"/>
    <x v="1"/>
    <n v="3014"/>
    <n v="35"/>
    <n v="0.17"/>
    <n v="87556.7"/>
    <n v="58592.160000000003"/>
    <n v="105490"/>
    <s v="2024-12"/>
    <x v="1"/>
    <x v="1"/>
    <x v="2"/>
    <n v="17933.300000000003"/>
    <n v="29.05"/>
    <n v="18"/>
    <n v="54252"/>
    <n v="4340.1600000000035"/>
    <n v="28964.539999999994"/>
    <n v="0.33080895008605848"/>
  </r>
  <r>
    <s v="TX01049"/>
    <x v="23"/>
    <s v="S02"/>
    <x v="4"/>
    <x v="2"/>
    <n v="2129"/>
    <n v="18"/>
    <n v="0.14000000000000001"/>
    <n v="32956.92"/>
    <n v="20693.88"/>
    <n v="38322"/>
    <s v="2024-12"/>
    <x v="1"/>
    <x v="1"/>
    <x v="3"/>
    <n v="5365.0800000000017"/>
    <n v="15.479999999999999"/>
    <n v="9"/>
    <n v="19161"/>
    <n v="1532.880000000001"/>
    <n v="12263.039999999997"/>
    <n v="0.37209302325581389"/>
  </r>
  <r>
    <s v="TX01050"/>
    <x v="23"/>
    <s v="S02"/>
    <x v="5"/>
    <x v="2"/>
    <n v="2046"/>
    <n v="30"/>
    <n v="0.13"/>
    <n v="53400.6"/>
    <n v="30935.52"/>
    <n v="61380"/>
    <s v="2024-12"/>
    <x v="1"/>
    <x v="1"/>
    <x v="3"/>
    <n v="7979.4000000000015"/>
    <n v="26.099999999999998"/>
    <n v="14"/>
    <n v="28644"/>
    <n v="2291.5200000000004"/>
    <n v="22465.079999999998"/>
    <n v="0.42068965517241375"/>
  </r>
  <r>
    <s v="TX01051"/>
    <x v="23"/>
    <s v="S02"/>
    <x v="6"/>
    <x v="3"/>
    <n v="1751"/>
    <n v="40"/>
    <n v="0.16"/>
    <n v="58833.599999999999"/>
    <n v="37821.599999999999"/>
    <n v="70040"/>
    <s v="2024-12"/>
    <x v="1"/>
    <x v="1"/>
    <x v="4"/>
    <n v="11206.400000000001"/>
    <n v="33.6"/>
    <n v="20"/>
    <n v="35020"/>
    <n v="2801.5999999999985"/>
    <n v="21012"/>
    <n v="0.35714285714285715"/>
  </r>
  <r>
    <s v="TX01052"/>
    <x v="23"/>
    <s v="S02"/>
    <x v="7"/>
    <x v="4"/>
    <n v="2494"/>
    <n v="10"/>
    <n v="0.13"/>
    <n v="21697.8"/>
    <n v="10774.08"/>
    <n v="24940"/>
    <s v="2024-12"/>
    <x v="1"/>
    <x v="1"/>
    <x v="5"/>
    <n v="3242.2000000000007"/>
    <n v="8.6999999999999993"/>
    <n v="4"/>
    <n v="9976"/>
    <n v="798.07999999999993"/>
    <n v="10923.72"/>
    <n v="0.50344827586206897"/>
  </r>
  <r>
    <s v="TX01053"/>
    <x v="23"/>
    <s v="S02"/>
    <x v="8"/>
    <x v="4"/>
    <n v="2059"/>
    <n v="22"/>
    <n v="0.17"/>
    <n v="37597.339999999997"/>
    <n v="22237.200000000001"/>
    <n v="45298"/>
    <s v="2024-12"/>
    <x v="1"/>
    <x v="1"/>
    <x v="5"/>
    <n v="7700.6600000000035"/>
    <n v="18.259999999999998"/>
    <n v="10"/>
    <n v="20590"/>
    <n v="1647.2000000000007"/>
    <n v="15360.139999999996"/>
    <n v="0.40854326396495066"/>
  </r>
  <r>
    <s v="TX01054"/>
    <x v="23"/>
    <s v="S03"/>
    <x v="0"/>
    <x v="0"/>
    <n v="2838"/>
    <n v="24"/>
    <n v="0.12"/>
    <n v="59938.559999999998"/>
    <n v="36780.480000000003"/>
    <n v="68112"/>
    <s v="2024-12"/>
    <x v="2"/>
    <x v="2"/>
    <x v="0"/>
    <n v="8173.4400000000023"/>
    <n v="21.119999999999997"/>
    <n v="12"/>
    <n v="34056"/>
    <n v="2724.4800000000032"/>
    <n v="23158.079999999994"/>
    <n v="0.3863636363636363"/>
  </r>
  <r>
    <s v="TX01055"/>
    <x v="23"/>
    <s v="S03"/>
    <x v="1"/>
    <x v="0"/>
    <n v="1518"/>
    <n v="50"/>
    <n v="0.15"/>
    <n v="64515"/>
    <n v="45904.32"/>
    <n v="75900"/>
    <s v="2024-12"/>
    <x v="2"/>
    <x v="2"/>
    <x v="1"/>
    <n v="11385"/>
    <n v="42.5"/>
    <n v="28"/>
    <n v="42504"/>
    <n v="3400.3199999999997"/>
    <n v="18610.68"/>
    <n v="0.28847058823529415"/>
  </r>
  <r>
    <s v="TX01056"/>
    <x v="23"/>
    <s v="S03"/>
    <x v="2"/>
    <x v="1"/>
    <n v="1870"/>
    <n v="28"/>
    <n v="0.16"/>
    <n v="43982.400000000001"/>
    <n v="30294"/>
    <n v="52360"/>
    <s v="2024-12"/>
    <x v="2"/>
    <x v="2"/>
    <x v="2"/>
    <n v="8377.5999999999985"/>
    <n v="23.52"/>
    <n v="15"/>
    <n v="28050"/>
    <n v="2244"/>
    <n v="13688.400000000001"/>
    <n v="0.31122448979591838"/>
  </r>
  <r>
    <s v="TX01057"/>
    <x v="23"/>
    <s v="S03"/>
    <x v="3"/>
    <x v="1"/>
    <n v="3049"/>
    <n v="35"/>
    <n v="0.13"/>
    <n v="92842.05"/>
    <n v="59272.56"/>
    <n v="106715"/>
    <s v="2024-12"/>
    <x v="2"/>
    <x v="2"/>
    <x v="2"/>
    <n v="13872.949999999997"/>
    <n v="30.45"/>
    <n v="18"/>
    <n v="54882"/>
    <n v="4390.5599999999977"/>
    <n v="33569.490000000005"/>
    <n v="0.36157635467980298"/>
  </r>
  <r>
    <s v="TX01058"/>
    <x v="23"/>
    <s v="S03"/>
    <x v="4"/>
    <x v="2"/>
    <n v="2635"/>
    <n v="18"/>
    <n v="0.12"/>
    <n v="41738.400000000001"/>
    <n v="25612.2"/>
    <n v="47430"/>
    <s v="2024-12"/>
    <x v="2"/>
    <x v="2"/>
    <x v="3"/>
    <n v="5691.5999999999985"/>
    <n v="15.84"/>
    <n v="9"/>
    <n v="23715"/>
    <n v="1897.2000000000007"/>
    <n v="16126.2"/>
    <n v="0.38636363636363635"/>
  </r>
  <r>
    <s v="TX01059"/>
    <x v="23"/>
    <s v="S03"/>
    <x v="5"/>
    <x v="2"/>
    <n v="1628"/>
    <n v="30"/>
    <n v="0.16"/>
    <n v="41025.599999999999"/>
    <n v="24615.360000000001"/>
    <n v="48840"/>
    <s v="2024-12"/>
    <x v="2"/>
    <x v="2"/>
    <x v="3"/>
    <n v="7814.4000000000015"/>
    <n v="25.2"/>
    <n v="14"/>
    <n v="22792"/>
    <n v="1823.3600000000006"/>
    <n v="16410.239999999998"/>
    <n v="0.39999999999999997"/>
  </r>
  <r>
    <s v="TX01060"/>
    <x v="23"/>
    <s v="S03"/>
    <x v="6"/>
    <x v="3"/>
    <n v="1799"/>
    <n v="40"/>
    <n v="0.12"/>
    <n v="63324.800000000003"/>
    <n v="38858.400000000001"/>
    <n v="71960"/>
    <s v="2024-12"/>
    <x v="2"/>
    <x v="2"/>
    <x v="4"/>
    <n v="8635.1999999999971"/>
    <n v="35.200000000000003"/>
    <n v="20"/>
    <n v="35980"/>
    <n v="2878.4000000000015"/>
    <n v="24466.400000000001"/>
    <n v="0.38636363636363635"/>
  </r>
  <r>
    <s v="TX01061"/>
    <x v="23"/>
    <s v="S03"/>
    <x v="7"/>
    <x v="4"/>
    <n v="1474"/>
    <n v="10"/>
    <n v="0.13"/>
    <n v="12823.8"/>
    <n v="6367.68"/>
    <n v="14740"/>
    <s v="2024-12"/>
    <x v="2"/>
    <x v="2"/>
    <x v="5"/>
    <n v="1916.2000000000007"/>
    <n v="8.6999999999999993"/>
    <n v="4"/>
    <n v="5896"/>
    <n v="471.68000000000029"/>
    <n v="6456.119999999999"/>
    <n v="0.50344827586206886"/>
  </r>
  <r>
    <s v="TX01062"/>
    <x v="23"/>
    <s v="S03"/>
    <x v="8"/>
    <x v="4"/>
    <n v="2675"/>
    <n v="22"/>
    <n v="0.13"/>
    <n v="51199.5"/>
    <n v="28890"/>
    <n v="58850"/>
    <s v="2024-12"/>
    <x v="2"/>
    <x v="2"/>
    <x v="5"/>
    <n v="7650.5"/>
    <n v="19.14"/>
    <n v="10"/>
    <n v="26750"/>
    <n v="2140"/>
    <n v="22309.5"/>
    <n v="0.43573667711598746"/>
  </r>
  <r>
    <s v="TX01063"/>
    <x v="23"/>
    <s v="S04"/>
    <x v="0"/>
    <x v="0"/>
    <n v="2565"/>
    <n v="24"/>
    <n v="0.15"/>
    <n v="52326"/>
    <n v="33242.400000000001"/>
    <n v="61560"/>
    <s v="2024-12"/>
    <x v="3"/>
    <x v="3"/>
    <x v="0"/>
    <n v="9234"/>
    <n v="20.399999999999999"/>
    <n v="12"/>
    <n v="30780"/>
    <n v="2462.4000000000015"/>
    <n v="19083.599999999999"/>
    <n v="0.36470588235294116"/>
  </r>
  <r>
    <s v="TX01064"/>
    <x v="23"/>
    <s v="S04"/>
    <x v="1"/>
    <x v="0"/>
    <n v="2864"/>
    <n v="50"/>
    <n v="0.14000000000000001"/>
    <n v="123152"/>
    <n v="86607.360000000001"/>
    <n v="143200"/>
    <s v="2024-12"/>
    <x v="3"/>
    <x v="3"/>
    <x v="1"/>
    <n v="20048"/>
    <n v="43"/>
    <n v="28"/>
    <n v="80192"/>
    <n v="6415.3600000000006"/>
    <n v="36544.639999999999"/>
    <n v="0.29674418604651165"/>
  </r>
  <r>
    <s v="TX01065"/>
    <x v="23"/>
    <s v="S04"/>
    <x v="2"/>
    <x v="1"/>
    <n v="2846"/>
    <n v="28"/>
    <n v="0.15"/>
    <n v="67734.8"/>
    <n v="46105.2"/>
    <n v="79688"/>
    <s v="2024-12"/>
    <x v="3"/>
    <x v="3"/>
    <x v="2"/>
    <n v="11953.199999999997"/>
    <n v="23.8"/>
    <n v="15"/>
    <n v="42690"/>
    <n v="3415.1999999999971"/>
    <n v="21629.600000000006"/>
    <n v="0.31932773109243706"/>
  </r>
  <r>
    <s v="TX01066"/>
    <x v="23"/>
    <s v="S04"/>
    <x v="3"/>
    <x v="1"/>
    <n v="2446"/>
    <n v="35"/>
    <n v="0.16"/>
    <n v="71912.399999999994"/>
    <n v="47550.239999999998"/>
    <n v="85610"/>
    <s v="2024-12"/>
    <x v="3"/>
    <x v="3"/>
    <x v="2"/>
    <n v="13697.600000000006"/>
    <n v="29.4"/>
    <n v="18"/>
    <n v="44028"/>
    <n v="3522.239999999998"/>
    <n v="24362.159999999996"/>
    <n v="0.33877551020408159"/>
  </r>
  <r>
    <s v="TX01067"/>
    <x v="23"/>
    <s v="S04"/>
    <x v="4"/>
    <x v="2"/>
    <n v="2908"/>
    <n v="18"/>
    <n v="0.13"/>
    <n v="45539.28"/>
    <n v="28265.759999999998"/>
    <n v="52344"/>
    <s v="2024-12"/>
    <x v="3"/>
    <x v="3"/>
    <x v="3"/>
    <n v="6804.7200000000012"/>
    <n v="15.66"/>
    <n v="9"/>
    <n v="26172"/>
    <n v="2093.7599999999984"/>
    <n v="17273.52"/>
    <n v="0.37931034482758624"/>
  </r>
  <r>
    <s v="TX01068"/>
    <x v="23"/>
    <s v="S04"/>
    <x v="5"/>
    <x v="2"/>
    <n v="1729"/>
    <n v="30"/>
    <n v="0.13"/>
    <n v="45126.9"/>
    <n v="26142.48"/>
    <n v="51870"/>
    <s v="2024-12"/>
    <x v="3"/>
    <x v="3"/>
    <x v="3"/>
    <n v="6743.0999999999985"/>
    <n v="26.1"/>
    <n v="14"/>
    <n v="24206"/>
    <n v="1936.4799999999996"/>
    <n v="18984.420000000002"/>
    <n v="0.4206896551724138"/>
  </r>
  <r>
    <s v="TX01069"/>
    <x v="23"/>
    <s v="S04"/>
    <x v="6"/>
    <x v="3"/>
    <n v="1386"/>
    <n v="40"/>
    <n v="0.13"/>
    <n v="48232.800000000003"/>
    <n v="29937.599999999999"/>
    <n v="55440"/>
    <s v="2024-12"/>
    <x v="3"/>
    <x v="3"/>
    <x v="4"/>
    <n v="7207.1999999999971"/>
    <n v="34.800000000000004"/>
    <n v="20"/>
    <n v="27720"/>
    <n v="2217.5999999999985"/>
    <n v="18295.200000000004"/>
    <n v="0.3793103448275863"/>
  </r>
  <r>
    <s v="TX01070"/>
    <x v="23"/>
    <s v="S04"/>
    <x v="7"/>
    <x v="4"/>
    <n v="1438"/>
    <n v="10"/>
    <n v="0.13"/>
    <n v="12510.6"/>
    <n v="6212.16"/>
    <n v="14380"/>
    <s v="2024-12"/>
    <x v="3"/>
    <x v="3"/>
    <x v="5"/>
    <n v="1869.3999999999996"/>
    <n v="8.7000000000000011"/>
    <n v="4"/>
    <n v="5752"/>
    <n v="460.15999999999985"/>
    <n v="6298.4400000000005"/>
    <n v="0.50344827586206897"/>
  </r>
  <r>
    <s v="TX01071"/>
    <x v="23"/>
    <s v="S04"/>
    <x v="8"/>
    <x v="4"/>
    <n v="2692"/>
    <n v="22"/>
    <n v="0.13"/>
    <n v="51524.88"/>
    <n v="29073.599999999999"/>
    <n v="59224"/>
    <s v="2024-12"/>
    <x v="3"/>
    <x v="3"/>
    <x v="5"/>
    <n v="7699.1200000000026"/>
    <n v="19.14"/>
    <n v="10"/>
    <n v="26920"/>
    <n v="2153.5999999999985"/>
    <n v="22451.279999999999"/>
    <n v="0.43573667711598746"/>
  </r>
  <r>
    <s v="TX01072"/>
    <x v="23"/>
    <s v="S05"/>
    <x v="0"/>
    <x v="0"/>
    <n v="1958"/>
    <n v="24"/>
    <n v="0.14000000000000001"/>
    <n v="40413.120000000003"/>
    <n v="25375.68"/>
    <n v="46992"/>
    <s v="2024-12"/>
    <x v="4"/>
    <x v="0"/>
    <x v="0"/>
    <n v="6578.8799999999974"/>
    <n v="20.64"/>
    <n v="12"/>
    <n v="23496"/>
    <n v="1879.6800000000003"/>
    <n v="15037.440000000002"/>
    <n v="0.372093023255814"/>
  </r>
  <r>
    <s v="TX01073"/>
    <x v="23"/>
    <s v="S05"/>
    <x v="1"/>
    <x v="0"/>
    <n v="2714"/>
    <n v="50"/>
    <n v="0.17"/>
    <n v="112631"/>
    <n v="82071.360000000001"/>
    <n v="135700"/>
    <s v="2024-12"/>
    <x v="4"/>
    <x v="0"/>
    <x v="1"/>
    <n v="23069"/>
    <n v="41.5"/>
    <n v="28"/>
    <n v="75992"/>
    <n v="6079.3600000000006"/>
    <n v="30559.64"/>
    <n v="0.27132530120481929"/>
  </r>
  <r>
    <s v="TX01074"/>
    <x v="23"/>
    <s v="S05"/>
    <x v="2"/>
    <x v="1"/>
    <n v="2072"/>
    <n v="28"/>
    <n v="0.16"/>
    <n v="48733.440000000002"/>
    <n v="33566.400000000001"/>
    <n v="58016"/>
    <s v="2024-12"/>
    <x v="4"/>
    <x v="0"/>
    <x v="2"/>
    <n v="9282.5599999999977"/>
    <n v="23.52"/>
    <n v="15"/>
    <n v="31080"/>
    <n v="2486.4000000000015"/>
    <n v="15167.04"/>
    <n v="0.31122448979591838"/>
  </r>
  <r>
    <s v="TX01075"/>
    <x v="23"/>
    <s v="S05"/>
    <x v="3"/>
    <x v="1"/>
    <n v="2204"/>
    <n v="35"/>
    <n v="0.15"/>
    <n v="65569"/>
    <n v="42845.760000000002"/>
    <n v="77140"/>
    <s v="2024-12"/>
    <x v="4"/>
    <x v="0"/>
    <x v="2"/>
    <n v="11571"/>
    <n v="29.75"/>
    <n v="18"/>
    <n v="39672"/>
    <n v="3173.760000000002"/>
    <n v="22723.239999999998"/>
    <n v="0.34655462184873947"/>
  </r>
  <r>
    <s v="TX01076"/>
    <x v="23"/>
    <s v="S05"/>
    <x v="4"/>
    <x v="2"/>
    <n v="1808"/>
    <n v="18"/>
    <n v="0.16"/>
    <n v="27336.959999999999"/>
    <n v="17573.759999999998"/>
    <n v="32544"/>
    <s v="2024-12"/>
    <x v="4"/>
    <x v="0"/>
    <x v="3"/>
    <n v="5207.0400000000009"/>
    <n v="15.12"/>
    <n v="9"/>
    <n v="16272"/>
    <n v="1301.7599999999984"/>
    <n v="9763.2000000000007"/>
    <n v="0.35714285714285721"/>
  </r>
  <r>
    <s v="TX01077"/>
    <x v="23"/>
    <s v="S05"/>
    <x v="5"/>
    <x v="2"/>
    <n v="2987"/>
    <n v="30"/>
    <n v="0.17"/>
    <n v="74376.3"/>
    <n v="45163.44"/>
    <n v="89610"/>
    <s v="2024-12"/>
    <x v="4"/>
    <x v="0"/>
    <x v="3"/>
    <n v="15233.699999999997"/>
    <n v="24.900000000000002"/>
    <n v="14"/>
    <n v="41818"/>
    <n v="3345.4400000000023"/>
    <n v="29212.86"/>
    <n v="0.39277108433734936"/>
  </r>
  <r>
    <s v="TX01078"/>
    <x v="23"/>
    <s v="S05"/>
    <x v="6"/>
    <x v="3"/>
    <n v="2305"/>
    <n v="40"/>
    <n v="0.14000000000000001"/>
    <n v="79292"/>
    <n v="49788"/>
    <n v="92200"/>
    <s v="2024-12"/>
    <x v="4"/>
    <x v="0"/>
    <x v="4"/>
    <n v="12908"/>
    <n v="34.4"/>
    <n v="20"/>
    <n v="46100"/>
    <n v="3688"/>
    <n v="29504"/>
    <n v="0.37209302325581395"/>
  </r>
  <r>
    <s v="TX01079"/>
    <x v="23"/>
    <s v="S05"/>
    <x v="7"/>
    <x v="4"/>
    <n v="1980"/>
    <n v="10"/>
    <n v="0.13"/>
    <n v="17226"/>
    <n v="8553.6"/>
    <n v="19800"/>
    <s v="2024-12"/>
    <x v="4"/>
    <x v="0"/>
    <x v="5"/>
    <n v="2574"/>
    <n v="8.6999999999999993"/>
    <n v="4"/>
    <n v="7920"/>
    <n v="633.60000000000036"/>
    <n v="8672.4"/>
    <n v="0.50344827586206897"/>
  </r>
  <r>
    <s v="TX01080"/>
    <x v="23"/>
    <s v="S05"/>
    <x v="8"/>
    <x v="4"/>
    <n v="2068"/>
    <n v="22"/>
    <n v="0.14000000000000001"/>
    <n v="39126.559999999998"/>
    <n v="22334.400000000001"/>
    <n v="45496"/>
    <s v="2024-12"/>
    <x v="4"/>
    <x v="0"/>
    <x v="5"/>
    <n v="6369.4400000000023"/>
    <n v="18.919999999999998"/>
    <n v="10"/>
    <n v="20680"/>
    <n v="1654.4000000000015"/>
    <n v="16792.159999999996"/>
    <n v="0.429175475687103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S01"/>
    <n v="49556"/>
    <n v="22977"/>
    <n v="6952"/>
    <n v="11166"/>
    <n v="6944"/>
    <n v="97595"/>
    <x v="0"/>
    <s v="Manchester"/>
  </r>
  <r>
    <x v="0"/>
    <s v="S02"/>
    <n v="48918"/>
    <n v="24375"/>
    <n v="6245"/>
    <n v="10253"/>
    <n v="6718"/>
    <n v="96509"/>
    <x v="0"/>
    <s v="Birmingham"/>
  </r>
  <r>
    <x v="0"/>
    <s v="S03"/>
    <n v="50943"/>
    <n v="25866"/>
    <n v="8761"/>
    <n v="14338"/>
    <n v="7727"/>
    <n v="107635"/>
    <x v="0"/>
    <s v="London Stratford"/>
  </r>
  <r>
    <x v="0"/>
    <s v="S04"/>
    <n v="52403"/>
    <n v="24200"/>
    <n v="6080"/>
    <n v="14308"/>
    <n v="6828"/>
    <n v="103819"/>
    <x v="0"/>
    <s v="Glasgow"/>
  </r>
  <r>
    <x v="0"/>
    <s v="S05"/>
    <n v="47852"/>
    <n v="23881"/>
    <n v="6316"/>
    <n v="16578"/>
    <n v="7316"/>
    <n v="101943"/>
    <x v="1"/>
    <s v="Leeds"/>
  </r>
  <r>
    <x v="1"/>
    <s v="S01"/>
    <n v="50135"/>
    <n v="23054"/>
    <n v="7989"/>
    <n v="17832"/>
    <n v="8168"/>
    <n v="107178"/>
    <x v="1"/>
    <s v="Manchester"/>
  </r>
  <r>
    <x v="1"/>
    <s v="S02"/>
    <n v="47556"/>
    <n v="23785"/>
    <n v="7732"/>
    <n v="17782"/>
    <n v="8955"/>
    <n v="105810"/>
    <x v="1"/>
    <s v="Birmingham"/>
  </r>
  <r>
    <x v="1"/>
    <s v="S03"/>
    <n v="50457"/>
    <n v="22269"/>
    <n v="7578"/>
    <n v="10161"/>
    <n v="8894"/>
    <n v="99359"/>
    <x v="1"/>
    <s v="London Stratford"/>
  </r>
  <r>
    <x v="1"/>
    <s v="S04"/>
    <n v="45241"/>
    <n v="24849"/>
    <n v="8458"/>
    <n v="13454"/>
    <n v="6665"/>
    <n v="98667"/>
    <x v="1"/>
    <s v="Glasgow"/>
  </r>
  <r>
    <x v="1"/>
    <s v="S05"/>
    <n v="46072"/>
    <n v="22356"/>
    <n v="6222"/>
    <n v="12909"/>
    <n v="8455"/>
    <n v="96014"/>
    <x v="2"/>
    <s v="Leeds"/>
  </r>
  <r>
    <x v="2"/>
    <s v="S01"/>
    <n v="50867"/>
    <n v="24097"/>
    <n v="8057"/>
    <n v="11308"/>
    <n v="7777"/>
    <n v="102106"/>
    <x v="2"/>
    <s v="Manchester"/>
  </r>
  <r>
    <x v="2"/>
    <s v="S02"/>
    <n v="49895"/>
    <n v="25533"/>
    <n v="7687"/>
    <n v="12068"/>
    <n v="8882"/>
    <n v="104065"/>
    <x v="2"/>
    <s v="Birmingham"/>
  </r>
  <r>
    <x v="2"/>
    <s v="S03"/>
    <n v="50804"/>
    <n v="24333"/>
    <n v="7378"/>
    <n v="12769"/>
    <n v="7035"/>
    <n v="102319"/>
    <x v="2"/>
    <s v="London Stratford"/>
  </r>
  <r>
    <x v="2"/>
    <s v="S04"/>
    <n v="46129"/>
    <n v="25829"/>
    <n v="6114"/>
    <n v="10929"/>
    <n v="6692"/>
    <n v="95693"/>
    <x v="2"/>
    <s v="Glasgow"/>
  </r>
  <r>
    <x v="2"/>
    <s v="S05"/>
    <n v="46913"/>
    <n v="23925"/>
    <n v="6889"/>
    <n v="12646"/>
    <n v="7905"/>
    <n v="98278"/>
    <x v="3"/>
    <s v="Leeds"/>
  </r>
  <r>
    <x v="3"/>
    <s v="S01"/>
    <n v="47267"/>
    <n v="24201"/>
    <n v="6294"/>
    <n v="10777"/>
    <n v="6720"/>
    <n v="95259"/>
    <x v="3"/>
    <s v="Manchester"/>
  </r>
  <r>
    <x v="3"/>
    <s v="S02"/>
    <n v="51283"/>
    <n v="23233"/>
    <n v="6921"/>
    <n v="12538"/>
    <n v="6674"/>
    <n v="100649"/>
    <x v="3"/>
    <s v="Birmingham"/>
  </r>
  <r>
    <x v="3"/>
    <s v="S03"/>
    <n v="54765"/>
    <n v="23256"/>
    <n v="6843"/>
    <n v="17876"/>
    <n v="6618"/>
    <n v="109358"/>
    <x v="3"/>
    <s v="London Stratford"/>
  </r>
  <r>
    <x v="3"/>
    <s v="S04"/>
    <n v="54555"/>
    <n v="23015"/>
    <n v="7515"/>
    <n v="15820"/>
    <n v="7144"/>
    <n v="108049"/>
    <x v="3"/>
    <s v="Glasgow"/>
  </r>
  <r>
    <x v="3"/>
    <s v="S05"/>
    <n v="50308"/>
    <n v="25636"/>
    <n v="7184"/>
    <n v="15814"/>
    <n v="7088"/>
    <n v="106030"/>
    <x v="4"/>
    <s v="Leeds"/>
  </r>
  <r>
    <x v="4"/>
    <s v="S01"/>
    <n v="50509"/>
    <n v="25695"/>
    <n v="6062"/>
    <n v="10485"/>
    <n v="7094"/>
    <n v="99845"/>
    <x v="4"/>
    <s v="Manchester"/>
  </r>
  <r>
    <x v="4"/>
    <s v="S02"/>
    <n v="45206"/>
    <n v="22549"/>
    <n v="8913"/>
    <n v="16805"/>
    <n v="8718"/>
    <n v="102191"/>
    <x v="4"/>
    <s v="Birmingham"/>
  </r>
  <r>
    <x v="4"/>
    <s v="S03"/>
    <n v="50307"/>
    <n v="22681"/>
    <n v="7533"/>
    <n v="15093"/>
    <n v="7900"/>
    <n v="103514"/>
    <x v="4"/>
    <s v="London Stratford"/>
  </r>
  <r>
    <x v="4"/>
    <s v="S04"/>
    <n v="48288"/>
    <n v="25950"/>
    <n v="6680"/>
    <n v="10702"/>
    <n v="8027"/>
    <n v="99647"/>
    <x v="4"/>
    <s v="Glasgow"/>
  </r>
  <r>
    <x v="4"/>
    <s v="S05"/>
    <n v="47796"/>
    <n v="25686"/>
    <n v="7912"/>
    <n v="12294"/>
    <n v="6679"/>
    <n v="100367"/>
    <x v="5"/>
    <s v="Leeds"/>
  </r>
  <r>
    <x v="5"/>
    <s v="S01"/>
    <n v="52896"/>
    <n v="23001"/>
    <n v="7835"/>
    <n v="12553"/>
    <n v="7436"/>
    <n v="103721"/>
    <x v="5"/>
    <s v="Manchester"/>
  </r>
  <r>
    <x v="5"/>
    <s v="S02"/>
    <n v="48434"/>
    <n v="25743"/>
    <n v="6985"/>
    <n v="10854"/>
    <n v="8701"/>
    <n v="100717"/>
    <x v="5"/>
    <s v="Birmingham"/>
  </r>
  <r>
    <x v="5"/>
    <s v="S03"/>
    <n v="49382"/>
    <n v="22438"/>
    <n v="7993"/>
    <n v="16331"/>
    <n v="6942"/>
    <n v="103086"/>
    <x v="5"/>
    <s v="London Stratford"/>
  </r>
  <r>
    <x v="5"/>
    <s v="S04"/>
    <n v="53826"/>
    <n v="22876"/>
    <n v="7073"/>
    <n v="15578"/>
    <n v="7281"/>
    <n v="106634"/>
    <x v="5"/>
    <s v="Glasgow"/>
  </r>
  <r>
    <x v="5"/>
    <s v="S05"/>
    <n v="50170"/>
    <n v="24010"/>
    <n v="7202"/>
    <n v="14898"/>
    <n v="8948"/>
    <n v="105228"/>
    <x v="6"/>
    <s v="Leeds"/>
  </r>
  <r>
    <x v="6"/>
    <s v="S01"/>
    <n v="47112"/>
    <n v="24502"/>
    <n v="7816"/>
    <n v="17718"/>
    <n v="7382"/>
    <n v="104530"/>
    <x v="6"/>
    <s v="Manchester"/>
  </r>
  <r>
    <x v="6"/>
    <s v="S02"/>
    <n v="47385"/>
    <n v="22601"/>
    <n v="7771"/>
    <n v="12167"/>
    <n v="7434"/>
    <n v="97358"/>
    <x v="6"/>
    <s v="Birmingham"/>
  </r>
  <r>
    <x v="6"/>
    <s v="S03"/>
    <n v="51565"/>
    <n v="22148"/>
    <n v="6311"/>
    <n v="17948"/>
    <n v="8176"/>
    <n v="106148"/>
    <x v="6"/>
    <s v="London Stratford"/>
  </r>
  <r>
    <x v="6"/>
    <s v="S04"/>
    <n v="50420"/>
    <n v="24339"/>
    <n v="7061"/>
    <n v="14572"/>
    <n v="6660"/>
    <n v="103052"/>
    <x v="6"/>
    <s v="Glasgow"/>
  </r>
  <r>
    <x v="6"/>
    <s v="S05"/>
    <n v="49938"/>
    <n v="24713"/>
    <n v="7194"/>
    <n v="12876"/>
    <n v="6126"/>
    <n v="100847"/>
    <x v="7"/>
    <s v="Leeds"/>
  </r>
  <r>
    <x v="7"/>
    <s v="S01"/>
    <n v="47539"/>
    <n v="25288"/>
    <n v="8899"/>
    <n v="10611"/>
    <n v="7256"/>
    <n v="99593"/>
    <x v="7"/>
    <s v="Manchester"/>
  </r>
  <r>
    <x v="7"/>
    <s v="S02"/>
    <n v="50328"/>
    <n v="24472"/>
    <n v="8766"/>
    <n v="14559"/>
    <n v="8566"/>
    <n v="106691"/>
    <x v="7"/>
    <s v="Birmingham"/>
  </r>
  <r>
    <x v="7"/>
    <s v="S03"/>
    <n v="53806"/>
    <n v="23136"/>
    <n v="8974"/>
    <n v="10570"/>
    <n v="6113"/>
    <n v="102599"/>
    <x v="7"/>
    <s v="London Stratford"/>
  </r>
  <r>
    <x v="7"/>
    <s v="S04"/>
    <n v="54787"/>
    <n v="25014"/>
    <n v="6608"/>
    <n v="10159"/>
    <n v="8605"/>
    <n v="105173"/>
    <x v="7"/>
    <s v="Glasgow"/>
  </r>
  <r>
    <x v="7"/>
    <s v="S05"/>
    <n v="47708"/>
    <n v="23128"/>
    <n v="8221"/>
    <n v="14874"/>
    <n v="7125"/>
    <n v="101056"/>
    <x v="8"/>
    <s v="Leeds"/>
  </r>
  <r>
    <x v="8"/>
    <s v="S01"/>
    <n v="51462"/>
    <n v="25292"/>
    <n v="6450"/>
    <n v="11966"/>
    <n v="8786"/>
    <n v="103956"/>
    <x v="8"/>
    <s v="Manchester"/>
  </r>
  <r>
    <x v="8"/>
    <s v="S02"/>
    <n v="51948"/>
    <n v="22230"/>
    <n v="6522"/>
    <n v="14790"/>
    <n v="7864"/>
    <n v="103354"/>
    <x v="8"/>
    <s v="Birmingham"/>
  </r>
  <r>
    <x v="8"/>
    <s v="S03"/>
    <n v="50840"/>
    <n v="25938"/>
    <n v="6689"/>
    <n v="14580"/>
    <n v="7270"/>
    <n v="105317"/>
    <x v="8"/>
    <s v="London Stratford"/>
  </r>
  <r>
    <x v="8"/>
    <s v="S04"/>
    <n v="45217"/>
    <n v="24855"/>
    <n v="6341"/>
    <n v="17608"/>
    <n v="6048"/>
    <n v="100069"/>
    <x v="8"/>
    <s v="Glasgow"/>
  </r>
  <r>
    <x v="8"/>
    <s v="S05"/>
    <n v="47161"/>
    <n v="24705"/>
    <n v="6929"/>
    <n v="10363"/>
    <n v="7898"/>
    <n v="97056"/>
    <x v="9"/>
    <s v="Leeds"/>
  </r>
  <r>
    <x v="9"/>
    <s v="S01"/>
    <n v="52893"/>
    <n v="22392"/>
    <n v="8880"/>
    <n v="15914"/>
    <n v="6245"/>
    <n v="106324"/>
    <x v="9"/>
    <s v="Manchester"/>
  </r>
  <r>
    <x v="9"/>
    <s v="S02"/>
    <n v="49226"/>
    <n v="24630"/>
    <n v="7172"/>
    <n v="16535"/>
    <n v="6805"/>
    <n v="104368"/>
    <x v="9"/>
    <s v="Birmingham"/>
  </r>
  <r>
    <x v="9"/>
    <s v="S03"/>
    <n v="51868"/>
    <n v="23242"/>
    <n v="6541"/>
    <n v="16558"/>
    <n v="7031"/>
    <n v="105240"/>
    <x v="9"/>
    <s v="London Stratford"/>
  </r>
  <r>
    <x v="9"/>
    <s v="S04"/>
    <n v="48891"/>
    <n v="24715"/>
    <n v="7434"/>
    <n v="14868"/>
    <n v="8716"/>
    <n v="104624"/>
    <x v="9"/>
    <s v="Glasgow"/>
  </r>
  <r>
    <x v="9"/>
    <s v="S05"/>
    <n v="49523"/>
    <n v="25131"/>
    <n v="6466"/>
    <n v="16160"/>
    <n v="8816"/>
    <n v="106096"/>
    <x v="10"/>
    <s v="Leeds"/>
  </r>
  <r>
    <x v="10"/>
    <s v="S01"/>
    <n v="51562"/>
    <n v="22929"/>
    <n v="7658"/>
    <n v="14768"/>
    <n v="7409"/>
    <n v="104326"/>
    <x v="10"/>
    <s v="Manchester"/>
  </r>
  <r>
    <x v="10"/>
    <s v="S02"/>
    <n v="46172"/>
    <n v="23734"/>
    <n v="6452"/>
    <n v="11679"/>
    <n v="6449"/>
    <n v="94486"/>
    <x v="10"/>
    <s v="Birmingham"/>
  </r>
  <r>
    <x v="10"/>
    <s v="S03"/>
    <n v="47790"/>
    <n v="22959"/>
    <n v="7422"/>
    <n v="10022"/>
    <n v="8316"/>
    <n v="96509"/>
    <x v="10"/>
    <s v="London Stratford"/>
  </r>
  <r>
    <x v="10"/>
    <s v="S04"/>
    <n v="51523"/>
    <n v="23239"/>
    <n v="8526"/>
    <n v="15466"/>
    <n v="6442"/>
    <n v="105196"/>
    <x v="10"/>
    <s v="Glasgow"/>
  </r>
  <r>
    <x v="10"/>
    <s v="S05"/>
    <n v="51398"/>
    <n v="24572"/>
    <n v="8223"/>
    <n v="11131"/>
    <n v="7124"/>
    <n v="102448"/>
    <x v="11"/>
    <s v="Leeds"/>
  </r>
  <r>
    <x v="11"/>
    <s v="S01"/>
    <n v="49978"/>
    <n v="23550"/>
    <n v="8522"/>
    <n v="13180"/>
    <n v="7293"/>
    <n v="102523"/>
    <x v="11"/>
    <s v="Manchester"/>
  </r>
  <r>
    <x v="11"/>
    <s v="S02"/>
    <n v="45489"/>
    <n v="25400"/>
    <n v="7238"/>
    <n v="14631"/>
    <n v="7571"/>
    <n v="100329"/>
    <x v="11"/>
    <s v="Birmingham"/>
  </r>
  <r>
    <x v="11"/>
    <s v="S03"/>
    <n v="45702"/>
    <n v="23141"/>
    <n v="6010"/>
    <n v="14625"/>
    <n v="8233"/>
    <n v="97711"/>
    <x v="11"/>
    <s v="London Stratford"/>
  </r>
  <r>
    <x v="11"/>
    <s v="S04"/>
    <n v="48265"/>
    <n v="24041"/>
    <n v="8595"/>
    <n v="16119"/>
    <n v="7238"/>
    <n v="104258"/>
    <x v="11"/>
    <s v="Glasgow"/>
  </r>
  <r>
    <x v="11"/>
    <s v="S05"/>
    <n v="47521"/>
    <n v="23605"/>
    <n v="8907"/>
    <n v="12623"/>
    <n v="6215"/>
    <n v="98871"/>
    <x v="12"/>
    <s v="Leeds"/>
  </r>
  <r>
    <x v="12"/>
    <s v="S01"/>
    <n v="57551"/>
    <n v="23140"/>
    <n v="10207"/>
    <n v="12866"/>
    <n v="9263"/>
    <n v="113027"/>
    <x v="12"/>
    <s v="Manchester"/>
  </r>
  <r>
    <x v="12"/>
    <s v="S02"/>
    <n v="62849"/>
    <n v="25561"/>
    <n v="8523"/>
    <n v="18768"/>
    <n v="7078"/>
    <n v="122779"/>
    <x v="12"/>
    <s v="Birmingham"/>
  </r>
  <r>
    <x v="12"/>
    <s v="S03"/>
    <n v="53500"/>
    <n v="22655"/>
    <n v="10008"/>
    <n v="13406"/>
    <n v="9308"/>
    <n v="108877"/>
    <x v="12"/>
    <s v="London Stratford"/>
  </r>
  <r>
    <x v="12"/>
    <s v="S04"/>
    <n v="62390"/>
    <n v="23927"/>
    <n v="8521"/>
    <n v="17482"/>
    <n v="6933"/>
    <n v="119253"/>
    <x v="12"/>
    <s v="Glasgow"/>
  </r>
  <r>
    <x v="12"/>
    <s v="S05"/>
    <n v="57529"/>
    <n v="25186"/>
    <n v="9278"/>
    <n v="19889"/>
    <n v="9810"/>
    <n v="121692"/>
    <x v="13"/>
    <s v="Leeds"/>
  </r>
  <r>
    <x v="13"/>
    <s v="S01"/>
    <n v="54719"/>
    <n v="23457"/>
    <n v="8131"/>
    <n v="18670"/>
    <n v="7547"/>
    <n v="112524"/>
    <x v="13"/>
    <s v="Manchester"/>
  </r>
  <r>
    <x v="13"/>
    <s v="S02"/>
    <n v="59970"/>
    <n v="22652"/>
    <n v="10154"/>
    <n v="18899"/>
    <n v="9242"/>
    <n v="120917"/>
    <x v="13"/>
    <s v="Birmingham"/>
  </r>
  <r>
    <x v="13"/>
    <s v="S03"/>
    <n v="55809"/>
    <n v="25413"/>
    <n v="9602"/>
    <n v="16032"/>
    <n v="9664"/>
    <n v="116520"/>
    <x v="13"/>
    <s v="London Stratford"/>
  </r>
  <r>
    <x v="13"/>
    <s v="S04"/>
    <n v="60690"/>
    <n v="25701"/>
    <n v="9801"/>
    <n v="16266"/>
    <n v="10261"/>
    <n v="122719"/>
    <x v="13"/>
    <s v="Glasgow"/>
  </r>
  <r>
    <x v="13"/>
    <s v="S05"/>
    <n v="61283"/>
    <n v="23938"/>
    <n v="9182"/>
    <n v="17829"/>
    <n v="8418"/>
    <n v="120650"/>
    <x v="14"/>
    <s v="Leeds"/>
  </r>
  <r>
    <x v="14"/>
    <s v="S01"/>
    <n v="53815"/>
    <n v="22650"/>
    <n v="7292"/>
    <n v="13136"/>
    <n v="8827"/>
    <n v="105720"/>
    <x v="14"/>
    <s v="Manchester"/>
  </r>
  <r>
    <x v="14"/>
    <s v="S02"/>
    <n v="61976"/>
    <n v="22155"/>
    <n v="9766"/>
    <n v="20052"/>
    <n v="8177"/>
    <n v="122126"/>
    <x v="14"/>
    <s v="Birmingham"/>
  </r>
  <r>
    <x v="14"/>
    <s v="S03"/>
    <n v="59167"/>
    <n v="24094"/>
    <n v="8591"/>
    <n v="16370"/>
    <n v="8084"/>
    <n v="116306"/>
    <x v="14"/>
    <s v="London Stratford"/>
  </r>
  <r>
    <x v="14"/>
    <s v="S04"/>
    <n v="52053"/>
    <n v="24375"/>
    <n v="9624"/>
    <n v="17336"/>
    <n v="9589"/>
    <n v="112977"/>
    <x v="14"/>
    <s v="Glasgow"/>
  </r>
  <r>
    <x v="14"/>
    <s v="S05"/>
    <n v="55547"/>
    <n v="22143"/>
    <n v="9124"/>
    <n v="12574"/>
    <n v="9121"/>
    <n v="108509"/>
    <x v="15"/>
    <s v="Leeds"/>
  </r>
  <r>
    <x v="15"/>
    <s v="S01"/>
    <n v="61190"/>
    <n v="25846"/>
    <n v="6922"/>
    <n v="19942"/>
    <n v="9723"/>
    <n v="123623"/>
    <x v="15"/>
    <s v="Manchester"/>
  </r>
  <r>
    <x v="15"/>
    <s v="S02"/>
    <n v="56267"/>
    <n v="24512"/>
    <n v="7924"/>
    <n v="14355"/>
    <n v="7293"/>
    <n v="110351"/>
    <x v="15"/>
    <s v="Birmingham"/>
  </r>
  <r>
    <x v="15"/>
    <s v="S03"/>
    <n v="60296"/>
    <n v="23474"/>
    <n v="7964"/>
    <n v="12386"/>
    <n v="9929"/>
    <n v="114049"/>
    <x v="15"/>
    <s v="London Stratford"/>
  </r>
  <r>
    <x v="15"/>
    <s v="S04"/>
    <n v="57610"/>
    <n v="25944"/>
    <n v="7439"/>
    <n v="14322"/>
    <n v="7142"/>
    <n v="112457"/>
    <x v="15"/>
    <s v="Glasgow"/>
  </r>
  <r>
    <x v="15"/>
    <s v="S05"/>
    <n v="60744"/>
    <n v="22738"/>
    <n v="9231"/>
    <n v="19780"/>
    <n v="9425"/>
    <n v="121918"/>
    <x v="16"/>
    <s v="Leeds"/>
  </r>
  <r>
    <x v="16"/>
    <s v="S01"/>
    <n v="54327"/>
    <n v="22048"/>
    <n v="8920"/>
    <n v="18854"/>
    <n v="7334"/>
    <n v="111483"/>
    <x v="16"/>
    <s v="Manchester"/>
  </r>
  <r>
    <x v="16"/>
    <s v="S02"/>
    <n v="59382"/>
    <n v="22967"/>
    <n v="7405"/>
    <n v="18426"/>
    <n v="9625"/>
    <n v="117805"/>
    <x v="16"/>
    <s v="Birmingham"/>
  </r>
  <r>
    <x v="16"/>
    <s v="S03"/>
    <n v="55605"/>
    <n v="22686"/>
    <n v="7312"/>
    <n v="13903"/>
    <n v="10054"/>
    <n v="109560"/>
    <x v="16"/>
    <s v="London Stratford"/>
  </r>
  <r>
    <x v="16"/>
    <s v="S04"/>
    <n v="58822"/>
    <n v="23254"/>
    <n v="9126"/>
    <n v="20127"/>
    <n v="8512"/>
    <n v="119841"/>
    <x v="16"/>
    <s v="Glasgow"/>
  </r>
  <r>
    <x v="16"/>
    <s v="S05"/>
    <n v="53929"/>
    <n v="23116"/>
    <n v="8327"/>
    <n v="12870"/>
    <n v="9711"/>
    <n v="107953"/>
    <x v="17"/>
    <s v="Leeds"/>
  </r>
  <r>
    <x v="17"/>
    <s v="S01"/>
    <n v="56866"/>
    <n v="24397"/>
    <n v="7112"/>
    <n v="17057"/>
    <n v="9672"/>
    <n v="115104"/>
    <x v="17"/>
    <s v="Manchester"/>
  </r>
  <r>
    <x v="17"/>
    <s v="S02"/>
    <n v="61084"/>
    <n v="22975"/>
    <n v="9104"/>
    <n v="20624"/>
    <n v="10037"/>
    <n v="123824"/>
    <x v="17"/>
    <s v="Birmingham"/>
  </r>
  <r>
    <x v="17"/>
    <s v="S03"/>
    <n v="53732"/>
    <n v="22981"/>
    <n v="9139"/>
    <n v="12073"/>
    <n v="9392"/>
    <n v="107317"/>
    <x v="17"/>
    <s v="London Stratford"/>
  </r>
  <r>
    <x v="17"/>
    <s v="S04"/>
    <n v="62267"/>
    <n v="24766"/>
    <n v="10185"/>
    <n v="11949"/>
    <n v="8104"/>
    <n v="117271"/>
    <x v="17"/>
    <s v="Glasgow"/>
  </r>
  <r>
    <x v="17"/>
    <s v="S05"/>
    <n v="56563"/>
    <n v="23246"/>
    <n v="9306"/>
    <n v="13256"/>
    <n v="10302"/>
    <n v="112673"/>
    <x v="18"/>
    <s v="Leeds"/>
  </r>
  <r>
    <x v="18"/>
    <s v="S01"/>
    <n v="54276"/>
    <n v="25120"/>
    <n v="6921"/>
    <n v="16875"/>
    <n v="9777"/>
    <n v="112969"/>
    <x v="18"/>
    <s v="Manchester"/>
  </r>
  <r>
    <x v="18"/>
    <s v="S02"/>
    <n v="59006"/>
    <n v="25876"/>
    <n v="9347"/>
    <n v="15997"/>
    <n v="6906"/>
    <n v="117132"/>
    <x v="18"/>
    <s v="Birmingham"/>
  </r>
  <r>
    <x v="18"/>
    <s v="S03"/>
    <n v="58063"/>
    <n v="25678"/>
    <n v="10237"/>
    <n v="20422"/>
    <n v="10192"/>
    <n v="124592"/>
    <x v="18"/>
    <s v="London Stratford"/>
  </r>
  <r>
    <x v="18"/>
    <s v="S04"/>
    <n v="56727"/>
    <n v="25350"/>
    <n v="8855"/>
    <n v="15697"/>
    <n v="9697"/>
    <n v="116326"/>
    <x v="18"/>
    <s v="Glasgow"/>
  </r>
  <r>
    <x v="18"/>
    <s v="S05"/>
    <n v="62317"/>
    <n v="25431"/>
    <n v="7148"/>
    <n v="14377"/>
    <n v="7861"/>
    <n v="117134"/>
    <x v="19"/>
    <s v="Leeds"/>
  </r>
  <r>
    <x v="19"/>
    <s v="S01"/>
    <n v="54766"/>
    <n v="25959"/>
    <n v="8506"/>
    <n v="20442"/>
    <n v="9303"/>
    <n v="118976"/>
    <x v="19"/>
    <s v="Manchester"/>
  </r>
  <r>
    <x v="19"/>
    <s v="S02"/>
    <n v="55211"/>
    <n v="22231"/>
    <n v="6942"/>
    <n v="15044"/>
    <n v="7317"/>
    <n v="106745"/>
    <x v="19"/>
    <s v="Birmingham"/>
  </r>
  <r>
    <x v="19"/>
    <s v="S03"/>
    <n v="62112"/>
    <n v="23035"/>
    <n v="7831"/>
    <n v="12031"/>
    <n v="8774"/>
    <n v="113783"/>
    <x v="19"/>
    <s v="London Stratford"/>
  </r>
  <r>
    <x v="19"/>
    <s v="S04"/>
    <n v="60592"/>
    <n v="25800"/>
    <n v="8616"/>
    <n v="16757"/>
    <n v="7285"/>
    <n v="119050"/>
    <x v="19"/>
    <s v="Glasgow"/>
  </r>
  <r>
    <x v="19"/>
    <s v="S05"/>
    <n v="61384"/>
    <n v="22444"/>
    <n v="9530"/>
    <n v="12967"/>
    <n v="8740"/>
    <n v="115065"/>
    <x v="20"/>
    <s v="Leeds"/>
  </r>
  <r>
    <x v="20"/>
    <s v="S01"/>
    <n v="59020"/>
    <n v="24395"/>
    <n v="9150"/>
    <n v="19976"/>
    <n v="8976"/>
    <n v="121517"/>
    <x v="20"/>
    <s v="Manchester"/>
  </r>
  <r>
    <x v="20"/>
    <s v="S02"/>
    <n v="60251"/>
    <n v="25865"/>
    <n v="9204"/>
    <n v="15858"/>
    <n v="8629"/>
    <n v="119807"/>
    <x v="20"/>
    <s v="Birmingham"/>
  </r>
  <r>
    <x v="20"/>
    <s v="S03"/>
    <n v="56209"/>
    <n v="23973"/>
    <n v="7607"/>
    <n v="15715"/>
    <n v="8842"/>
    <n v="112346"/>
    <x v="20"/>
    <s v="London Stratford"/>
  </r>
  <r>
    <x v="20"/>
    <s v="S04"/>
    <n v="51984"/>
    <n v="25605"/>
    <n v="7579"/>
    <n v="15476"/>
    <n v="7809"/>
    <n v="108453"/>
    <x v="20"/>
    <s v="Glasgow"/>
  </r>
  <r>
    <x v="20"/>
    <s v="S05"/>
    <n v="53755"/>
    <n v="24787"/>
    <n v="8932"/>
    <n v="14400"/>
    <n v="8215"/>
    <n v="110089"/>
    <x v="21"/>
    <s v="Leeds"/>
  </r>
  <r>
    <x v="21"/>
    <s v="S01"/>
    <n v="52034"/>
    <n v="23360"/>
    <n v="8967"/>
    <n v="14747"/>
    <n v="7439"/>
    <n v="106547"/>
    <x v="21"/>
    <s v="Manchester"/>
  </r>
  <r>
    <x v="21"/>
    <s v="S02"/>
    <n v="60558"/>
    <n v="24731"/>
    <n v="9045"/>
    <n v="19992"/>
    <n v="9574"/>
    <n v="123900"/>
    <x v="21"/>
    <s v="Birmingham"/>
  </r>
  <r>
    <x v="21"/>
    <s v="S03"/>
    <n v="52596"/>
    <n v="23931"/>
    <n v="8912"/>
    <n v="17661"/>
    <n v="8020"/>
    <n v="111120"/>
    <x v="21"/>
    <s v="London Stratford"/>
  </r>
  <r>
    <x v="21"/>
    <s v="S04"/>
    <n v="63065"/>
    <n v="25389"/>
    <n v="9601"/>
    <n v="14694"/>
    <n v="9216"/>
    <n v="121965"/>
    <x v="21"/>
    <s v="Glasgow"/>
  </r>
  <r>
    <x v="21"/>
    <s v="S05"/>
    <n v="63148"/>
    <n v="25953"/>
    <n v="8987"/>
    <n v="18518"/>
    <n v="7439"/>
    <n v="124045"/>
    <x v="22"/>
    <s v="Leeds"/>
  </r>
  <r>
    <x v="22"/>
    <s v="S01"/>
    <n v="54890"/>
    <n v="22668"/>
    <n v="8875"/>
    <n v="13017"/>
    <n v="7472"/>
    <n v="106922"/>
    <x v="22"/>
    <s v="Manchester"/>
  </r>
  <r>
    <x v="22"/>
    <s v="S02"/>
    <n v="53923"/>
    <n v="24779"/>
    <n v="10184"/>
    <n v="17529"/>
    <n v="8783"/>
    <n v="115198"/>
    <x v="22"/>
    <s v="Birmingham"/>
  </r>
  <r>
    <x v="22"/>
    <s v="S03"/>
    <n v="58330"/>
    <n v="23083"/>
    <n v="8140"/>
    <n v="18713"/>
    <n v="7409"/>
    <n v="115675"/>
    <x v="22"/>
    <s v="London Stratford"/>
  </r>
  <r>
    <x v="22"/>
    <s v="S04"/>
    <n v="53777"/>
    <n v="23384"/>
    <n v="7450"/>
    <n v="11593"/>
    <n v="7826"/>
    <n v="104030"/>
    <x v="22"/>
    <s v="Glasgow"/>
  </r>
  <r>
    <x v="22"/>
    <s v="S05"/>
    <n v="52169"/>
    <n v="24236"/>
    <n v="7339"/>
    <n v="13396"/>
    <n v="9476"/>
    <n v="106616"/>
    <x v="23"/>
    <s v="Leeds"/>
  </r>
  <r>
    <x v="23"/>
    <s v="S01"/>
    <n v="54219"/>
    <n v="23348"/>
    <n v="10011"/>
    <n v="15763"/>
    <n v="7964"/>
    <n v="111305"/>
    <x v="23"/>
    <s v="Manchester"/>
  </r>
  <r>
    <x v="23"/>
    <s v="S02"/>
    <n v="61340"/>
    <n v="22419"/>
    <n v="9489"/>
    <n v="20067"/>
    <n v="8991"/>
    <n v="122306"/>
    <x v="23"/>
    <s v="Birmingham"/>
  </r>
  <r>
    <x v="23"/>
    <s v="S03"/>
    <n v="53371"/>
    <n v="22587"/>
    <n v="10045"/>
    <n v="15658"/>
    <n v="7109"/>
    <n v="108770"/>
    <x v="23"/>
    <s v="London Stratford"/>
  </r>
  <r>
    <x v="23"/>
    <s v="S04"/>
    <n v="54092"/>
    <n v="24941"/>
    <n v="7627"/>
    <n v="17406"/>
    <n v="7230"/>
    <n v="111296"/>
    <x v="23"/>
    <s v="Glasgow"/>
  </r>
  <r>
    <x v="23"/>
    <s v="S05"/>
    <n v="52376"/>
    <n v="25087"/>
    <n v="8283"/>
    <n v="17300"/>
    <n v="9187"/>
    <n v="112233"/>
    <x v="24"/>
    <s v="Leed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BE1D1-FC5C-457F-ABE2-266FAA95A3B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22"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dataField="1" showAll="0"/>
    <pivotField numFmtId="164" showAll="0"/>
    <pivotField showAll="0"/>
    <pivotField dataField="1" numFmtId="164" showAll="0"/>
    <pivotField numFmtId="164" showAll="0"/>
    <pivotField numFmtId="164"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dataField="1" numFmtId="9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 Sold" fld="5" baseField="0" baseItem="0"/>
    <dataField name="Sum of GrossProfit" fld="20" baseField="0" baseItem="0" numFmtId="164"/>
    <dataField name="Average of GP Margin" fld="21" subtotal="average" baseField="3" baseItem="0" numFmtId="9"/>
    <dataField name="Sum of Net Sales Revenue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F3B0D-581D-4202-8EAE-A860F0AFC44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0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>
      <items count="26"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OPEX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3E4140-5BAC-4F94-8EE6-D2D79F26894F}" name="Table4" displayName="Table4" ref="A1:E6" totalsRowShown="0" headerRowDxfId="51" dataDxfId="50">
  <autoFilter ref="A1:E6" xr:uid="{5E3E4140-5BAC-4F94-8EE6-D2D79F26894F}"/>
  <tableColumns count="5">
    <tableColumn id="1" xr3:uid="{1ABD5459-7EFA-444B-BFB2-1D4E2249E52E}" name="Store ID" dataDxfId="49"/>
    <tableColumn id="2" xr3:uid="{7E01BD4C-A1CB-4BF9-9403-64F347571F3D}" name="Store Location" dataDxfId="48"/>
    <tableColumn id="3" xr3:uid="{9FC58240-06A2-4640-BE66-686C413F389F}" name="Region" dataDxfId="47"/>
    <tableColumn id="4" xr3:uid="{FE799097-777F-4495-B2A8-C4A1599D724F}" name="Store Size (Sq Ft)" dataDxfId="46"/>
    <tableColumn id="5" xr3:uid="{9A8002D0-50C9-4575-BFEF-CB4B9C2E89B4}" name="Opening Date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AC30ED-3BC2-4414-90EA-9BC84C286042}" name="Table5" displayName="Table5" ref="A1:V1081" totalsRowShown="0" headerRowDxfId="44" dataDxfId="43">
  <autoFilter ref="A1:V1081" xr:uid="{B7AC30ED-3BC2-4414-90EA-9BC84C286042}"/>
  <tableColumns count="22">
    <tableColumn id="1" xr3:uid="{8892CCC1-8E62-4FF4-BFD8-0E2D7F758C42}" name="Transaction ID" dataDxfId="42"/>
    <tableColumn id="2" xr3:uid="{F0F042A9-5190-49AF-9450-3097AC2D4718}" name="Date" dataDxfId="41"/>
    <tableColumn id="3" xr3:uid="{CF018B1C-90C9-4E0D-ACF4-01C00AC9CAA6}" name="Store ID" dataDxfId="40"/>
    <tableColumn id="4" xr3:uid="{3082ECBD-7D81-4E70-8C13-4D3F09F592A8}" name="Product ID" dataDxfId="39"/>
    <tableColumn id="5" xr3:uid="{4FDA2C87-A67A-4C7A-A569-33F1E5ACCF14}" name="Category" dataDxfId="38"/>
    <tableColumn id="6" xr3:uid="{21EF66F4-83E7-4F05-A2CE-2A201E8F1C20}" name="Units Sold" dataDxfId="37"/>
    <tableColumn id="7" xr3:uid="{551D8838-740D-4298-BCB8-B6899081CE34}" name="Selling Price" dataDxfId="36"/>
    <tableColumn id="8" xr3:uid="{341477E6-D43F-4CEE-87D2-4AFF3975652C}" name="Discount %" dataDxfId="35"/>
    <tableColumn id="9" xr3:uid="{7B75BFC5-0F91-47FC-8E5C-41F2697337BE}" name="Net Sales Revenue" dataDxfId="34"/>
    <tableColumn id="10" xr3:uid="{D97D54B8-1297-479E-9DE2-37FB1691A66F}" name="Cost of Sales" dataDxfId="33"/>
    <tableColumn id="11" xr3:uid="{20662486-3063-429F-9A49-52BE2DFD3F9C}" name="Total Revenue" dataDxfId="32">
      <calculatedColumnFormula>Table5[[#This Row],[Selling Price]]*Table5[[#This Row],[Units Sold]]</calculatedColumnFormula>
    </tableColumn>
    <tableColumn id="12" xr3:uid="{C309B56C-B846-46F5-B95F-AC0E05463054}" name="month Key" dataDxfId="31">
      <calculatedColumnFormula>TEXT(B2,"yyyy-mm")</calculatedColumnFormula>
    </tableColumn>
    <tableColumn id="13" xr3:uid="{238D58DA-93A3-43FD-B774-E952356B6EEE}" name="Store Location" dataDxfId="30">
      <calculatedColumnFormula>VLOOKUP(Table5[[#This Row],[Store ID]],Table4[[Store ID]:[Store Location]],2)</calculatedColumnFormula>
    </tableColumn>
    <tableColumn id="14" xr3:uid="{0320BAF4-1593-43CC-8C90-E39057F4C2FC}" name="Region" dataDxfId="29">
      <calculatedColumnFormula>VLOOKUP(Table5[[#This Row],[Store ID]],Table4[[Store ID]:[Region]],3)</calculatedColumnFormula>
    </tableColumn>
    <tableColumn id="15" xr3:uid="{BA2DC0EB-AF72-4256-B044-C012314A23B5}" name="Supplier" dataDxfId="28">
      <calculatedColumnFormula>VLOOKUP(Table5[[#This Row],[Product ID]],'Product Master'!$A$2:$D$10,4)</calculatedColumnFormula>
    </tableColumn>
    <tableColumn id="16" xr3:uid="{E783A49C-BE1D-4786-B69E-7A3E23C112CC}" name="Discount Amount" dataDxfId="27">
      <calculatedColumnFormula>Table5[[#This Row],[Total Revenue]]-Table5[[#This Row],[Net Sales Revenue]]</calculatedColumnFormula>
    </tableColumn>
    <tableColumn id="17" xr3:uid="{5AC8FC7A-B006-4402-9599-48AC89D44875}" name="Revemue per unit" dataDxfId="26">
      <calculatedColumnFormula>Table5[[#This Row],[Net Sales Revenue]]/Table5[[#This Row],[Units Sold]]</calculatedColumnFormula>
    </tableColumn>
    <tableColumn id="18" xr3:uid="{4101F93F-BCF6-43EC-9BF0-440B9C64EE3B}" name="standard product cost per unit" dataDxfId="25">
      <calculatedColumnFormula>VLOOKUP(Table5[[#This Row],[Product ID]],'Product Master'!$A$1:$E$10,5,FALSE)</calculatedColumnFormula>
    </tableColumn>
    <tableColumn id="19" xr3:uid="{056C23A2-F4C7-447E-9308-DAF8BFA80881}" name="Standard cost" dataDxfId="24">
      <calculatedColumnFormula>Table5[[#This Row],[standard product cost per unit]]*Table5[[#This Row],[Units Sold]]</calculatedColumnFormula>
    </tableColumn>
    <tableColumn id="20" xr3:uid="{344FA245-97EE-458F-927B-6A322AA584E6}" name="Variance_x000a_Actual-Std COS" dataDxfId="23">
      <calculatedColumnFormula>Table5[[#This Row],[Cost of Sales]]-Table5[[#This Row],[Standard cost]]</calculatedColumnFormula>
    </tableColumn>
    <tableColumn id="21" xr3:uid="{4FE8170D-D5BE-4747-8B37-F661665B8158}" name="GrossProfit" dataDxfId="22">
      <calculatedColumnFormula>Table5[[#This Row],[Net Sales Revenue]]-Table5[[#This Row],[Cost of Sales]]</calculatedColumnFormula>
    </tableColumn>
    <tableColumn id="22" xr3:uid="{DD59D474-997A-4D96-A231-361F10787C3E}" name="GP Margin" dataDxfId="21" dataCellStyle="Per cent">
      <calculatedColumnFormula>Table5[[#This Row],[GrossProfit]]/Table5[[#This Row],[Net Sales Revenue]]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CF67A7-D630-4CC2-A5CC-09D90F72E071}" name="Table2" displayName="Table2" ref="A1:J121" totalsRowShown="0" headerRowDxfId="20" dataDxfId="19">
  <autoFilter ref="A1:J121" xr:uid="{D8CF67A7-D630-4CC2-A5CC-09D90F72E071}"/>
  <tableColumns count="10">
    <tableColumn id="1" xr3:uid="{A47ACE5D-62EE-4E1D-BA7B-D9CABAA849A3}" name="Month" dataDxfId="18"/>
    <tableColumn id="2" xr3:uid="{DF6D7C49-71C9-4BF8-BD2D-C5EEF99D2D6E}" name="Store ID" dataDxfId="17"/>
    <tableColumn id="3" xr3:uid="{FD76D1EA-16BD-4E3C-B6D4-B92835966AF2}" name="Staff Cost" dataDxfId="16"/>
    <tableColumn id="4" xr3:uid="{3B21D2A9-64D7-49A6-9511-932FD21CED98}" name="Rent Expense" dataDxfId="15"/>
    <tableColumn id="5" xr3:uid="{264E535E-F98F-4DBE-BB46-430161811DE1}" name="Utilities Expense" dataDxfId="14"/>
    <tableColumn id="6" xr3:uid="{8F97652B-ED81-4757-AE07-C14AF20BD57B}" name="Marketing Expense" dataDxfId="13"/>
    <tableColumn id="7" xr3:uid="{CFCCEAAB-A105-4B2B-861A-D3760AF18BEB}" name="Logistics Cost" dataDxfId="12"/>
    <tableColumn id="8" xr3:uid="{036CF71D-95EC-4951-9CE0-054B736DB031}" name="Total OPEX" dataDxfId="11">
      <calculatedColumnFormula>SUM(Table2[[#This Row],[Staff Cost]:[Logistics Cost]])</calculatedColumnFormula>
    </tableColumn>
    <tableColumn id="9" xr3:uid="{71D296E4-8D98-4033-80F4-302E76527852}" name="Month_x000a_(Date)" dataDxfId="10">
      <calculatedColumnFormula>DATE(YEAR(DATEVALUE(A3)),MONTH(DATEVALUE(A3)),1)</calculatedColumnFormula>
    </tableColumn>
    <tableColumn id="10" xr3:uid="{0B5188DB-9279-493C-BF95-E4B35BA95571}" name="Storelocation" dataDxfId="9">
      <calculatedColumnFormula>VLOOKUP(Table2[[#This Row],[Store ID]],Table4[[Store ID]:[Store Location]],2)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707412-4D30-4642-AAAC-3E9AB17C7440}" name="Table3" displayName="Table3" ref="A1:F25" totalsRowShown="0" headerRowDxfId="8" dataDxfId="7">
  <autoFilter ref="A1:F25" xr:uid="{99707412-4D30-4642-AAAC-3E9AB17C7440}"/>
  <tableColumns count="6">
    <tableColumn id="1" xr3:uid="{2FB38A3E-CF73-4AA7-A3ED-41F3F8B89F2B}" name="Campaign ID" dataDxfId="6"/>
    <tableColumn id="2" xr3:uid="{BAD7CA50-CDEA-4F0A-9526-86EE67A44594}" name="Campaign Period" dataDxfId="5"/>
    <tableColumn id="3" xr3:uid="{BA7CB8FF-1A60-4590-B556-ED46BAA7EC1A}" name="Marketing Channel" dataDxfId="4"/>
    <tableColumn id="4" xr3:uid="{75111FFD-0CDD-4483-9007-E06F2B6F0DFF}" name="Campaign Cost" dataDxfId="3"/>
    <tableColumn id="5" xr3:uid="{660B9CEB-9388-44A9-ABE8-6831BFE3AC12}" name="Sales Generated" dataDxfId="2"/>
    <tableColumn id="6" xr3:uid="{0586465B-B18B-42AA-9707-2211BD10DDA5}" name="RO1" dataDxfId="1">
      <calculatedColumnFormula>Table3[[#This Row],[Sales Generated]]/Table3[[#This Row],[Campaign 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F1" sqref="F1:F1048576"/>
    </sheetView>
  </sheetViews>
  <sheetFormatPr defaultColWidth="14.42578125" defaultRowHeight="15" customHeight="1" x14ac:dyDescent="0.25"/>
  <cols>
    <col min="1" max="1" width="10.140625" bestFit="1" customWidth="1"/>
    <col min="2" max="2" width="18" customWidth="1"/>
    <col min="3" max="3" width="11.5703125" customWidth="1"/>
    <col min="4" max="4" width="10.140625" bestFit="1" customWidth="1"/>
    <col min="5" max="5" width="13.28515625" bestFit="1" customWidth="1"/>
    <col min="6" max="6" width="11" bestFit="1" customWidth="1"/>
    <col min="7" max="26" width="8.710937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12</v>
      </c>
      <c r="F2" s="1">
        <v>24</v>
      </c>
    </row>
    <row r="3" spans="1:6" ht="14.25" customHeight="1" x14ac:dyDescent="0.25">
      <c r="A3" s="1" t="s">
        <v>10</v>
      </c>
      <c r="B3" s="1" t="s">
        <v>11</v>
      </c>
      <c r="C3" s="1" t="s">
        <v>8</v>
      </c>
      <c r="D3" s="1" t="s">
        <v>12</v>
      </c>
      <c r="E3" s="1">
        <v>28</v>
      </c>
      <c r="F3" s="1">
        <v>50</v>
      </c>
    </row>
    <row r="4" spans="1:6" ht="14.25" customHeight="1" x14ac:dyDescent="0.25">
      <c r="A4" s="1" t="s">
        <v>13</v>
      </c>
      <c r="B4" s="1" t="s">
        <v>14</v>
      </c>
      <c r="C4" s="1" t="s">
        <v>15</v>
      </c>
      <c r="D4" s="1" t="s">
        <v>16</v>
      </c>
      <c r="E4" s="1">
        <v>15</v>
      </c>
      <c r="F4" s="1">
        <v>28</v>
      </c>
    </row>
    <row r="5" spans="1:6" ht="14.25" customHeight="1" x14ac:dyDescent="0.25">
      <c r="A5" s="1" t="s">
        <v>17</v>
      </c>
      <c r="B5" s="1" t="s">
        <v>18</v>
      </c>
      <c r="C5" s="1" t="s">
        <v>15</v>
      </c>
      <c r="D5" s="1" t="s">
        <v>16</v>
      </c>
      <c r="E5" s="1">
        <v>18</v>
      </c>
      <c r="F5" s="1">
        <v>35</v>
      </c>
    </row>
    <row r="6" spans="1:6" ht="14.25" customHeight="1" x14ac:dyDescent="0.25">
      <c r="A6" s="1" t="s">
        <v>19</v>
      </c>
      <c r="B6" s="1" t="s">
        <v>20</v>
      </c>
      <c r="C6" s="1" t="s">
        <v>21</v>
      </c>
      <c r="D6" s="1" t="s">
        <v>22</v>
      </c>
      <c r="E6" s="1">
        <v>9</v>
      </c>
      <c r="F6" s="1">
        <v>18</v>
      </c>
    </row>
    <row r="7" spans="1:6" ht="14.25" customHeight="1" x14ac:dyDescent="0.25">
      <c r="A7" s="1" t="s">
        <v>23</v>
      </c>
      <c r="B7" s="1" t="s">
        <v>24</v>
      </c>
      <c r="C7" s="1" t="s">
        <v>21</v>
      </c>
      <c r="D7" s="1" t="s">
        <v>22</v>
      </c>
      <c r="E7" s="1">
        <v>14</v>
      </c>
      <c r="F7" s="1">
        <v>30</v>
      </c>
    </row>
    <row r="8" spans="1:6" ht="14.25" customHeight="1" x14ac:dyDescent="0.25">
      <c r="A8" s="1" t="s">
        <v>25</v>
      </c>
      <c r="B8" s="1" t="s">
        <v>26</v>
      </c>
      <c r="C8" s="1" t="s">
        <v>27</v>
      </c>
      <c r="D8" s="1" t="s">
        <v>28</v>
      </c>
      <c r="E8" s="1">
        <v>20</v>
      </c>
      <c r="F8" s="1">
        <v>40</v>
      </c>
    </row>
    <row r="9" spans="1:6" ht="14.25" customHeight="1" x14ac:dyDescent="0.25">
      <c r="A9" s="1" t="s">
        <v>29</v>
      </c>
      <c r="B9" s="1" t="s">
        <v>30</v>
      </c>
      <c r="C9" s="1" t="s">
        <v>31</v>
      </c>
      <c r="D9" s="1" t="s">
        <v>32</v>
      </c>
      <c r="E9" s="1">
        <v>4</v>
      </c>
      <c r="F9" s="1">
        <v>10</v>
      </c>
    </row>
    <row r="10" spans="1:6" ht="14.25" customHeight="1" x14ac:dyDescent="0.25">
      <c r="A10" s="1" t="s">
        <v>33</v>
      </c>
      <c r="B10" s="1" t="s">
        <v>34</v>
      </c>
      <c r="C10" s="1" t="s">
        <v>31</v>
      </c>
      <c r="D10" s="1" t="s">
        <v>32</v>
      </c>
      <c r="E10" s="1">
        <v>10</v>
      </c>
      <c r="F10" s="1">
        <v>22</v>
      </c>
    </row>
    <row r="11" spans="1:6" ht="14.25" customHeight="1" x14ac:dyDescent="0.25"/>
    <row r="12" spans="1:6" ht="14.25" customHeight="1" x14ac:dyDescent="0.25"/>
    <row r="13" spans="1:6" ht="14.25" customHeight="1" x14ac:dyDescent="0.25"/>
    <row r="14" spans="1:6" ht="14.25" customHeight="1" x14ac:dyDescent="0.25"/>
    <row r="15" spans="1:6" ht="14.25" customHeight="1" x14ac:dyDescent="0.25"/>
    <row r="16" spans="1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6"/>
    </sheetView>
  </sheetViews>
  <sheetFormatPr defaultColWidth="14.42578125" defaultRowHeight="15" customHeight="1" x14ac:dyDescent="0.25"/>
  <cols>
    <col min="1" max="1" width="10.140625" customWidth="1"/>
    <col min="2" max="2" width="15.7109375" customWidth="1"/>
    <col min="3" max="3" width="9.28515625" customWidth="1"/>
    <col min="4" max="4" width="18" customWidth="1"/>
    <col min="5" max="5" width="15.28515625" customWidth="1"/>
    <col min="6" max="26" width="8.7109375" customWidth="1"/>
  </cols>
  <sheetData>
    <row r="1" spans="1:5" ht="14.25" customHeigh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ht="14.25" customHeight="1" x14ac:dyDescent="0.25">
      <c r="A2" s="1" t="s">
        <v>40</v>
      </c>
      <c r="B2" s="1" t="s">
        <v>41</v>
      </c>
      <c r="C2" s="1" t="s">
        <v>42</v>
      </c>
      <c r="D2" s="1">
        <v>12000</v>
      </c>
      <c r="E2" s="1" t="s">
        <v>43</v>
      </c>
    </row>
    <row r="3" spans="1:5" ht="14.25" customHeight="1" x14ac:dyDescent="0.25">
      <c r="A3" s="1" t="s">
        <v>44</v>
      </c>
      <c r="B3" s="1" t="s">
        <v>45</v>
      </c>
      <c r="C3" s="1" t="s">
        <v>46</v>
      </c>
      <c r="D3" s="1">
        <v>10500</v>
      </c>
      <c r="E3" s="1" t="s">
        <v>47</v>
      </c>
    </row>
    <row r="4" spans="1:5" ht="14.25" customHeight="1" x14ac:dyDescent="0.25">
      <c r="A4" s="1" t="s">
        <v>48</v>
      </c>
      <c r="B4" s="1" t="s">
        <v>49</v>
      </c>
      <c r="C4" s="1" t="s">
        <v>50</v>
      </c>
      <c r="D4" s="1">
        <v>18000</v>
      </c>
      <c r="E4" s="1" t="s">
        <v>51</v>
      </c>
    </row>
    <row r="5" spans="1:5" ht="14.25" customHeight="1" x14ac:dyDescent="0.25">
      <c r="A5" s="1" t="s">
        <v>52</v>
      </c>
      <c r="B5" s="1" t="s">
        <v>53</v>
      </c>
      <c r="C5" s="1" t="s">
        <v>54</v>
      </c>
      <c r="D5" s="1">
        <v>9800</v>
      </c>
      <c r="E5" s="1" t="s">
        <v>55</v>
      </c>
    </row>
    <row r="6" spans="1:5" ht="14.25" customHeight="1" x14ac:dyDescent="0.25">
      <c r="A6" s="1" t="s">
        <v>56</v>
      </c>
      <c r="B6" s="1" t="s">
        <v>57</v>
      </c>
      <c r="C6" s="1" t="s">
        <v>42</v>
      </c>
      <c r="D6" s="1">
        <v>11200</v>
      </c>
      <c r="E6" s="1" t="s">
        <v>58</v>
      </c>
    </row>
    <row r="7" spans="1:5" ht="14.25" customHeight="1" x14ac:dyDescent="0.25"/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5341-2404-4955-A05E-B3C812BBDD1A}">
  <dimension ref="A1:F9"/>
  <sheetViews>
    <sheetView workbookViewId="0">
      <selection activeCell="G12" sqref="G12"/>
    </sheetView>
  </sheetViews>
  <sheetFormatPr defaultRowHeight="15" x14ac:dyDescent="0.25"/>
  <cols>
    <col min="1" max="1" width="13.42578125" bestFit="1" customWidth="1"/>
    <col min="2" max="2" width="16.7109375" bestFit="1" customWidth="1"/>
    <col min="3" max="3" width="17.85546875" bestFit="1" customWidth="1"/>
    <col min="4" max="4" width="20.5703125" bestFit="1" customWidth="1"/>
    <col min="5" max="5" width="24.5703125" bestFit="1" customWidth="1"/>
    <col min="6" max="7" width="12.7109375" bestFit="1" customWidth="1"/>
    <col min="8" max="8" width="13.85546875" bestFit="1" customWidth="1"/>
    <col min="9" max="13" width="12.7109375" bestFit="1" customWidth="1"/>
    <col min="14" max="14" width="17" bestFit="1" customWidth="1"/>
    <col min="15" max="16" width="10" bestFit="1" customWidth="1"/>
    <col min="17" max="17" width="10.140625" bestFit="1" customWidth="1"/>
    <col min="18" max="19" width="9.85546875" bestFit="1" customWidth="1"/>
    <col min="20" max="20" width="21.85546875" bestFit="1" customWidth="1"/>
    <col min="21" max="21" width="22.85546875" bestFit="1" customWidth="1"/>
    <col min="22" max="22" width="22.140625" bestFit="1" customWidth="1"/>
  </cols>
  <sheetData>
    <row r="1" spans="1:6" x14ac:dyDescent="0.25">
      <c r="B1" t="s">
        <v>1305</v>
      </c>
    </row>
    <row r="3" spans="1:6" x14ac:dyDescent="0.25">
      <c r="A3" s="21" t="s">
        <v>1280</v>
      </c>
      <c r="B3" t="s">
        <v>1306</v>
      </c>
      <c r="C3" t="s">
        <v>1307</v>
      </c>
      <c r="D3" t="s">
        <v>1308</v>
      </c>
      <c r="E3" t="s">
        <v>1310</v>
      </c>
      <c r="F3" t="s">
        <v>1334</v>
      </c>
    </row>
    <row r="4" spans="1:6" x14ac:dyDescent="0.25">
      <c r="A4" s="22" t="s">
        <v>31</v>
      </c>
      <c r="B4">
        <v>500634</v>
      </c>
      <c r="C4" s="15">
        <v>3480250.5600000015</v>
      </c>
      <c r="D4" s="35">
        <v>0.49942981255745544</v>
      </c>
      <c r="E4" s="15">
        <v>7149684.2399999918</v>
      </c>
      <c r="F4" s="17">
        <f>E4/$E$9</f>
        <v>0.1242731037699898</v>
      </c>
    </row>
    <row r="5" spans="1:6" x14ac:dyDescent="0.25">
      <c r="A5" s="22" t="s">
        <v>27</v>
      </c>
      <c r="B5">
        <v>250591</v>
      </c>
      <c r="C5" s="15">
        <v>3689266.0000000009</v>
      </c>
      <c r="D5" s="35">
        <v>0.41374889437171486</v>
      </c>
      <c r="E5" s="15">
        <v>8907836.4000000041</v>
      </c>
      <c r="F5" s="17">
        <f>E5/$E$9</f>
        <v>0.15483263877724679</v>
      </c>
    </row>
    <row r="6" spans="1:6" x14ac:dyDescent="0.25">
      <c r="A6" s="22" t="s">
        <v>21</v>
      </c>
      <c r="B6">
        <v>504175</v>
      </c>
      <c r="C6" s="15">
        <v>4713610.620000001</v>
      </c>
      <c r="D6" s="35">
        <v>0.43378896939816081</v>
      </c>
      <c r="E6" s="15">
        <v>10760540.700000003</v>
      </c>
      <c r="F6" s="17">
        <f t="shared" ref="F6:F8" si="0">E6/$E$9</f>
        <v>0.1870356432737092</v>
      </c>
    </row>
    <row r="7" spans="1:6" x14ac:dyDescent="0.25">
      <c r="A7" s="22" t="s">
        <v>15</v>
      </c>
      <c r="B7">
        <v>515422</v>
      </c>
      <c r="C7" s="15">
        <v>5570617.2200000007</v>
      </c>
      <c r="D7" s="35">
        <v>0.3849846128555684</v>
      </c>
      <c r="E7" s="15">
        <v>14436799.58</v>
      </c>
      <c r="F7" s="17">
        <f t="shared" si="0"/>
        <v>0.25093498287301808</v>
      </c>
    </row>
    <row r="8" spans="1:6" x14ac:dyDescent="0.25">
      <c r="A8" s="22" t="s">
        <v>8</v>
      </c>
      <c r="B8">
        <v>496098</v>
      </c>
      <c r="C8" s="15">
        <v>5963093.1400000015</v>
      </c>
      <c r="D8" s="35">
        <v>0.37836763859035633</v>
      </c>
      <c r="E8" s="15">
        <v>16277171.539999999</v>
      </c>
      <c r="F8" s="17">
        <f t="shared" si="0"/>
        <v>0.28292363130603748</v>
      </c>
    </row>
    <row r="9" spans="1:6" x14ac:dyDescent="0.25">
      <c r="A9" s="22" t="s">
        <v>1281</v>
      </c>
      <c r="B9">
        <v>2266920</v>
      </c>
      <c r="C9" s="15">
        <v>23416837.540000007</v>
      </c>
      <c r="D9" s="35">
        <v>0.4229878845749746</v>
      </c>
      <c r="E9" s="15">
        <v>57532032.459999919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09F1-7593-4FEE-91EA-90D10D52A8F4}">
  <dimension ref="A1:V2081"/>
  <sheetViews>
    <sheetView workbookViewId="0">
      <selection activeCell="V2" sqref="V2"/>
    </sheetView>
  </sheetViews>
  <sheetFormatPr defaultColWidth="14.42578125" defaultRowHeight="15" x14ac:dyDescent="0.25"/>
  <cols>
    <col min="1" max="1" width="15.5703125" customWidth="1"/>
    <col min="2" max="2" width="10" customWidth="1"/>
    <col min="3" max="3" width="10.140625" customWidth="1"/>
    <col min="4" max="4" width="12.28515625" customWidth="1"/>
    <col min="5" max="5" width="11.5703125" customWidth="1"/>
    <col min="6" max="6" width="12.140625" customWidth="1"/>
    <col min="7" max="7" width="14" style="15" customWidth="1"/>
    <col min="8" max="8" width="12.85546875" customWidth="1"/>
    <col min="9" max="9" width="19.7109375" style="15" customWidth="1"/>
    <col min="10" max="10" width="14.28515625" style="15" customWidth="1"/>
    <col min="11" max="11" width="15.85546875" style="15" customWidth="1"/>
    <col min="12" max="12" width="14" customWidth="1"/>
    <col min="13" max="13" width="16" bestFit="1" customWidth="1"/>
    <col min="14" max="14" width="9.42578125" bestFit="1" customWidth="1"/>
    <col min="15" max="15" width="10.7109375" bestFit="1" customWidth="1"/>
    <col min="16" max="16" width="18.7109375" bestFit="1" customWidth="1"/>
    <col min="17" max="17" width="13.28515625" customWidth="1"/>
    <col min="18" max="18" width="16.42578125" customWidth="1"/>
    <col min="19" max="19" width="15.140625" style="15" bestFit="1" customWidth="1"/>
    <col min="20" max="20" width="17.85546875" customWidth="1"/>
    <col min="21" max="21" width="13.28515625" bestFit="1" customWidth="1"/>
    <col min="22" max="22" width="12.5703125" style="17" bestFit="1" customWidth="1"/>
    <col min="23" max="26" width="8.7109375" customWidth="1"/>
  </cols>
  <sheetData>
    <row r="1" spans="1:22" ht="14.25" customHeight="1" x14ac:dyDescent="0.25">
      <c r="A1" s="1" t="s">
        <v>59</v>
      </c>
      <c r="B1" s="1" t="s">
        <v>60</v>
      </c>
      <c r="C1" s="1" t="s">
        <v>35</v>
      </c>
      <c r="D1" s="1" t="s">
        <v>0</v>
      </c>
      <c r="E1" s="1" t="s">
        <v>2</v>
      </c>
      <c r="F1" s="1" t="s">
        <v>61</v>
      </c>
      <c r="G1" s="14" t="s">
        <v>62</v>
      </c>
      <c r="H1" s="1" t="s">
        <v>63</v>
      </c>
      <c r="I1" s="14" t="s">
        <v>64</v>
      </c>
      <c r="J1" s="14" t="s">
        <v>65</v>
      </c>
      <c r="K1" s="14" t="s">
        <v>66</v>
      </c>
      <c r="L1" t="s">
        <v>1295</v>
      </c>
      <c r="M1" t="s">
        <v>36</v>
      </c>
      <c r="N1" t="s">
        <v>37</v>
      </c>
      <c r="O1" t="s">
        <v>3</v>
      </c>
      <c r="P1" t="s">
        <v>1296</v>
      </c>
      <c r="Q1" t="s">
        <v>1298</v>
      </c>
      <c r="R1" s="33" t="s">
        <v>1299</v>
      </c>
      <c r="S1" s="15" t="s">
        <v>1301</v>
      </c>
      <c r="T1" t="s">
        <v>1302</v>
      </c>
      <c r="U1" t="s">
        <v>1303</v>
      </c>
      <c r="V1" s="17" t="s">
        <v>1304</v>
      </c>
    </row>
    <row r="2" spans="1:22" ht="14.25" customHeight="1" x14ac:dyDescent="0.25">
      <c r="A2" s="1" t="s">
        <v>67</v>
      </c>
      <c r="B2" s="1" t="s">
        <v>68</v>
      </c>
      <c r="C2" s="1" t="s">
        <v>40</v>
      </c>
      <c r="D2" s="1" t="s">
        <v>6</v>
      </c>
      <c r="E2" s="1" t="s">
        <v>8</v>
      </c>
      <c r="F2" s="1">
        <v>2680</v>
      </c>
      <c r="G2" s="14">
        <v>24</v>
      </c>
      <c r="H2" s="1">
        <v>0.1</v>
      </c>
      <c r="I2" s="14">
        <v>57888</v>
      </c>
      <c r="J2" s="14">
        <v>32160</v>
      </c>
      <c r="K2" s="15">
        <f>Table5[[#This Row],[Selling Price]]*Table5[[#This Row],[Units Sold]]</f>
        <v>64320</v>
      </c>
      <c r="L2" t="str">
        <f t="shared" ref="L2:L65" si="0">TEXT(B2,"yyyy-mm")</f>
        <v>2023-01</v>
      </c>
      <c r="M2" t="str">
        <f>VLOOKUP(Table5[[#This Row],[Store ID]],Table4[[Store ID]:[Store Location]],2)</f>
        <v>Manchester</v>
      </c>
      <c r="N2" t="str">
        <f>VLOOKUP(Table5[[#This Row],[Store ID]],Table4[[Store ID]:[Region]],3)</f>
        <v>North</v>
      </c>
      <c r="O2" t="str">
        <f>VLOOKUP(Table5[[#This Row],[Product ID]],'Product Master'!$A$2:$D$10,4)</f>
        <v>Supplier A</v>
      </c>
      <c r="P2" s="15">
        <f>Table5[[#This Row],[Total Revenue]]-Table5[[#This Row],[Net Sales Revenue]]</f>
        <v>6432</v>
      </c>
      <c r="Q2" s="15">
        <f>Table5[[#This Row],[Net Sales Revenue]]/Table5[[#This Row],[Units Sold]]</f>
        <v>21.6</v>
      </c>
      <c r="R2">
        <f>VLOOKUP(Table5[[#This Row],[Product ID]],'Product Master'!$A$1:$E$10,5,FALSE)</f>
        <v>12</v>
      </c>
      <c r="S2" s="15">
        <f>Table5[[#This Row],[standard product cost per unit]]*Table5[[#This Row],[Units Sold]]</f>
        <v>32160</v>
      </c>
      <c r="T2" s="15">
        <f>Table5[[#This Row],[Cost of Sales]]-Table5[[#This Row],[Standard cost]]</f>
        <v>0</v>
      </c>
      <c r="U2" s="15">
        <f>Table5[[#This Row],[Net Sales Revenue]]-Table5[[#This Row],[Cost of Sales]]</f>
        <v>25728</v>
      </c>
      <c r="V2" s="17">
        <f>Table5[[#This Row],[GrossProfit]]/Table5[[#This Row],[Net Sales Revenue]]</f>
        <v>0.44444444444444442</v>
      </c>
    </row>
    <row r="3" spans="1:22" ht="14.25" customHeight="1" x14ac:dyDescent="0.25">
      <c r="A3" s="1" t="s">
        <v>69</v>
      </c>
      <c r="B3" s="1" t="s">
        <v>68</v>
      </c>
      <c r="C3" s="1" t="s">
        <v>40</v>
      </c>
      <c r="D3" s="1" t="s">
        <v>10</v>
      </c>
      <c r="E3" s="1" t="s">
        <v>8</v>
      </c>
      <c r="F3" s="1">
        <v>2556</v>
      </c>
      <c r="G3" s="14">
        <v>50</v>
      </c>
      <c r="H3" s="1">
        <v>0.08</v>
      </c>
      <c r="I3" s="14">
        <v>117576</v>
      </c>
      <c r="J3" s="14">
        <v>71568</v>
      </c>
      <c r="K3" s="15">
        <f>Table5[[#This Row],[Selling Price]]*Table5[[#This Row],[Units Sold]]</f>
        <v>127800</v>
      </c>
      <c r="L3" t="str">
        <f t="shared" si="0"/>
        <v>2023-01</v>
      </c>
      <c r="M3" t="str">
        <f>VLOOKUP(Table5[[#This Row],[Store ID]],Table4[[Store ID]:[Store Location]],2)</f>
        <v>Manchester</v>
      </c>
      <c r="N3" t="str">
        <f>VLOOKUP(Table5[[#This Row],[Store ID]],Table4[[Store ID]:[Region]],3)</f>
        <v>North</v>
      </c>
      <c r="O3" t="str">
        <f>VLOOKUP(Table5[[#This Row],[Product ID]],'Product Master'!$A$2:$D$10,4)</f>
        <v>Supplier B</v>
      </c>
      <c r="P3" s="15">
        <f>Table5[[#This Row],[Total Revenue]]-Table5[[#This Row],[Net Sales Revenue]]</f>
        <v>10224</v>
      </c>
      <c r="Q3" s="15">
        <f>Table5[[#This Row],[Net Sales Revenue]]/Table5[[#This Row],[Units Sold]]</f>
        <v>46</v>
      </c>
      <c r="R3">
        <f>VLOOKUP(Table5[[#This Row],[Product ID]],'Product Master'!$A$1:$E$10,5,FALSE)</f>
        <v>28</v>
      </c>
      <c r="S3" s="15">
        <f>Table5[[#This Row],[standard product cost per unit]]*Table5[[#This Row],[Units Sold]]</f>
        <v>71568</v>
      </c>
      <c r="T3" s="15">
        <f>Table5[[#This Row],[Cost of Sales]]-Table5[[#This Row],[Standard cost]]</f>
        <v>0</v>
      </c>
      <c r="U3" s="15">
        <f>Table5[[#This Row],[Net Sales Revenue]]-Table5[[#This Row],[Cost of Sales]]</f>
        <v>46008</v>
      </c>
      <c r="V3" s="17">
        <f>Table5[[#This Row],[GrossProfit]]/Table5[[#This Row],[Net Sales Revenue]]</f>
        <v>0.39130434782608697</v>
      </c>
    </row>
    <row r="4" spans="1:22" ht="14.25" customHeight="1" x14ac:dyDescent="0.25">
      <c r="A4" s="1" t="s">
        <v>70</v>
      </c>
      <c r="B4" s="1" t="s">
        <v>68</v>
      </c>
      <c r="C4" s="1" t="s">
        <v>40</v>
      </c>
      <c r="D4" s="1" t="s">
        <v>13</v>
      </c>
      <c r="E4" s="1" t="s">
        <v>15</v>
      </c>
      <c r="F4" s="1">
        <v>1448</v>
      </c>
      <c r="G4" s="14">
        <v>28</v>
      </c>
      <c r="H4" s="1">
        <v>0.09</v>
      </c>
      <c r="I4" s="14">
        <v>36895.040000000001</v>
      </c>
      <c r="J4" s="14">
        <v>21720</v>
      </c>
      <c r="K4" s="15">
        <f>Table5[[#This Row],[Selling Price]]*Table5[[#This Row],[Units Sold]]</f>
        <v>40544</v>
      </c>
      <c r="L4" t="str">
        <f t="shared" si="0"/>
        <v>2023-01</v>
      </c>
      <c r="M4" t="str">
        <f>VLOOKUP(Table5[[#This Row],[Store ID]],Table4[[Store ID]:[Store Location]],2)</f>
        <v>Manchester</v>
      </c>
      <c r="N4" t="str">
        <f>VLOOKUP(Table5[[#This Row],[Store ID]],Table4[[Store ID]:[Region]],3)</f>
        <v>North</v>
      </c>
      <c r="O4" t="str">
        <f>VLOOKUP(Table5[[#This Row],[Product ID]],'Product Master'!$A$2:$D$10,4)</f>
        <v>Supplier C</v>
      </c>
      <c r="P4" s="15">
        <f>Table5[[#This Row],[Total Revenue]]-Table5[[#This Row],[Net Sales Revenue]]</f>
        <v>3648.9599999999991</v>
      </c>
      <c r="Q4" s="15">
        <f>Table5[[#This Row],[Net Sales Revenue]]/Table5[[#This Row],[Units Sold]]</f>
        <v>25.48</v>
      </c>
      <c r="R4">
        <f>VLOOKUP(Table5[[#This Row],[Product ID]],'Product Master'!$A$1:$E$10,5,FALSE)</f>
        <v>15</v>
      </c>
      <c r="S4" s="15">
        <f>Table5[[#This Row],[standard product cost per unit]]*Table5[[#This Row],[Units Sold]]</f>
        <v>21720</v>
      </c>
      <c r="T4" s="15">
        <f>Table5[[#This Row],[Cost of Sales]]-Table5[[#This Row],[Standard cost]]</f>
        <v>0</v>
      </c>
      <c r="U4" s="15">
        <f>Table5[[#This Row],[Net Sales Revenue]]-Table5[[#This Row],[Cost of Sales]]</f>
        <v>15175.04</v>
      </c>
      <c r="V4" s="17">
        <f>Table5[[#This Row],[GrossProfit]]/Table5[[#This Row],[Net Sales Revenue]]</f>
        <v>0.41130298273155419</v>
      </c>
    </row>
    <row r="5" spans="1:22" ht="14.25" customHeight="1" x14ac:dyDescent="0.25">
      <c r="A5" s="1" t="s">
        <v>71</v>
      </c>
      <c r="B5" s="1" t="s">
        <v>68</v>
      </c>
      <c r="C5" s="1" t="s">
        <v>40</v>
      </c>
      <c r="D5" s="1" t="s">
        <v>17</v>
      </c>
      <c r="E5" s="1" t="s">
        <v>15</v>
      </c>
      <c r="F5" s="1">
        <v>2328</v>
      </c>
      <c r="G5" s="14">
        <v>35</v>
      </c>
      <c r="H5" s="1">
        <v>7.0000000000000007E-2</v>
      </c>
      <c r="I5" s="14">
        <v>75776.399999999994</v>
      </c>
      <c r="J5" s="14">
        <v>41904</v>
      </c>
      <c r="K5" s="15">
        <f>Table5[[#This Row],[Selling Price]]*Table5[[#This Row],[Units Sold]]</f>
        <v>81480</v>
      </c>
      <c r="L5" t="str">
        <f t="shared" si="0"/>
        <v>2023-01</v>
      </c>
      <c r="M5" t="str">
        <f>VLOOKUP(Table5[[#This Row],[Store ID]],Table4[[Store ID]:[Store Location]],2)</f>
        <v>Manchester</v>
      </c>
      <c r="N5" t="str">
        <f>VLOOKUP(Table5[[#This Row],[Store ID]],Table4[[Store ID]:[Region]],3)</f>
        <v>North</v>
      </c>
      <c r="O5" t="str">
        <f>VLOOKUP(Table5[[#This Row],[Product ID]],'Product Master'!$A$2:$D$10,4)</f>
        <v>Supplier C</v>
      </c>
      <c r="P5" s="15">
        <f>Table5[[#This Row],[Total Revenue]]-Table5[[#This Row],[Net Sales Revenue]]</f>
        <v>5703.6000000000058</v>
      </c>
      <c r="Q5" s="15">
        <f>Table5[[#This Row],[Net Sales Revenue]]/Table5[[#This Row],[Units Sold]]</f>
        <v>32.549999999999997</v>
      </c>
      <c r="R5">
        <f>VLOOKUP(Table5[[#This Row],[Product ID]],'Product Master'!$A$1:$E$10,5,FALSE)</f>
        <v>18</v>
      </c>
      <c r="S5" s="15">
        <f>Table5[[#This Row],[standard product cost per unit]]*Table5[[#This Row],[Units Sold]]</f>
        <v>41904</v>
      </c>
      <c r="T5" s="15">
        <f>Table5[[#This Row],[Cost of Sales]]-Table5[[#This Row],[Standard cost]]</f>
        <v>0</v>
      </c>
      <c r="U5" s="15">
        <f>Table5[[#This Row],[Net Sales Revenue]]-Table5[[#This Row],[Cost of Sales]]</f>
        <v>33872.399999999994</v>
      </c>
      <c r="V5" s="17">
        <f>Table5[[#This Row],[GrossProfit]]/Table5[[#This Row],[Net Sales Revenue]]</f>
        <v>0.44700460829493083</v>
      </c>
    </row>
    <row r="6" spans="1:22" ht="14.25" customHeight="1" x14ac:dyDescent="0.25">
      <c r="A6" s="1" t="s">
        <v>72</v>
      </c>
      <c r="B6" s="1" t="s">
        <v>68</v>
      </c>
      <c r="C6" s="1" t="s">
        <v>40</v>
      </c>
      <c r="D6" s="1" t="s">
        <v>19</v>
      </c>
      <c r="E6" s="1" t="s">
        <v>21</v>
      </c>
      <c r="F6" s="1">
        <v>1784</v>
      </c>
      <c r="G6" s="14">
        <v>18</v>
      </c>
      <c r="H6" s="1">
        <v>0.09</v>
      </c>
      <c r="I6" s="14">
        <v>29221.919999999998</v>
      </c>
      <c r="J6" s="14">
        <v>16056</v>
      </c>
      <c r="K6" s="15">
        <f>Table5[[#This Row],[Selling Price]]*Table5[[#This Row],[Units Sold]]</f>
        <v>32112</v>
      </c>
      <c r="L6" t="str">
        <f t="shared" si="0"/>
        <v>2023-01</v>
      </c>
      <c r="M6" t="str">
        <f>VLOOKUP(Table5[[#This Row],[Store ID]],Table4[[Store ID]:[Store Location]],2)</f>
        <v>Manchester</v>
      </c>
      <c r="N6" t="str">
        <f>VLOOKUP(Table5[[#This Row],[Store ID]],Table4[[Store ID]:[Region]],3)</f>
        <v>North</v>
      </c>
      <c r="O6" t="str">
        <f>VLOOKUP(Table5[[#This Row],[Product ID]],'Product Master'!$A$2:$D$10,4)</f>
        <v>Supplier D</v>
      </c>
      <c r="P6" s="15">
        <f>Table5[[#This Row],[Total Revenue]]-Table5[[#This Row],[Net Sales Revenue]]</f>
        <v>2890.0800000000017</v>
      </c>
      <c r="Q6" s="15">
        <f>Table5[[#This Row],[Net Sales Revenue]]/Table5[[#This Row],[Units Sold]]</f>
        <v>16.38</v>
      </c>
      <c r="R6">
        <f>VLOOKUP(Table5[[#This Row],[Product ID]],'Product Master'!$A$1:$E$10,5,FALSE)</f>
        <v>9</v>
      </c>
      <c r="S6" s="15">
        <f>Table5[[#This Row],[standard product cost per unit]]*Table5[[#This Row],[Units Sold]]</f>
        <v>16056</v>
      </c>
      <c r="T6" s="15">
        <f>Table5[[#This Row],[Cost of Sales]]-Table5[[#This Row],[Standard cost]]</f>
        <v>0</v>
      </c>
      <c r="U6" s="15">
        <f>Table5[[#This Row],[Net Sales Revenue]]-Table5[[#This Row],[Cost of Sales]]</f>
        <v>13165.919999999998</v>
      </c>
      <c r="V6" s="17">
        <f>Table5[[#This Row],[GrossProfit]]/Table5[[#This Row],[Net Sales Revenue]]</f>
        <v>0.4505494505494505</v>
      </c>
    </row>
    <row r="7" spans="1:22" ht="14.25" customHeight="1" x14ac:dyDescent="0.25">
      <c r="A7" s="1" t="s">
        <v>73</v>
      </c>
      <c r="B7" s="1" t="s">
        <v>68</v>
      </c>
      <c r="C7" s="1" t="s">
        <v>40</v>
      </c>
      <c r="D7" s="1" t="s">
        <v>23</v>
      </c>
      <c r="E7" s="1" t="s">
        <v>21</v>
      </c>
      <c r="F7" s="1">
        <v>2352</v>
      </c>
      <c r="G7" s="14">
        <v>30</v>
      </c>
      <c r="H7" s="1">
        <v>0.06</v>
      </c>
      <c r="I7" s="14">
        <v>66326.399999999994</v>
      </c>
      <c r="J7" s="14">
        <v>32928</v>
      </c>
      <c r="K7" s="15">
        <f>Table5[[#This Row],[Selling Price]]*Table5[[#This Row],[Units Sold]]</f>
        <v>70560</v>
      </c>
      <c r="L7" t="str">
        <f t="shared" si="0"/>
        <v>2023-01</v>
      </c>
      <c r="M7" t="str">
        <f>VLOOKUP(Table5[[#This Row],[Store ID]],Table4[[Store ID]:[Store Location]],2)</f>
        <v>Manchester</v>
      </c>
      <c r="N7" t="str">
        <f>VLOOKUP(Table5[[#This Row],[Store ID]],Table4[[Store ID]:[Region]],3)</f>
        <v>North</v>
      </c>
      <c r="O7" t="str">
        <f>VLOOKUP(Table5[[#This Row],[Product ID]],'Product Master'!$A$2:$D$10,4)</f>
        <v>Supplier D</v>
      </c>
      <c r="P7" s="15">
        <f>Table5[[#This Row],[Total Revenue]]-Table5[[#This Row],[Net Sales Revenue]]</f>
        <v>4233.6000000000058</v>
      </c>
      <c r="Q7" s="15">
        <f>Table5[[#This Row],[Net Sales Revenue]]/Table5[[#This Row],[Units Sold]]</f>
        <v>28.2</v>
      </c>
      <c r="R7">
        <f>VLOOKUP(Table5[[#This Row],[Product ID]],'Product Master'!$A$1:$E$10,5,FALSE)</f>
        <v>14</v>
      </c>
      <c r="S7" s="15">
        <f>Table5[[#This Row],[standard product cost per unit]]*Table5[[#This Row],[Units Sold]]</f>
        <v>32928</v>
      </c>
      <c r="T7" s="15">
        <f>Table5[[#This Row],[Cost of Sales]]-Table5[[#This Row],[Standard cost]]</f>
        <v>0</v>
      </c>
      <c r="U7" s="15">
        <f>Table5[[#This Row],[Net Sales Revenue]]-Table5[[#This Row],[Cost of Sales]]</f>
        <v>33398.399999999994</v>
      </c>
      <c r="V7" s="17">
        <f>Table5[[#This Row],[GrossProfit]]/Table5[[#This Row],[Net Sales Revenue]]</f>
        <v>0.50354609929078009</v>
      </c>
    </row>
    <row r="8" spans="1:22" ht="14.25" customHeight="1" x14ac:dyDescent="0.25">
      <c r="A8" s="1" t="s">
        <v>74</v>
      </c>
      <c r="B8" s="1" t="s">
        <v>68</v>
      </c>
      <c r="C8" s="1" t="s">
        <v>40</v>
      </c>
      <c r="D8" s="1" t="s">
        <v>25</v>
      </c>
      <c r="E8" s="1" t="s">
        <v>27</v>
      </c>
      <c r="F8" s="1">
        <v>1900</v>
      </c>
      <c r="G8" s="14">
        <v>40</v>
      </c>
      <c r="H8" s="1">
        <v>7.0000000000000007E-2</v>
      </c>
      <c r="I8" s="14">
        <v>70680</v>
      </c>
      <c r="J8" s="14">
        <v>38000</v>
      </c>
      <c r="K8" s="15">
        <f>Table5[[#This Row],[Selling Price]]*Table5[[#This Row],[Units Sold]]</f>
        <v>76000</v>
      </c>
      <c r="L8" t="str">
        <f t="shared" si="0"/>
        <v>2023-01</v>
      </c>
      <c r="M8" t="str">
        <f>VLOOKUP(Table5[[#This Row],[Store ID]],Table4[[Store ID]:[Store Location]],2)</f>
        <v>Manchester</v>
      </c>
      <c r="N8" t="str">
        <f>VLOOKUP(Table5[[#This Row],[Store ID]],Table4[[Store ID]:[Region]],3)</f>
        <v>North</v>
      </c>
      <c r="O8" t="str">
        <f>VLOOKUP(Table5[[#This Row],[Product ID]],'Product Master'!$A$2:$D$10,4)</f>
        <v>Supplier E</v>
      </c>
      <c r="P8" s="15">
        <f>Table5[[#This Row],[Total Revenue]]-Table5[[#This Row],[Net Sales Revenue]]</f>
        <v>5320</v>
      </c>
      <c r="Q8" s="15">
        <f>Table5[[#This Row],[Net Sales Revenue]]/Table5[[#This Row],[Units Sold]]</f>
        <v>37.200000000000003</v>
      </c>
      <c r="R8">
        <f>VLOOKUP(Table5[[#This Row],[Product ID]],'Product Master'!$A$1:$E$10,5,FALSE)</f>
        <v>20</v>
      </c>
      <c r="S8" s="15">
        <f>Table5[[#This Row],[standard product cost per unit]]*Table5[[#This Row],[Units Sold]]</f>
        <v>38000</v>
      </c>
      <c r="T8" s="15">
        <f>Table5[[#This Row],[Cost of Sales]]-Table5[[#This Row],[Standard cost]]</f>
        <v>0</v>
      </c>
      <c r="U8" s="15">
        <f>Table5[[#This Row],[Net Sales Revenue]]-Table5[[#This Row],[Cost of Sales]]</f>
        <v>32680</v>
      </c>
      <c r="V8" s="17">
        <f>Table5[[#This Row],[GrossProfit]]/Table5[[#This Row],[Net Sales Revenue]]</f>
        <v>0.46236559139784944</v>
      </c>
    </row>
    <row r="9" spans="1:22" ht="14.25" customHeight="1" x14ac:dyDescent="0.25">
      <c r="A9" s="1" t="s">
        <v>75</v>
      </c>
      <c r="B9" s="1" t="s">
        <v>68</v>
      </c>
      <c r="C9" s="1" t="s">
        <v>40</v>
      </c>
      <c r="D9" s="1" t="s">
        <v>29</v>
      </c>
      <c r="E9" s="1" t="s">
        <v>31</v>
      </c>
      <c r="F9" s="1">
        <v>1888</v>
      </c>
      <c r="G9" s="14">
        <v>10</v>
      </c>
      <c r="H9" s="1">
        <v>7.0000000000000007E-2</v>
      </c>
      <c r="I9" s="14">
        <v>17558.400000000001</v>
      </c>
      <c r="J9" s="14">
        <v>7552</v>
      </c>
      <c r="K9" s="15">
        <f>Table5[[#This Row],[Selling Price]]*Table5[[#This Row],[Units Sold]]</f>
        <v>18880</v>
      </c>
      <c r="L9" t="str">
        <f t="shared" si="0"/>
        <v>2023-01</v>
      </c>
      <c r="M9" t="str">
        <f>VLOOKUP(Table5[[#This Row],[Store ID]],Table4[[Store ID]:[Store Location]],2)</f>
        <v>Manchester</v>
      </c>
      <c r="N9" t="str">
        <f>VLOOKUP(Table5[[#This Row],[Store ID]],Table4[[Store ID]:[Region]],3)</f>
        <v>North</v>
      </c>
      <c r="O9" t="str">
        <f>VLOOKUP(Table5[[#This Row],[Product ID]],'Product Master'!$A$2:$D$10,4)</f>
        <v>Supplier F</v>
      </c>
      <c r="P9" s="15">
        <f>Table5[[#This Row],[Total Revenue]]-Table5[[#This Row],[Net Sales Revenue]]</f>
        <v>1321.5999999999985</v>
      </c>
      <c r="Q9" s="15">
        <f>Table5[[#This Row],[Net Sales Revenue]]/Table5[[#This Row],[Units Sold]]</f>
        <v>9.3000000000000007</v>
      </c>
      <c r="R9">
        <f>VLOOKUP(Table5[[#This Row],[Product ID]],'Product Master'!$A$1:$E$10,5,FALSE)</f>
        <v>4</v>
      </c>
      <c r="S9" s="15">
        <f>Table5[[#This Row],[standard product cost per unit]]*Table5[[#This Row],[Units Sold]]</f>
        <v>7552</v>
      </c>
      <c r="T9" s="15">
        <f>Table5[[#This Row],[Cost of Sales]]-Table5[[#This Row],[Standard cost]]</f>
        <v>0</v>
      </c>
      <c r="U9" s="15">
        <f>Table5[[#This Row],[Net Sales Revenue]]-Table5[[#This Row],[Cost of Sales]]</f>
        <v>10006.400000000001</v>
      </c>
      <c r="V9" s="17">
        <f>Table5[[#This Row],[GrossProfit]]/Table5[[#This Row],[Net Sales Revenue]]</f>
        <v>0.56989247311827962</v>
      </c>
    </row>
    <row r="10" spans="1:22" ht="14.25" customHeight="1" x14ac:dyDescent="0.25">
      <c r="A10" s="1" t="s">
        <v>76</v>
      </c>
      <c r="B10" s="1" t="s">
        <v>68</v>
      </c>
      <c r="C10" s="1" t="s">
        <v>40</v>
      </c>
      <c r="D10" s="1" t="s">
        <v>33</v>
      </c>
      <c r="E10" s="1" t="s">
        <v>31</v>
      </c>
      <c r="F10" s="1">
        <v>1264</v>
      </c>
      <c r="G10" s="14">
        <v>22</v>
      </c>
      <c r="H10" s="1">
        <v>0.09</v>
      </c>
      <c r="I10" s="14">
        <v>25305.279999999999</v>
      </c>
      <c r="J10" s="14">
        <v>12640</v>
      </c>
      <c r="K10" s="15">
        <f>Table5[[#This Row],[Selling Price]]*Table5[[#This Row],[Units Sold]]</f>
        <v>27808</v>
      </c>
      <c r="L10" t="str">
        <f t="shared" si="0"/>
        <v>2023-01</v>
      </c>
      <c r="M10" t="str">
        <f>VLOOKUP(Table5[[#This Row],[Store ID]],Table4[[Store ID]:[Store Location]],2)</f>
        <v>Manchester</v>
      </c>
      <c r="N10" t="str">
        <f>VLOOKUP(Table5[[#This Row],[Store ID]],Table4[[Store ID]:[Region]],3)</f>
        <v>North</v>
      </c>
      <c r="O10" t="str">
        <f>VLOOKUP(Table5[[#This Row],[Product ID]],'Product Master'!$A$2:$D$10,4)</f>
        <v>Supplier F</v>
      </c>
      <c r="P10" s="15">
        <f>Table5[[#This Row],[Total Revenue]]-Table5[[#This Row],[Net Sales Revenue]]</f>
        <v>2502.7200000000012</v>
      </c>
      <c r="Q10" s="15">
        <f>Table5[[#This Row],[Net Sales Revenue]]/Table5[[#This Row],[Units Sold]]</f>
        <v>20.02</v>
      </c>
      <c r="R10">
        <f>VLOOKUP(Table5[[#This Row],[Product ID]],'Product Master'!$A$1:$E$10,5,FALSE)</f>
        <v>10</v>
      </c>
      <c r="S10" s="15">
        <f>Table5[[#This Row],[standard product cost per unit]]*Table5[[#This Row],[Units Sold]]</f>
        <v>12640</v>
      </c>
      <c r="T10" s="15">
        <f>Table5[[#This Row],[Cost of Sales]]-Table5[[#This Row],[Standard cost]]</f>
        <v>0</v>
      </c>
      <c r="U10" s="15">
        <f>Table5[[#This Row],[Net Sales Revenue]]-Table5[[#This Row],[Cost of Sales]]</f>
        <v>12665.279999999999</v>
      </c>
      <c r="V10" s="17">
        <f>Table5[[#This Row],[GrossProfit]]/Table5[[#This Row],[Net Sales Revenue]]</f>
        <v>0.50049950049950043</v>
      </c>
    </row>
    <row r="11" spans="1:22" ht="14.25" customHeight="1" x14ac:dyDescent="0.25">
      <c r="A11" s="1" t="s">
        <v>77</v>
      </c>
      <c r="B11" s="1" t="s">
        <v>68</v>
      </c>
      <c r="C11" s="1" t="s">
        <v>44</v>
      </c>
      <c r="D11" s="1" t="s">
        <v>6</v>
      </c>
      <c r="E11" s="1" t="s">
        <v>8</v>
      </c>
      <c r="F11" s="1">
        <v>1984</v>
      </c>
      <c r="G11" s="14">
        <v>24</v>
      </c>
      <c r="H11" s="1">
        <v>0.09</v>
      </c>
      <c r="I11" s="14">
        <v>43330.559999999998</v>
      </c>
      <c r="J11" s="14">
        <v>23808</v>
      </c>
      <c r="K11" s="15">
        <f>Table5[[#This Row],[Selling Price]]*Table5[[#This Row],[Units Sold]]</f>
        <v>47616</v>
      </c>
      <c r="L11" t="str">
        <f t="shared" si="0"/>
        <v>2023-01</v>
      </c>
      <c r="M11" t="str">
        <f>VLOOKUP(Table5[[#This Row],[Store ID]],Table4[[Store ID]:[Store Location]],2)</f>
        <v>Birmingham</v>
      </c>
      <c r="N11" t="str">
        <f>VLOOKUP(Table5[[#This Row],[Store ID]],Table4[[Store ID]:[Region]],3)</f>
        <v>Midlands</v>
      </c>
      <c r="O11" t="str">
        <f>VLOOKUP(Table5[[#This Row],[Product ID]],'Product Master'!$A$2:$D$10,4)</f>
        <v>Supplier A</v>
      </c>
      <c r="P11" s="15">
        <f>Table5[[#This Row],[Total Revenue]]-Table5[[#This Row],[Net Sales Revenue]]</f>
        <v>4285.4400000000023</v>
      </c>
      <c r="Q11" s="15">
        <f>Table5[[#This Row],[Net Sales Revenue]]/Table5[[#This Row],[Units Sold]]</f>
        <v>21.84</v>
      </c>
      <c r="R11">
        <f>VLOOKUP(Table5[[#This Row],[Product ID]],'Product Master'!$A$1:$E$10,5,FALSE)</f>
        <v>12</v>
      </c>
      <c r="S11" s="15">
        <f>Table5[[#This Row],[standard product cost per unit]]*Table5[[#This Row],[Units Sold]]</f>
        <v>23808</v>
      </c>
      <c r="T11" s="15">
        <f>Table5[[#This Row],[Cost of Sales]]-Table5[[#This Row],[Standard cost]]</f>
        <v>0</v>
      </c>
      <c r="U11" s="15">
        <f>Table5[[#This Row],[Net Sales Revenue]]-Table5[[#This Row],[Cost of Sales]]</f>
        <v>19522.559999999998</v>
      </c>
      <c r="V11" s="17">
        <f>Table5[[#This Row],[GrossProfit]]/Table5[[#This Row],[Net Sales Revenue]]</f>
        <v>0.4505494505494505</v>
      </c>
    </row>
    <row r="12" spans="1:22" ht="14.25" customHeight="1" x14ac:dyDescent="0.25">
      <c r="A12" s="1" t="s">
        <v>78</v>
      </c>
      <c r="B12" s="1" t="s">
        <v>68</v>
      </c>
      <c r="C12" s="1" t="s">
        <v>44</v>
      </c>
      <c r="D12" s="1" t="s">
        <v>10</v>
      </c>
      <c r="E12" s="1" t="s">
        <v>8</v>
      </c>
      <c r="F12" s="1">
        <v>1692</v>
      </c>
      <c r="G12" s="14">
        <v>50</v>
      </c>
      <c r="H12" s="1">
        <v>7.0000000000000007E-2</v>
      </c>
      <c r="I12" s="14">
        <v>78678</v>
      </c>
      <c r="J12" s="14">
        <v>47376</v>
      </c>
      <c r="K12" s="15">
        <f>Table5[[#This Row],[Selling Price]]*Table5[[#This Row],[Units Sold]]</f>
        <v>84600</v>
      </c>
      <c r="L12" t="str">
        <f t="shared" si="0"/>
        <v>2023-01</v>
      </c>
      <c r="M12" t="str">
        <f>VLOOKUP(Table5[[#This Row],[Store ID]],Table4[[Store ID]:[Store Location]],2)</f>
        <v>Birmingham</v>
      </c>
      <c r="N12" t="str">
        <f>VLOOKUP(Table5[[#This Row],[Store ID]],Table4[[Store ID]:[Region]],3)</f>
        <v>Midlands</v>
      </c>
      <c r="O12" t="str">
        <f>VLOOKUP(Table5[[#This Row],[Product ID]],'Product Master'!$A$2:$D$10,4)</f>
        <v>Supplier B</v>
      </c>
      <c r="P12" s="15">
        <f>Table5[[#This Row],[Total Revenue]]-Table5[[#This Row],[Net Sales Revenue]]</f>
        <v>5922</v>
      </c>
      <c r="Q12" s="15">
        <f>Table5[[#This Row],[Net Sales Revenue]]/Table5[[#This Row],[Units Sold]]</f>
        <v>46.5</v>
      </c>
      <c r="R12">
        <f>VLOOKUP(Table5[[#This Row],[Product ID]],'Product Master'!$A$1:$E$10,5,FALSE)</f>
        <v>28</v>
      </c>
      <c r="S12" s="15">
        <f>Table5[[#This Row],[standard product cost per unit]]*Table5[[#This Row],[Units Sold]]</f>
        <v>47376</v>
      </c>
      <c r="T12" s="15">
        <f>Table5[[#This Row],[Cost of Sales]]-Table5[[#This Row],[Standard cost]]</f>
        <v>0</v>
      </c>
      <c r="U12" s="15">
        <f>Table5[[#This Row],[Net Sales Revenue]]-Table5[[#This Row],[Cost of Sales]]</f>
        <v>31302</v>
      </c>
      <c r="V12" s="17">
        <f>Table5[[#This Row],[GrossProfit]]/Table5[[#This Row],[Net Sales Revenue]]</f>
        <v>0.39784946236559138</v>
      </c>
    </row>
    <row r="13" spans="1:22" ht="14.25" customHeight="1" x14ac:dyDescent="0.25">
      <c r="A13" s="1" t="s">
        <v>79</v>
      </c>
      <c r="B13" s="1" t="s">
        <v>68</v>
      </c>
      <c r="C13" s="1" t="s">
        <v>44</v>
      </c>
      <c r="D13" s="1" t="s">
        <v>13</v>
      </c>
      <c r="E13" s="1" t="s">
        <v>15</v>
      </c>
      <c r="F13" s="1">
        <v>2096</v>
      </c>
      <c r="G13" s="14">
        <v>28</v>
      </c>
      <c r="H13" s="1">
        <v>0.08</v>
      </c>
      <c r="I13" s="14">
        <v>53992.959999999999</v>
      </c>
      <c r="J13" s="14">
        <v>31440</v>
      </c>
      <c r="K13" s="15">
        <f>Table5[[#This Row],[Selling Price]]*Table5[[#This Row],[Units Sold]]</f>
        <v>58688</v>
      </c>
      <c r="L13" t="str">
        <f t="shared" si="0"/>
        <v>2023-01</v>
      </c>
      <c r="M13" t="str">
        <f>VLOOKUP(Table5[[#This Row],[Store ID]],Table4[[Store ID]:[Store Location]],2)</f>
        <v>Birmingham</v>
      </c>
      <c r="N13" t="str">
        <f>VLOOKUP(Table5[[#This Row],[Store ID]],Table4[[Store ID]:[Region]],3)</f>
        <v>Midlands</v>
      </c>
      <c r="O13" t="str">
        <f>VLOOKUP(Table5[[#This Row],[Product ID]],'Product Master'!$A$2:$D$10,4)</f>
        <v>Supplier C</v>
      </c>
      <c r="P13" s="15">
        <f>Table5[[#This Row],[Total Revenue]]-Table5[[#This Row],[Net Sales Revenue]]</f>
        <v>4695.0400000000009</v>
      </c>
      <c r="Q13" s="15">
        <f>Table5[[#This Row],[Net Sales Revenue]]/Table5[[#This Row],[Units Sold]]</f>
        <v>25.759999999999998</v>
      </c>
      <c r="R13">
        <f>VLOOKUP(Table5[[#This Row],[Product ID]],'Product Master'!$A$1:$E$10,5,FALSE)</f>
        <v>15</v>
      </c>
      <c r="S13" s="15">
        <f>Table5[[#This Row],[standard product cost per unit]]*Table5[[#This Row],[Units Sold]]</f>
        <v>31440</v>
      </c>
      <c r="T13" s="15">
        <f>Table5[[#This Row],[Cost of Sales]]-Table5[[#This Row],[Standard cost]]</f>
        <v>0</v>
      </c>
      <c r="U13" s="15">
        <f>Table5[[#This Row],[Net Sales Revenue]]-Table5[[#This Row],[Cost of Sales]]</f>
        <v>22552.959999999999</v>
      </c>
      <c r="V13" s="17">
        <f>Table5[[#This Row],[GrossProfit]]/Table5[[#This Row],[Net Sales Revenue]]</f>
        <v>0.41770186335403725</v>
      </c>
    </row>
    <row r="14" spans="1:22" ht="14.25" customHeight="1" x14ac:dyDescent="0.25">
      <c r="A14" s="1" t="s">
        <v>80</v>
      </c>
      <c r="B14" s="1" t="s">
        <v>68</v>
      </c>
      <c r="C14" s="1" t="s">
        <v>44</v>
      </c>
      <c r="D14" s="1" t="s">
        <v>17</v>
      </c>
      <c r="E14" s="1" t="s">
        <v>15</v>
      </c>
      <c r="F14" s="1">
        <v>2600</v>
      </c>
      <c r="G14" s="14">
        <v>35</v>
      </c>
      <c r="H14" s="1">
        <v>7.0000000000000007E-2</v>
      </c>
      <c r="I14" s="14">
        <v>84630</v>
      </c>
      <c r="J14" s="14">
        <v>46800</v>
      </c>
      <c r="K14" s="15">
        <f>Table5[[#This Row],[Selling Price]]*Table5[[#This Row],[Units Sold]]</f>
        <v>91000</v>
      </c>
      <c r="L14" t="str">
        <f t="shared" si="0"/>
        <v>2023-01</v>
      </c>
      <c r="M14" t="str">
        <f>VLOOKUP(Table5[[#This Row],[Store ID]],Table4[[Store ID]:[Store Location]],2)</f>
        <v>Birmingham</v>
      </c>
      <c r="N14" t="str">
        <f>VLOOKUP(Table5[[#This Row],[Store ID]],Table4[[Store ID]:[Region]],3)</f>
        <v>Midlands</v>
      </c>
      <c r="O14" t="str">
        <f>VLOOKUP(Table5[[#This Row],[Product ID]],'Product Master'!$A$2:$D$10,4)</f>
        <v>Supplier C</v>
      </c>
      <c r="P14" s="15">
        <f>Table5[[#This Row],[Total Revenue]]-Table5[[#This Row],[Net Sales Revenue]]</f>
        <v>6370</v>
      </c>
      <c r="Q14" s="15">
        <f>Table5[[#This Row],[Net Sales Revenue]]/Table5[[#This Row],[Units Sold]]</f>
        <v>32.549999999999997</v>
      </c>
      <c r="R14">
        <f>VLOOKUP(Table5[[#This Row],[Product ID]],'Product Master'!$A$1:$E$10,5,FALSE)</f>
        <v>18</v>
      </c>
      <c r="S14" s="15">
        <f>Table5[[#This Row],[standard product cost per unit]]*Table5[[#This Row],[Units Sold]]</f>
        <v>46800</v>
      </c>
      <c r="T14" s="15">
        <f>Table5[[#This Row],[Cost of Sales]]-Table5[[#This Row],[Standard cost]]</f>
        <v>0</v>
      </c>
      <c r="U14" s="15">
        <f>Table5[[#This Row],[Net Sales Revenue]]-Table5[[#This Row],[Cost of Sales]]</f>
        <v>37830</v>
      </c>
      <c r="V14" s="17">
        <f>Table5[[#This Row],[GrossProfit]]/Table5[[#This Row],[Net Sales Revenue]]</f>
        <v>0.44700460829493088</v>
      </c>
    </row>
    <row r="15" spans="1:22" ht="14.25" customHeight="1" x14ac:dyDescent="0.25">
      <c r="A15" s="1" t="s">
        <v>81</v>
      </c>
      <c r="B15" s="1" t="s">
        <v>68</v>
      </c>
      <c r="C15" s="1" t="s">
        <v>44</v>
      </c>
      <c r="D15" s="1" t="s">
        <v>19</v>
      </c>
      <c r="E15" s="1" t="s">
        <v>21</v>
      </c>
      <c r="F15" s="1">
        <v>1220</v>
      </c>
      <c r="G15" s="14">
        <v>18</v>
      </c>
      <c r="H15" s="1">
        <v>0.06</v>
      </c>
      <c r="I15" s="14">
        <v>20642.400000000001</v>
      </c>
      <c r="J15" s="14">
        <v>10980</v>
      </c>
      <c r="K15" s="15">
        <f>Table5[[#This Row],[Selling Price]]*Table5[[#This Row],[Units Sold]]</f>
        <v>21960</v>
      </c>
      <c r="L15" t="str">
        <f t="shared" si="0"/>
        <v>2023-01</v>
      </c>
      <c r="M15" t="str">
        <f>VLOOKUP(Table5[[#This Row],[Store ID]],Table4[[Store ID]:[Store Location]],2)</f>
        <v>Birmingham</v>
      </c>
      <c r="N15" t="str">
        <f>VLOOKUP(Table5[[#This Row],[Store ID]],Table4[[Store ID]:[Region]],3)</f>
        <v>Midlands</v>
      </c>
      <c r="O15" t="str">
        <f>VLOOKUP(Table5[[#This Row],[Product ID]],'Product Master'!$A$2:$D$10,4)</f>
        <v>Supplier D</v>
      </c>
      <c r="P15" s="15">
        <f>Table5[[#This Row],[Total Revenue]]-Table5[[#This Row],[Net Sales Revenue]]</f>
        <v>1317.5999999999985</v>
      </c>
      <c r="Q15" s="15">
        <f>Table5[[#This Row],[Net Sales Revenue]]/Table5[[#This Row],[Units Sold]]</f>
        <v>16.920000000000002</v>
      </c>
      <c r="R15">
        <f>VLOOKUP(Table5[[#This Row],[Product ID]],'Product Master'!$A$1:$E$10,5,FALSE)</f>
        <v>9</v>
      </c>
      <c r="S15" s="15">
        <f>Table5[[#This Row],[standard product cost per unit]]*Table5[[#This Row],[Units Sold]]</f>
        <v>10980</v>
      </c>
      <c r="T15" s="15">
        <f>Table5[[#This Row],[Cost of Sales]]-Table5[[#This Row],[Standard cost]]</f>
        <v>0</v>
      </c>
      <c r="U15" s="15">
        <f>Table5[[#This Row],[Net Sales Revenue]]-Table5[[#This Row],[Cost of Sales]]</f>
        <v>9662.4000000000015</v>
      </c>
      <c r="V15" s="17">
        <f>Table5[[#This Row],[GrossProfit]]/Table5[[#This Row],[Net Sales Revenue]]</f>
        <v>0.46808510638297879</v>
      </c>
    </row>
    <row r="16" spans="1:22" ht="14.25" customHeight="1" x14ac:dyDescent="0.25">
      <c r="A16" s="1" t="s">
        <v>82</v>
      </c>
      <c r="B16" s="1" t="s">
        <v>68</v>
      </c>
      <c r="C16" s="1" t="s">
        <v>44</v>
      </c>
      <c r="D16" s="1" t="s">
        <v>23</v>
      </c>
      <c r="E16" s="1" t="s">
        <v>21</v>
      </c>
      <c r="F16" s="1">
        <v>1724</v>
      </c>
      <c r="G16" s="14">
        <v>30</v>
      </c>
      <c r="H16" s="1">
        <v>0.09</v>
      </c>
      <c r="I16" s="14">
        <v>47065.2</v>
      </c>
      <c r="J16" s="14">
        <v>24136</v>
      </c>
      <c r="K16" s="15">
        <f>Table5[[#This Row],[Selling Price]]*Table5[[#This Row],[Units Sold]]</f>
        <v>51720</v>
      </c>
      <c r="L16" t="str">
        <f t="shared" si="0"/>
        <v>2023-01</v>
      </c>
      <c r="M16" t="str">
        <f>VLOOKUP(Table5[[#This Row],[Store ID]],Table4[[Store ID]:[Store Location]],2)</f>
        <v>Birmingham</v>
      </c>
      <c r="N16" t="str">
        <f>VLOOKUP(Table5[[#This Row],[Store ID]],Table4[[Store ID]:[Region]],3)</f>
        <v>Midlands</v>
      </c>
      <c r="O16" t="str">
        <f>VLOOKUP(Table5[[#This Row],[Product ID]],'Product Master'!$A$2:$D$10,4)</f>
        <v>Supplier D</v>
      </c>
      <c r="P16" s="15">
        <f>Table5[[#This Row],[Total Revenue]]-Table5[[#This Row],[Net Sales Revenue]]</f>
        <v>4654.8000000000029</v>
      </c>
      <c r="Q16" s="15">
        <f>Table5[[#This Row],[Net Sales Revenue]]/Table5[[#This Row],[Units Sold]]</f>
        <v>27.299999999999997</v>
      </c>
      <c r="R16">
        <f>VLOOKUP(Table5[[#This Row],[Product ID]],'Product Master'!$A$1:$E$10,5,FALSE)</f>
        <v>14</v>
      </c>
      <c r="S16" s="15">
        <f>Table5[[#This Row],[standard product cost per unit]]*Table5[[#This Row],[Units Sold]]</f>
        <v>24136</v>
      </c>
      <c r="T16" s="15">
        <f>Table5[[#This Row],[Cost of Sales]]-Table5[[#This Row],[Standard cost]]</f>
        <v>0</v>
      </c>
      <c r="U16" s="15">
        <f>Table5[[#This Row],[Net Sales Revenue]]-Table5[[#This Row],[Cost of Sales]]</f>
        <v>22929.199999999997</v>
      </c>
      <c r="V16" s="17">
        <f>Table5[[#This Row],[GrossProfit]]/Table5[[#This Row],[Net Sales Revenue]]</f>
        <v>0.48717948717948717</v>
      </c>
    </row>
    <row r="17" spans="1:22" ht="14.25" customHeight="1" x14ac:dyDescent="0.25">
      <c r="A17" s="1" t="s">
        <v>83</v>
      </c>
      <c r="B17" s="1" t="s">
        <v>68</v>
      </c>
      <c r="C17" s="1" t="s">
        <v>44</v>
      </c>
      <c r="D17" s="1" t="s">
        <v>25</v>
      </c>
      <c r="E17" s="1" t="s">
        <v>27</v>
      </c>
      <c r="F17" s="1">
        <v>1684</v>
      </c>
      <c r="G17" s="14">
        <v>40</v>
      </c>
      <c r="H17" s="1">
        <v>0.05</v>
      </c>
      <c r="I17" s="14">
        <v>63992</v>
      </c>
      <c r="J17" s="14">
        <v>33680</v>
      </c>
      <c r="K17" s="15">
        <f>Table5[[#This Row],[Selling Price]]*Table5[[#This Row],[Units Sold]]</f>
        <v>67360</v>
      </c>
      <c r="L17" t="str">
        <f t="shared" si="0"/>
        <v>2023-01</v>
      </c>
      <c r="M17" t="str">
        <f>VLOOKUP(Table5[[#This Row],[Store ID]],Table4[[Store ID]:[Store Location]],2)</f>
        <v>Birmingham</v>
      </c>
      <c r="N17" t="str">
        <f>VLOOKUP(Table5[[#This Row],[Store ID]],Table4[[Store ID]:[Region]],3)</f>
        <v>Midlands</v>
      </c>
      <c r="O17" t="str">
        <f>VLOOKUP(Table5[[#This Row],[Product ID]],'Product Master'!$A$2:$D$10,4)</f>
        <v>Supplier E</v>
      </c>
      <c r="P17" s="15">
        <f>Table5[[#This Row],[Total Revenue]]-Table5[[#This Row],[Net Sales Revenue]]</f>
        <v>3368</v>
      </c>
      <c r="Q17" s="15">
        <f>Table5[[#This Row],[Net Sales Revenue]]/Table5[[#This Row],[Units Sold]]</f>
        <v>38</v>
      </c>
      <c r="R17">
        <f>VLOOKUP(Table5[[#This Row],[Product ID]],'Product Master'!$A$1:$E$10,5,FALSE)</f>
        <v>20</v>
      </c>
      <c r="S17" s="15">
        <f>Table5[[#This Row],[standard product cost per unit]]*Table5[[#This Row],[Units Sold]]</f>
        <v>33680</v>
      </c>
      <c r="T17" s="15">
        <f>Table5[[#This Row],[Cost of Sales]]-Table5[[#This Row],[Standard cost]]</f>
        <v>0</v>
      </c>
      <c r="U17" s="15">
        <f>Table5[[#This Row],[Net Sales Revenue]]-Table5[[#This Row],[Cost of Sales]]</f>
        <v>30312</v>
      </c>
      <c r="V17" s="17">
        <f>Table5[[#This Row],[GrossProfit]]/Table5[[#This Row],[Net Sales Revenue]]</f>
        <v>0.47368421052631576</v>
      </c>
    </row>
    <row r="18" spans="1:22" ht="14.25" customHeight="1" x14ac:dyDescent="0.25">
      <c r="A18" s="1" t="s">
        <v>84</v>
      </c>
      <c r="B18" s="1" t="s">
        <v>68</v>
      </c>
      <c r="C18" s="1" t="s">
        <v>44</v>
      </c>
      <c r="D18" s="1" t="s">
        <v>29</v>
      </c>
      <c r="E18" s="1" t="s">
        <v>31</v>
      </c>
      <c r="F18" s="1">
        <v>2168</v>
      </c>
      <c r="G18" s="14">
        <v>10</v>
      </c>
      <c r="H18" s="1">
        <v>0.09</v>
      </c>
      <c r="I18" s="14">
        <v>19728.8</v>
      </c>
      <c r="J18" s="14">
        <v>8672</v>
      </c>
      <c r="K18" s="15">
        <f>Table5[[#This Row],[Selling Price]]*Table5[[#This Row],[Units Sold]]</f>
        <v>21680</v>
      </c>
      <c r="L18" t="str">
        <f t="shared" si="0"/>
        <v>2023-01</v>
      </c>
      <c r="M18" t="str">
        <f>VLOOKUP(Table5[[#This Row],[Store ID]],Table4[[Store ID]:[Store Location]],2)</f>
        <v>Birmingham</v>
      </c>
      <c r="N18" t="str">
        <f>VLOOKUP(Table5[[#This Row],[Store ID]],Table4[[Store ID]:[Region]],3)</f>
        <v>Midlands</v>
      </c>
      <c r="O18" t="str">
        <f>VLOOKUP(Table5[[#This Row],[Product ID]],'Product Master'!$A$2:$D$10,4)</f>
        <v>Supplier F</v>
      </c>
      <c r="P18" s="15">
        <f>Table5[[#This Row],[Total Revenue]]-Table5[[#This Row],[Net Sales Revenue]]</f>
        <v>1951.2000000000007</v>
      </c>
      <c r="Q18" s="15">
        <f>Table5[[#This Row],[Net Sales Revenue]]/Table5[[#This Row],[Units Sold]]</f>
        <v>9.1</v>
      </c>
      <c r="R18">
        <f>VLOOKUP(Table5[[#This Row],[Product ID]],'Product Master'!$A$1:$E$10,5,FALSE)</f>
        <v>4</v>
      </c>
      <c r="S18" s="15">
        <f>Table5[[#This Row],[standard product cost per unit]]*Table5[[#This Row],[Units Sold]]</f>
        <v>8672</v>
      </c>
      <c r="T18" s="15">
        <f>Table5[[#This Row],[Cost of Sales]]-Table5[[#This Row],[Standard cost]]</f>
        <v>0</v>
      </c>
      <c r="U18" s="15">
        <f>Table5[[#This Row],[Net Sales Revenue]]-Table5[[#This Row],[Cost of Sales]]</f>
        <v>11056.8</v>
      </c>
      <c r="V18" s="17">
        <f>Table5[[#This Row],[GrossProfit]]/Table5[[#This Row],[Net Sales Revenue]]</f>
        <v>0.56043956043956045</v>
      </c>
    </row>
    <row r="19" spans="1:22" ht="14.25" customHeight="1" x14ac:dyDescent="0.25">
      <c r="A19" s="1" t="s">
        <v>85</v>
      </c>
      <c r="B19" s="1" t="s">
        <v>68</v>
      </c>
      <c r="C19" s="1" t="s">
        <v>44</v>
      </c>
      <c r="D19" s="1" t="s">
        <v>33</v>
      </c>
      <c r="E19" s="1" t="s">
        <v>31</v>
      </c>
      <c r="F19" s="1">
        <v>1380</v>
      </c>
      <c r="G19" s="14">
        <v>22</v>
      </c>
      <c r="H19" s="1">
        <v>0.06</v>
      </c>
      <c r="I19" s="14">
        <v>28538.400000000001</v>
      </c>
      <c r="J19" s="14">
        <v>13800</v>
      </c>
      <c r="K19" s="15">
        <f>Table5[[#This Row],[Selling Price]]*Table5[[#This Row],[Units Sold]]</f>
        <v>30360</v>
      </c>
      <c r="L19" t="str">
        <f t="shared" si="0"/>
        <v>2023-01</v>
      </c>
      <c r="M19" t="str">
        <f>VLOOKUP(Table5[[#This Row],[Store ID]],Table4[[Store ID]:[Store Location]],2)</f>
        <v>Birmingham</v>
      </c>
      <c r="N19" t="str">
        <f>VLOOKUP(Table5[[#This Row],[Store ID]],Table4[[Store ID]:[Region]],3)</f>
        <v>Midlands</v>
      </c>
      <c r="O19" t="str">
        <f>VLOOKUP(Table5[[#This Row],[Product ID]],'Product Master'!$A$2:$D$10,4)</f>
        <v>Supplier F</v>
      </c>
      <c r="P19" s="15">
        <f>Table5[[#This Row],[Total Revenue]]-Table5[[#This Row],[Net Sales Revenue]]</f>
        <v>1821.5999999999985</v>
      </c>
      <c r="Q19" s="15">
        <f>Table5[[#This Row],[Net Sales Revenue]]/Table5[[#This Row],[Units Sold]]</f>
        <v>20.68</v>
      </c>
      <c r="R19">
        <f>VLOOKUP(Table5[[#This Row],[Product ID]],'Product Master'!$A$1:$E$10,5,FALSE)</f>
        <v>10</v>
      </c>
      <c r="S19" s="15">
        <f>Table5[[#This Row],[standard product cost per unit]]*Table5[[#This Row],[Units Sold]]</f>
        <v>13800</v>
      </c>
      <c r="T19" s="15">
        <f>Table5[[#This Row],[Cost of Sales]]-Table5[[#This Row],[Standard cost]]</f>
        <v>0</v>
      </c>
      <c r="U19" s="15">
        <f>Table5[[#This Row],[Net Sales Revenue]]-Table5[[#This Row],[Cost of Sales]]</f>
        <v>14738.400000000001</v>
      </c>
      <c r="V19" s="17">
        <f>Table5[[#This Row],[GrossProfit]]/Table5[[#This Row],[Net Sales Revenue]]</f>
        <v>0.51644100580270791</v>
      </c>
    </row>
    <row r="20" spans="1:22" ht="14.25" customHeight="1" x14ac:dyDescent="0.25">
      <c r="A20" s="1" t="s">
        <v>86</v>
      </c>
      <c r="B20" s="1" t="s">
        <v>68</v>
      </c>
      <c r="C20" s="1" t="s">
        <v>48</v>
      </c>
      <c r="D20" s="1" t="s">
        <v>6</v>
      </c>
      <c r="E20" s="1" t="s">
        <v>8</v>
      </c>
      <c r="F20" s="1">
        <v>1956</v>
      </c>
      <c r="G20" s="14">
        <v>24</v>
      </c>
      <c r="H20" s="1">
        <v>0.06</v>
      </c>
      <c r="I20" s="14">
        <v>44127.360000000001</v>
      </c>
      <c r="J20" s="14">
        <v>23472</v>
      </c>
      <c r="K20" s="15">
        <f>Table5[[#This Row],[Selling Price]]*Table5[[#This Row],[Units Sold]]</f>
        <v>46944</v>
      </c>
      <c r="L20" t="str">
        <f t="shared" si="0"/>
        <v>2023-01</v>
      </c>
      <c r="M20" t="str">
        <f>VLOOKUP(Table5[[#This Row],[Store ID]],Table4[[Store ID]:[Store Location]],2)</f>
        <v>London Stratford</v>
      </c>
      <c r="N20" t="str">
        <f>VLOOKUP(Table5[[#This Row],[Store ID]],Table4[[Store ID]:[Region]],3)</f>
        <v>South</v>
      </c>
      <c r="O20" t="str">
        <f>VLOOKUP(Table5[[#This Row],[Product ID]],'Product Master'!$A$2:$D$10,4)</f>
        <v>Supplier A</v>
      </c>
      <c r="P20" s="15">
        <f>Table5[[#This Row],[Total Revenue]]-Table5[[#This Row],[Net Sales Revenue]]</f>
        <v>2816.6399999999994</v>
      </c>
      <c r="Q20" s="15">
        <f>Table5[[#This Row],[Net Sales Revenue]]/Table5[[#This Row],[Units Sold]]</f>
        <v>22.56</v>
      </c>
      <c r="R20">
        <f>VLOOKUP(Table5[[#This Row],[Product ID]],'Product Master'!$A$1:$E$10,5,FALSE)</f>
        <v>12</v>
      </c>
      <c r="S20" s="15">
        <f>Table5[[#This Row],[standard product cost per unit]]*Table5[[#This Row],[Units Sold]]</f>
        <v>23472</v>
      </c>
      <c r="T20" s="15">
        <f>Table5[[#This Row],[Cost of Sales]]-Table5[[#This Row],[Standard cost]]</f>
        <v>0</v>
      </c>
      <c r="U20" s="15">
        <f>Table5[[#This Row],[Net Sales Revenue]]-Table5[[#This Row],[Cost of Sales]]</f>
        <v>20655.36</v>
      </c>
      <c r="V20" s="17">
        <f>Table5[[#This Row],[GrossProfit]]/Table5[[#This Row],[Net Sales Revenue]]</f>
        <v>0.46808510638297873</v>
      </c>
    </row>
    <row r="21" spans="1:22" ht="14.25" customHeight="1" x14ac:dyDescent="0.25">
      <c r="A21" s="1" t="s">
        <v>87</v>
      </c>
      <c r="B21" s="1" t="s">
        <v>68</v>
      </c>
      <c r="C21" s="1" t="s">
        <v>48</v>
      </c>
      <c r="D21" s="1" t="s">
        <v>10</v>
      </c>
      <c r="E21" s="1" t="s">
        <v>8</v>
      </c>
      <c r="F21" s="1">
        <v>1904</v>
      </c>
      <c r="G21" s="14">
        <v>50</v>
      </c>
      <c r="H21" s="1">
        <v>0.06</v>
      </c>
      <c r="I21" s="14">
        <v>89488</v>
      </c>
      <c r="J21" s="14">
        <v>53312</v>
      </c>
      <c r="K21" s="15">
        <f>Table5[[#This Row],[Selling Price]]*Table5[[#This Row],[Units Sold]]</f>
        <v>95200</v>
      </c>
      <c r="L21" t="str">
        <f t="shared" si="0"/>
        <v>2023-01</v>
      </c>
      <c r="M21" t="str">
        <f>VLOOKUP(Table5[[#This Row],[Store ID]],Table4[[Store ID]:[Store Location]],2)</f>
        <v>London Stratford</v>
      </c>
      <c r="N21" t="str">
        <f>VLOOKUP(Table5[[#This Row],[Store ID]],Table4[[Store ID]:[Region]],3)</f>
        <v>South</v>
      </c>
      <c r="O21" t="str">
        <f>VLOOKUP(Table5[[#This Row],[Product ID]],'Product Master'!$A$2:$D$10,4)</f>
        <v>Supplier B</v>
      </c>
      <c r="P21" s="15">
        <f>Table5[[#This Row],[Total Revenue]]-Table5[[#This Row],[Net Sales Revenue]]</f>
        <v>5712</v>
      </c>
      <c r="Q21" s="15">
        <f>Table5[[#This Row],[Net Sales Revenue]]/Table5[[#This Row],[Units Sold]]</f>
        <v>47</v>
      </c>
      <c r="R21">
        <f>VLOOKUP(Table5[[#This Row],[Product ID]],'Product Master'!$A$1:$E$10,5,FALSE)</f>
        <v>28</v>
      </c>
      <c r="S21" s="15">
        <f>Table5[[#This Row],[standard product cost per unit]]*Table5[[#This Row],[Units Sold]]</f>
        <v>53312</v>
      </c>
      <c r="T21" s="15">
        <f>Table5[[#This Row],[Cost of Sales]]-Table5[[#This Row],[Standard cost]]</f>
        <v>0</v>
      </c>
      <c r="U21" s="15">
        <f>Table5[[#This Row],[Net Sales Revenue]]-Table5[[#This Row],[Cost of Sales]]</f>
        <v>36176</v>
      </c>
      <c r="V21" s="17">
        <f>Table5[[#This Row],[GrossProfit]]/Table5[[#This Row],[Net Sales Revenue]]</f>
        <v>0.40425531914893614</v>
      </c>
    </row>
    <row r="22" spans="1:22" ht="14.25" customHeight="1" x14ac:dyDescent="0.25">
      <c r="A22" s="1" t="s">
        <v>88</v>
      </c>
      <c r="B22" s="1" t="s">
        <v>68</v>
      </c>
      <c r="C22" s="1" t="s">
        <v>48</v>
      </c>
      <c r="D22" s="1" t="s">
        <v>13</v>
      </c>
      <c r="E22" s="1" t="s">
        <v>15</v>
      </c>
      <c r="F22" s="1">
        <v>2728</v>
      </c>
      <c r="G22" s="14">
        <v>28</v>
      </c>
      <c r="H22" s="1">
        <v>0.1</v>
      </c>
      <c r="I22" s="14">
        <v>68745.600000000006</v>
      </c>
      <c r="J22" s="14">
        <v>40920</v>
      </c>
      <c r="K22" s="15">
        <f>Table5[[#This Row],[Selling Price]]*Table5[[#This Row],[Units Sold]]</f>
        <v>76384</v>
      </c>
      <c r="L22" t="str">
        <f t="shared" si="0"/>
        <v>2023-01</v>
      </c>
      <c r="M22" t="str">
        <f>VLOOKUP(Table5[[#This Row],[Store ID]],Table4[[Store ID]:[Store Location]],2)</f>
        <v>London Stratford</v>
      </c>
      <c r="N22" t="str">
        <f>VLOOKUP(Table5[[#This Row],[Store ID]],Table4[[Store ID]:[Region]],3)</f>
        <v>South</v>
      </c>
      <c r="O22" t="str">
        <f>VLOOKUP(Table5[[#This Row],[Product ID]],'Product Master'!$A$2:$D$10,4)</f>
        <v>Supplier C</v>
      </c>
      <c r="P22" s="15">
        <f>Table5[[#This Row],[Total Revenue]]-Table5[[#This Row],[Net Sales Revenue]]</f>
        <v>7638.3999999999942</v>
      </c>
      <c r="Q22" s="15">
        <f>Table5[[#This Row],[Net Sales Revenue]]/Table5[[#This Row],[Units Sold]]</f>
        <v>25.200000000000003</v>
      </c>
      <c r="R22">
        <f>VLOOKUP(Table5[[#This Row],[Product ID]],'Product Master'!$A$1:$E$10,5,FALSE)</f>
        <v>15</v>
      </c>
      <c r="S22" s="15">
        <f>Table5[[#This Row],[standard product cost per unit]]*Table5[[#This Row],[Units Sold]]</f>
        <v>40920</v>
      </c>
      <c r="T22" s="15">
        <f>Table5[[#This Row],[Cost of Sales]]-Table5[[#This Row],[Standard cost]]</f>
        <v>0</v>
      </c>
      <c r="U22" s="15">
        <f>Table5[[#This Row],[Net Sales Revenue]]-Table5[[#This Row],[Cost of Sales]]</f>
        <v>27825.600000000006</v>
      </c>
      <c r="V22" s="17">
        <f>Table5[[#This Row],[GrossProfit]]/Table5[[#This Row],[Net Sales Revenue]]</f>
        <v>0.40476190476190482</v>
      </c>
    </row>
    <row r="23" spans="1:22" ht="14.25" customHeight="1" x14ac:dyDescent="0.25">
      <c r="A23" s="1" t="s">
        <v>89</v>
      </c>
      <c r="B23" s="1" t="s">
        <v>68</v>
      </c>
      <c r="C23" s="1" t="s">
        <v>48</v>
      </c>
      <c r="D23" s="1" t="s">
        <v>17</v>
      </c>
      <c r="E23" s="1" t="s">
        <v>15</v>
      </c>
      <c r="F23" s="1">
        <v>1732</v>
      </c>
      <c r="G23" s="14">
        <v>35</v>
      </c>
      <c r="H23" s="1">
        <v>0.06</v>
      </c>
      <c r="I23" s="14">
        <v>56982.8</v>
      </c>
      <c r="J23" s="14">
        <v>31176</v>
      </c>
      <c r="K23" s="15">
        <f>Table5[[#This Row],[Selling Price]]*Table5[[#This Row],[Units Sold]]</f>
        <v>60620</v>
      </c>
      <c r="L23" t="str">
        <f t="shared" si="0"/>
        <v>2023-01</v>
      </c>
      <c r="M23" t="str">
        <f>VLOOKUP(Table5[[#This Row],[Store ID]],Table4[[Store ID]:[Store Location]],2)</f>
        <v>London Stratford</v>
      </c>
      <c r="N23" t="str">
        <f>VLOOKUP(Table5[[#This Row],[Store ID]],Table4[[Store ID]:[Region]],3)</f>
        <v>South</v>
      </c>
      <c r="O23" t="str">
        <f>VLOOKUP(Table5[[#This Row],[Product ID]],'Product Master'!$A$2:$D$10,4)</f>
        <v>Supplier C</v>
      </c>
      <c r="P23" s="15">
        <f>Table5[[#This Row],[Total Revenue]]-Table5[[#This Row],[Net Sales Revenue]]</f>
        <v>3637.1999999999971</v>
      </c>
      <c r="Q23" s="15">
        <f>Table5[[#This Row],[Net Sales Revenue]]/Table5[[#This Row],[Units Sold]]</f>
        <v>32.9</v>
      </c>
      <c r="R23">
        <f>VLOOKUP(Table5[[#This Row],[Product ID]],'Product Master'!$A$1:$E$10,5,FALSE)</f>
        <v>18</v>
      </c>
      <c r="S23" s="15">
        <f>Table5[[#This Row],[standard product cost per unit]]*Table5[[#This Row],[Units Sold]]</f>
        <v>31176</v>
      </c>
      <c r="T23" s="15">
        <f>Table5[[#This Row],[Cost of Sales]]-Table5[[#This Row],[Standard cost]]</f>
        <v>0</v>
      </c>
      <c r="U23" s="15">
        <f>Table5[[#This Row],[Net Sales Revenue]]-Table5[[#This Row],[Cost of Sales]]</f>
        <v>25806.800000000003</v>
      </c>
      <c r="V23" s="17">
        <f>Table5[[#This Row],[GrossProfit]]/Table5[[#This Row],[Net Sales Revenue]]</f>
        <v>0.45288753799392101</v>
      </c>
    </row>
    <row r="24" spans="1:22" ht="14.25" customHeight="1" x14ac:dyDescent="0.25">
      <c r="A24" s="1" t="s">
        <v>90</v>
      </c>
      <c r="B24" s="1" t="s">
        <v>68</v>
      </c>
      <c r="C24" s="1" t="s">
        <v>48</v>
      </c>
      <c r="D24" s="1" t="s">
        <v>19</v>
      </c>
      <c r="E24" s="1" t="s">
        <v>21</v>
      </c>
      <c r="F24" s="1">
        <v>1328</v>
      </c>
      <c r="G24" s="14">
        <v>18</v>
      </c>
      <c r="H24" s="1">
        <v>0.08</v>
      </c>
      <c r="I24" s="14">
        <v>21991.68</v>
      </c>
      <c r="J24" s="14">
        <v>11952</v>
      </c>
      <c r="K24" s="15">
        <f>Table5[[#This Row],[Selling Price]]*Table5[[#This Row],[Units Sold]]</f>
        <v>23904</v>
      </c>
      <c r="L24" t="str">
        <f t="shared" si="0"/>
        <v>2023-01</v>
      </c>
      <c r="M24" t="str">
        <f>VLOOKUP(Table5[[#This Row],[Store ID]],Table4[[Store ID]:[Store Location]],2)</f>
        <v>London Stratford</v>
      </c>
      <c r="N24" t="str">
        <f>VLOOKUP(Table5[[#This Row],[Store ID]],Table4[[Store ID]:[Region]],3)</f>
        <v>South</v>
      </c>
      <c r="O24" t="str">
        <f>VLOOKUP(Table5[[#This Row],[Product ID]],'Product Master'!$A$2:$D$10,4)</f>
        <v>Supplier D</v>
      </c>
      <c r="P24" s="15">
        <f>Table5[[#This Row],[Total Revenue]]-Table5[[#This Row],[Net Sales Revenue]]</f>
        <v>1912.3199999999997</v>
      </c>
      <c r="Q24" s="15">
        <f>Table5[[#This Row],[Net Sales Revenue]]/Table5[[#This Row],[Units Sold]]</f>
        <v>16.559999999999999</v>
      </c>
      <c r="R24">
        <f>VLOOKUP(Table5[[#This Row],[Product ID]],'Product Master'!$A$1:$E$10,5,FALSE)</f>
        <v>9</v>
      </c>
      <c r="S24" s="15">
        <f>Table5[[#This Row],[standard product cost per unit]]*Table5[[#This Row],[Units Sold]]</f>
        <v>11952</v>
      </c>
      <c r="T24" s="15">
        <f>Table5[[#This Row],[Cost of Sales]]-Table5[[#This Row],[Standard cost]]</f>
        <v>0</v>
      </c>
      <c r="U24" s="15">
        <f>Table5[[#This Row],[Net Sales Revenue]]-Table5[[#This Row],[Cost of Sales]]</f>
        <v>10039.68</v>
      </c>
      <c r="V24" s="17">
        <f>Table5[[#This Row],[GrossProfit]]/Table5[[#This Row],[Net Sales Revenue]]</f>
        <v>0.45652173913043481</v>
      </c>
    </row>
    <row r="25" spans="1:22" ht="14.25" customHeight="1" x14ac:dyDescent="0.25">
      <c r="A25" s="1" t="s">
        <v>91</v>
      </c>
      <c r="B25" s="1" t="s">
        <v>68</v>
      </c>
      <c r="C25" s="1" t="s">
        <v>48</v>
      </c>
      <c r="D25" s="1" t="s">
        <v>23</v>
      </c>
      <c r="E25" s="1" t="s">
        <v>21</v>
      </c>
      <c r="F25" s="1">
        <v>1544</v>
      </c>
      <c r="G25" s="14">
        <v>30</v>
      </c>
      <c r="H25" s="1">
        <v>0.08</v>
      </c>
      <c r="I25" s="14">
        <v>42614.400000000001</v>
      </c>
      <c r="J25" s="14">
        <v>21616</v>
      </c>
      <c r="K25" s="15">
        <f>Table5[[#This Row],[Selling Price]]*Table5[[#This Row],[Units Sold]]</f>
        <v>46320</v>
      </c>
      <c r="L25" t="str">
        <f t="shared" si="0"/>
        <v>2023-01</v>
      </c>
      <c r="M25" t="str">
        <f>VLOOKUP(Table5[[#This Row],[Store ID]],Table4[[Store ID]:[Store Location]],2)</f>
        <v>London Stratford</v>
      </c>
      <c r="N25" t="str">
        <f>VLOOKUP(Table5[[#This Row],[Store ID]],Table4[[Store ID]:[Region]],3)</f>
        <v>South</v>
      </c>
      <c r="O25" t="str">
        <f>VLOOKUP(Table5[[#This Row],[Product ID]],'Product Master'!$A$2:$D$10,4)</f>
        <v>Supplier D</v>
      </c>
      <c r="P25" s="15">
        <f>Table5[[#This Row],[Total Revenue]]-Table5[[#This Row],[Net Sales Revenue]]</f>
        <v>3705.5999999999985</v>
      </c>
      <c r="Q25" s="15">
        <f>Table5[[#This Row],[Net Sales Revenue]]/Table5[[#This Row],[Units Sold]]</f>
        <v>27.6</v>
      </c>
      <c r="R25">
        <f>VLOOKUP(Table5[[#This Row],[Product ID]],'Product Master'!$A$1:$E$10,5,FALSE)</f>
        <v>14</v>
      </c>
      <c r="S25" s="15">
        <f>Table5[[#This Row],[standard product cost per unit]]*Table5[[#This Row],[Units Sold]]</f>
        <v>21616</v>
      </c>
      <c r="T25" s="15">
        <f>Table5[[#This Row],[Cost of Sales]]-Table5[[#This Row],[Standard cost]]</f>
        <v>0</v>
      </c>
      <c r="U25" s="15">
        <f>Table5[[#This Row],[Net Sales Revenue]]-Table5[[#This Row],[Cost of Sales]]</f>
        <v>20998.400000000001</v>
      </c>
      <c r="V25" s="17">
        <f>Table5[[#This Row],[GrossProfit]]/Table5[[#This Row],[Net Sales Revenue]]</f>
        <v>0.49275362318840582</v>
      </c>
    </row>
    <row r="26" spans="1:22" ht="14.25" customHeight="1" x14ac:dyDescent="0.25">
      <c r="A26" s="1" t="s">
        <v>92</v>
      </c>
      <c r="B26" s="1" t="s">
        <v>68</v>
      </c>
      <c r="C26" s="1" t="s">
        <v>48</v>
      </c>
      <c r="D26" s="1" t="s">
        <v>25</v>
      </c>
      <c r="E26" s="1" t="s">
        <v>27</v>
      </c>
      <c r="F26" s="1">
        <v>1600</v>
      </c>
      <c r="G26" s="14">
        <v>40</v>
      </c>
      <c r="H26" s="1">
        <v>0.09</v>
      </c>
      <c r="I26" s="14">
        <v>58240</v>
      </c>
      <c r="J26" s="14">
        <v>32000</v>
      </c>
      <c r="K26" s="15">
        <f>Table5[[#This Row],[Selling Price]]*Table5[[#This Row],[Units Sold]]</f>
        <v>64000</v>
      </c>
      <c r="L26" t="str">
        <f t="shared" si="0"/>
        <v>2023-01</v>
      </c>
      <c r="M26" t="str">
        <f>VLOOKUP(Table5[[#This Row],[Store ID]],Table4[[Store ID]:[Store Location]],2)</f>
        <v>London Stratford</v>
      </c>
      <c r="N26" t="str">
        <f>VLOOKUP(Table5[[#This Row],[Store ID]],Table4[[Store ID]:[Region]],3)</f>
        <v>South</v>
      </c>
      <c r="O26" t="str">
        <f>VLOOKUP(Table5[[#This Row],[Product ID]],'Product Master'!$A$2:$D$10,4)</f>
        <v>Supplier E</v>
      </c>
      <c r="P26" s="15">
        <f>Table5[[#This Row],[Total Revenue]]-Table5[[#This Row],[Net Sales Revenue]]</f>
        <v>5760</v>
      </c>
      <c r="Q26" s="15">
        <f>Table5[[#This Row],[Net Sales Revenue]]/Table5[[#This Row],[Units Sold]]</f>
        <v>36.4</v>
      </c>
      <c r="R26">
        <f>VLOOKUP(Table5[[#This Row],[Product ID]],'Product Master'!$A$1:$E$10,5,FALSE)</f>
        <v>20</v>
      </c>
      <c r="S26" s="15">
        <f>Table5[[#This Row],[standard product cost per unit]]*Table5[[#This Row],[Units Sold]]</f>
        <v>32000</v>
      </c>
      <c r="T26" s="15">
        <f>Table5[[#This Row],[Cost of Sales]]-Table5[[#This Row],[Standard cost]]</f>
        <v>0</v>
      </c>
      <c r="U26" s="15">
        <f>Table5[[#This Row],[Net Sales Revenue]]-Table5[[#This Row],[Cost of Sales]]</f>
        <v>26240</v>
      </c>
      <c r="V26" s="17">
        <f>Table5[[#This Row],[GrossProfit]]/Table5[[#This Row],[Net Sales Revenue]]</f>
        <v>0.45054945054945056</v>
      </c>
    </row>
    <row r="27" spans="1:22" ht="14.25" customHeight="1" x14ac:dyDescent="0.25">
      <c r="A27" s="1" t="s">
        <v>93</v>
      </c>
      <c r="B27" s="1" t="s">
        <v>68</v>
      </c>
      <c r="C27" s="1" t="s">
        <v>48</v>
      </c>
      <c r="D27" s="1" t="s">
        <v>29</v>
      </c>
      <c r="E27" s="1" t="s">
        <v>31</v>
      </c>
      <c r="F27" s="1">
        <v>2268</v>
      </c>
      <c r="G27" s="14">
        <v>10</v>
      </c>
      <c r="H27" s="1">
        <v>7.0000000000000007E-2</v>
      </c>
      <c r="I27" s="14">
        <v>21092.400000000001</v>
      </c>
      <c r="J27" s="14">
        <v>9072</v>
      </c>
      <c r="K27" s="15">
        <f>Table5[[#This Row],[Selling Price]]*Table5[[#This Row],[Units Sold]]</f>
        <v>22680</v>
      </c>
      <c r="L27" t="str">
        <f t="shared" si="0"/>
        <v>2023-01</v>
      </c>
      <c r="M27" t="str">
        <f>VLOOKUP(Table5[[#This Row],[Store ID]],Table4[[Store ID]:[Store Location]],2)</f>
        <v>London Stratford</v>
      </c>
      <c r="N27" t="str">
        <f>VLOOKUP(Table5[[#This Row],[Store ID]],Table4[[Store ID]:[Region]],3)</f>
        <v>South</v>
      </c>
      <c r="O27" t="str">
        <f>VLOOKUP(Table5[[#This Row],[Product ID]],'Product Master'!$A$2:$D$10,4)</f>
        <v>Supplier F</v>
      </c>
      <c r="P27" s="15">
        <f>Table5[[#This Row],[Total Revenue]]-Table5[[#This Row],[Net Sales Revenue]]</f>
        <v>1587.5999999999985</v>
      </c>
      <c r="Q27" s="15">
        <f>Table5[[#This Row],[Net Sales Revenue]]/Table5[[#This Row],[Units Sold]]</f>
        <v>9.3000000000000007</v>
      </c>
      <c r="R27">
        <f>VLOOKUP(Table5[[#This Row],[Product ID]],'Product Master'!$A$1:$E$10,5,FALSE)</f>
        <v>4</v>
      </c>
      <c r="S27" s="15">
        <f>Table5[[#This Row],[standard product cost per unit]]*Table5[[#This Row],[Units Sold]]</f>
        <v>9072</v>
      </c>
      <c r="T27" s="15">
        <f>Table5[[#This Row],[Cost of Sales]]-Table5[[#This Row],[Standard cost]]</f>
        <v>0</v>
      </c>
      <c r="U27" s="15">
        <f>Table5[[#This Row],[Net Sales Revenue]]-Table5[[#This Row],[Cost of Sales]]</f>
        <v>12020.400000000001</v>
      </c>
      <c r="V27" s="17">
        <f>Table5[[#This Row],[GrossProfit]]/Table5[[#This Row],[Net Sales Revenue]]</f>
        <v>0.56989247311827962</v>
      </c>
    </row>
    <row r="28" spans="1:22" ht="14.25" customHeight="1" x14ac:dyDescent="0.25">
      <c r="A28" s="1" t="s">
        <v>94</v>
      </c>
      <c r="B28" s="1" t="s">
        <v>68</v>
      </c>
      <c r="C28" s="1" t="s">
        <v>48</v>
      </c>
      <c r="D28" s="1" t="s">
        <v>33</v>
      </c>
      <c r="E28" s="1" t="s">
        <v>31</v>
      </c>
      <c r="F28" s="1">
        <v>2668</v>
      </c>
      <c r="G28" s="14">
        <v>22</v>
      </c>
      <c r="H28" s="1">
        <v>0.08</v>
      </c>
      <c r="I28" s="14">
        <v>54000.32</v>
      </c>
      <c r="J28" s="14">
        <v>26680</v>
      </c>
      <c r="K28" s="15">
        <f>Table5[[#This Row],[Selling Price]]*Table5[[#This Row],[Units Sold]]</f>
        <v>58696</v>
      </c>
      <c r="L28" t="str">
        <f t="shared" si="0"/>
        <v>2023-01</v>
      </c>
      <c r="M28" t="str">
        <f>VLOOKUP(Table5[[#This Row],[Store ID]],Table4[[Store ID]:[Store Location]],2)</f>
        <v>London Stratford</v>
      </c>
      <c r="N28" t="str">
        <f>VLOOKUP(Table5[[#This Row],[Store ID]],Table4[[Store ID]:[Region]],3)</f>
        <v>South</v>
      </c>
      <c r="O28" t="str">
        <f>VLOOKUP(Table5[[#This Row],[Product ID]],'Product Master'!$A$2:$D$10,4)</f>
        <v>Supplier F</v>
      </c>
      <c r="P28" s="15">
        <f>Table5[[#This Row],[Total Revenue]]-Table5[[#This Row],[Net Sales Revenue]]</f>
        <v>4695.68</v>
      </c>
      <c r="Q28" s="15">
        <f>Table5[[#This Row],[Net Sales Revenue]]/Table5[[#This Row],[Units Sold]]</f>
        <v>20.239999999999998</v>
      </c>
      <c r="R28">
        <f>VLOOKUP(Table5[[#This Row],[Product ID]],'Product Master'!$A$1:$E$10,5,FALSE)</f>
        <v>10</v>
      </c>
      <c r="S28" s="15">
        <f>Table5[[#This Row],[standard product cost per unit]]*Table5[[#This Row],[Units Sold]]</f>
        <v>26680</v>
      </c>
      <c r="T28" s="15">
        <f>Table5[[#This Row],[Cost of Sales]]-Table5[[#This Row],[Standard cost]]</f>
        <v>0</v>
      </c>
      <c r="U28" s="15">
        <f>Table5[[#This Row],[Net Sales Revenue]]-Table5[[#This Row],[Cost of Sales]]</f>
        <v>27320.32</v>
      </c>
      <c r="V28" s="17">
        <f>Table5[[#This Row],[GrossProfit]]/Table5[[#This Row],[Net Sales Revenue]]</f>
        <v>0.50592885375494068</v>
      </c>
    </row>
    <row r="29" spans="1:22" ht="14.25" customHeight="1" x14ac:dyDescent="0.25">
      <c r="A29" s="1" t="s">
        <v>95</v>
      </c>
      <c r="B29" s="1" t="s">
        <v>68</v>
      </c>
      <c r="C29" s="1" t="s">
        <v>52</v>
      </c>
      <c r="D29" s="1" t="s">
        <v>6</v>
      </c>
      <c r="E29" s="1" t="s">
        <v>8</v>
      </c>
      <c r="F29" s="1">
        <v>2076</v>
      </c>
      <c r="G29" s="14">
        <v>24</v>
      </c>
      <c r="H29" s="1">
        <v>0.06</v>
      </c>
      <c r="I29" s="14">
        <v>46834.559999999998</v>
      </c>
      <c r="J29" s="14">
        <v>24912</v>
      </c>
      <c r="K29" s="15">
        <f>Table5[[#This Row],[Selling Price]]*Table5[[#This Row],[Units Sold]]</f>
        <v>49824</v>
      </c>
      <c r="L29" t="str">
        <f t="shared" si="0"/>
        <v>2023-01</v>
      </c>
      <c r="M29" t="str">
        <f>VLOOKUP(Table5[[#This Row],[Store ID]],Table4[[Store ID]:[Store Location]],2)</f>
        <v>Glasgow</v>
      </c>
      <c r="N29" t="str">
        <f>VLOOKUP(Table5[[#This Row],[Store ID]],Table4[[Store ID]:[Region]],3)</f>
        <v>Scotland</v>
      </c>
      <c r="O29" t="str">
        <f>VLOOKUP(Table5[[#This Row],[Product ID]],'Product Master'!$A$2:$D$10,4)</f>
        <v>Supplier A</v>
      </c>
      <c r="P29" s="15">
        <f>Table5[[#This Row],[Total Revenue]]-Table5[[#This Row],[Net Sales Revenue]]</f>
        <v>2989.4400000000023</v>
      </c>
      <c r="Q29" s="15">
        <f>Table5[[#This Row],[Net Sales Revenue]]/Table5[[#This Row],[Units Sold]]</f>
        <v>22.56</v>
      </c>
      <c r="R29">
        <f>VLOOKUP(Table5[[#This Row],[Product ID]],'Product Master'!$A$1:$E$10,5,FALSE)</f>
        <v>12</v>
      </c>
      <c r="S29" s="15">
        <f>Table5[[#This Row],[standard product cost per unit]]*Table5[[#This Row],[Units Sold]]</f>
        <v>24912</v>
      </c>
      <c r="T29" s="15">
        <f>Table5[[#This Row],[Cost of Sales]]-Table5[[#This Row],[Standard cost]]</f>
        <v>0</v>
      </c>
      <c r="U29" s="15">
        <f>Table5[[#This Row],[Net Sales Revenue]]-Table5[[#This Row],[Cost of Sales]]</f>
        <v>21922.559999999998</v>
      </c>
      <c r="V29" s="17">
        <f>Table5[[#This Row],[GrossProfit]]/Table5[[#This Row],[Net Sales Revenue]]</f>
        <v>0.46808510638297868</v>
      </c>
    </row>
    <row r="30" spans="1:22" ht="14.25" customHeight="1" x14ac:dyDescent="0.25">
      <c r="A30" s="1" t="s">
        <v>96</v>
      </c>
      <c r="B30" s="1" t="s">
        <v>68</v>
      </c>
      <c r="C30" s="1" t="s">
        <v>52</v>
      </c>
      <c r="D30" s="1" t="s">
        <v>10</v>
      </c>
      <c r="E30" s="1" t="s">
        <v>8</v>
      </c>
      <c r="F30" s="1">
        <v>1912</v>
      </c>
      <c r="G30" s="14">
        <v>50</v>
      </c>
      <c r="H30" s="1">
        <v>7.0000000000000007E-2</v>
      </c>
      <c r="I30" s="14">
        <v>88908</v>
      </c>
      <c r="J30" s="14">
        <v>53536</v>
      </c>
      <c r="K30" s="15">
        <f>Table5[[#This Row],[Selling Price]]*Table5[[#This Row],[Units Sold]]</f>
        <v>95600</v>
      </c>
      <c r="L30" t="str">
        <f t="shared" si="0"/>
        <v>2023-01</v>
      </c>
      <c r="M30" t="str">
        <f>VLOOKUP(Table5[[#This Row],[Store ID]],Table4[[Store ID]:[Store Location]],2)</f>
        <v>Glasgow</v>
      </c>
      <c r="N30" t="str">
        <f>VLOOKUP(Table5[[#This Row],[Store ID]],Table4[[Store ID]:[Region]],3)</f>
        <v>Scotland</v>
      </c>
      <c r="O30" t="str">
        <f>VLOOKUP(Table5[[#This Row],[Product ID]],'Product Master'!$A$2:$D$10,4)</f>
        <v>Supplier B</v>
      </c>
      <c r="P30" s="15">
        <f>Table5[[#This Row],[Total Revenue]]-Table5[[#This Row],[Net Sales Revenue]]</f>
        <v>6692</v>
      </c>
      <c r="Q30" s="15">
        <f>Table5[[#This Row],[Net Sales Revenue]]/Table5[[#This Row],[Units Sold]]</f>
        <v>46.5</v>
      </c>
      <c r="R30">
        <f>VLOOKUP(Table5[[#This Row],[Product ID]],'Product Master'!$A$1:$E$10,5,FALSE)</f>
        <v>28</v>
      </c>
      <c r="S30" s="15">
        <f>Table5[[#This Row],[standard product cost per unit]]*Table5[[#This Row],[Units Sold]]</f>
        <v>53536</v>
      </c>
      <c r="T30" s="15">
        <f>Table5[[#This Row],[Cost of Sales]]-Table5[[#This Row],[Standard cost]]</f>
        <v>0</v>
      </c>
      <c r="U30" s="15">
        <f>Table5[[#This Row],[Net Sales Revenue]]-Table5[[#This Row],[Cost of Sales]]</f>
        <v>35372</v>
      </c>
      <c r="V30" s="17">
        <f>Table5[[#This Row],[GrossProfit]]/Table5[[#This Row],[Net Sales Revenue]]</f>
        <v>0.39784946236559138</v>
      </c>
    </row>
    <row r="31" spans="1:22" ht="14.25" customHeight="1" x14ac:dyDescent="0.25">
      <c r="A31" s="1" t="s">
        <v>97</v>
      </c>
      <c r="B31" s="1" t="s">
        <v>68</v>
      </c>
      <c r="C31" s="1" t="s">
        <v>52</v>
      </c>
      <c r="D31" s="1" t="s">
        <v>13</v>
      </c>
      <c r="E31" s="1" t="s">
        <v>15</v>
      </c>
      <c r="F31" s="1">
        <v>1828</v>
      </c>
      <c r="G31" s="14">
        <v>28</v>
      </c>
      <c r="H31" s="1">
        <v>0.1</v>
      </c>
      <c r="I31" s="14">
        <v>46065.599999999999</v>
      </c>
      <c r="J31" s="14">
        <v>27420</v>
      </c>
      <c r="K31" s="15">
        <f>Table5[[#This Row],[Selling Price]]*Table5[[#This Row],[Units Sold]]</f>
        <v>51184</v>
      </c>
      <c r="L31" t="str">
        <f t="shared" si="0"/>
        <v>2023-01</v>
      </c>
      <c r="M31" t="str">
        <f>VLOOKUP(Table5[[#This Row],[Store ID]],Table4[[Store ID]:[Store Location]],2)</f>
        <v>Glasgow</v>
      </c>
      <c r="N31" t="str">
        <f>VLOOKUP(Table5[[#This Row],[Store ID]],Table4[[Store ID]:[Region]],3)</f>
        <v>Scotland</v>
      </c>
      <c r="O31" t="str">
        <f>VLOOKUP(Table5[[#This Row],[Product ID]],'Product Master'!$A$2:$D$10,4)</f>
        <v>Supplier C</v>
      </c>
      <c r="P31" s="15">
        <f>Table5[[#This Row],[Total Revenue]]-Table5[[#This Row],[Net Sales Revenue]]</f>
        <v>5118.4000000000015</v>
      </c>
      <c r="Q31" s="15">
        <f>Table5[[#This Row],[Net Sales Revenue]]/Table5[[#This Row],[Units Sold]]</f>
        <v>25.2</v>
      </c>
      <c r="R31">
        <f>VLOOKUP(Table5[[#This Row],[Product ID]],'Product Master'!$A$1:$E$10,5,FALSE)</f>
        <v>15</v>
      </c>
      <c r="S31" s="15">
        <f>Table5[[#This Row],[standard product cost per unit]]*Table5[[#This Row],[Units Sold]]</f>
        <v>27420</v>
      </c>
      <c r="T31" s="15">
        <f>Table5[[#This Row],[Cost of Sales]]-Table5[[#This Row],[Standard cost]]</f>
        <v>0</v>
      </c>
      <c r="U31" s="15">
        <f>Table5[[#This Row],[Net Sales Revenue]]-Table5[[#This Row],[Cost of Sales]]</f>
        <v>18645.599999999999</v>
      </c>
      <c r="V31" s="17">
        <f>Table5[[#This Row],[GrossProfit]]/Table5[[#This Row],[Net Sales Revenue]]</f>
        <v>0.40476190476190477</v>
      </c>
    </row>
    <row r="32" spans="1:22" ht="14.25" customHeight="1" x14ac:dyDescent="0.25">
      <c r="A32" s="1" t="s">
        <v>98</v>
      </c>
      <c r="B32" s="1" t="s">
        <v>68</v>
      </c>
      <c r="C32" s="1" t="s">
        <v>52</v>
      </c>
      <c r="D32" s="1" t="s">
        <v>17</v>
      </c>
      <c r="E32" s="1" t="s">
        <v>15</v>
      </c>
      <c r="F32" s="1">
        <v>2220</v>
      </c>
      <c r="G32" s="14">
        <v>35</v>
      </c>
      <c r="H32" s="1">
        <v>0.05</v>
      </c>
      <c r="I32" s="14">
        <v>73815</v>
      </c>
      <c r="J32" s="14">
        <v>39960</v>
      </c>
      <c r="K32" s="15">
        <f>Table5[[#This Row],[Selling Price]]*Table5[[#This Row],[Units Sold]]</f>
        <v>77700</v>
      </c>
      <c r="L32" t="str">
        <f t="shared" si="0"/>
        <v>2023-01</v>
      </c>
      <c r="M32" t="str">
        <f>VLOOKUP(Table5[[#This Row],[Store ID]],Table4[[Store ID]:[Store Location]],2)</f>
        <v>Glasgow</v>
      </c>
      <c r="N32" t="str">
        <f>VLOOKUP(Table5[[#This Row],[Store ID]],Table4[[Store ID]:[Region]],3)</f>
        <v>Scotland</v>
      </c>
      <c r="O32" t="str">
        <f>VLOOKUP(Table5[[#This Row],[Product ID]],'Product Master'!$A$2:$D$10,4)</f>
        <v>Supplier C</v>
      </c>
      <c r="P32" s="15">
        <f>Table5[[#This Row],[Total Revenue]]-Table5[[#This Row],[Net Sales Revenue]]</f>
        <v>3885</v>
      </c>
      <c r="Q32" s="15">
        <f>Table5[[#This Row],[Net Sales Revenue]]/Table5[[#This Row],[Units Sold]]</f>
        <v>33.25</v>
      </c>
      <c r="R32">
        <f>VLOOKUP(Table5[[#This Row],[Product ID]],'Product Master'!$A$1:$E$10,5,FALSE)</f>
        <v>18</v>
      </c>
      <c r="S32" s="15">
        <f>Table5[[#This Row],[standard product cost per unit]]*Table5[[#This Row],[Units Sold]]</f>
        <v>39960</v>
      </c>
      <c r="T32" s="15">
        <f>Table5[[#This Row],[Cost of Sales]]-Table5[[#This Row],[Standard cost]]</f>
        <v>0</v>
      </c>
      <c r="U32" s="15">
        <f>Table5[[#This Row],[Net Sales Revenue]]-Table5[[#This Row],[Cost of Sales]]</f>
        <v>33855</v>
      </c>
      <c r="V32" s="17">
        <f>Table5[[#This Row],[GrossProfit]]/Table5[[#This Row],[Net Sales Revenue]]</f>
        <v>0.45864661654135336</v>
      </c>
    </row>
    <row r="33" spans="1:22" ht="14.25" customHeight="1" x14ac:dyDescent="0.25">
      <c r="A33" s="1" t="s">
        <v>99</v>
      </c>
      <c r="B33" s="1" t="s">
        <v>68</v>
      </c>
      <c r="C33" s="1" t="s">
        <v>52</v>
      </c>
      <c r="D33" s="1" t="s">
        <v>19</v>
      </c>
      <c r="E33" s="1" t="s">
        <v>21</v>
      </c>
      <c r="F33" s="1">
        <v>2192</v>
      </c>
      <c r="G33" s="14">
        <v>18</v>
      </c>
      <c r="H33" s="1">
        <v>0.08</v>
      </c>
      <c r="I33" s="14">
        <v>36299.519999999997</v>
      </c>
      <c r="J33" s="14">
        <v>19728</v>
      </c>
      <c r="K33" s="15">
        <f>Table5[[#This Row],[Selling Price]]*Table5[[#This Row],[Units Sold]]</f>
        <v>39456</v>
      </c>
      <c r="L33" t="str">
        <f t="shared" si="0"/>
        <v>2023-01</v>
      </c>
      <c r="M33" t="str">
        <f>VLOOKUP(Table5[[#This Row],[Store ID]],Table4[[Store ID]:[Store Location]],2)</f>
        <v>Glasgow</v>
      </c>
      <c r="N33" t="str">
        <f>VLOOKUP(Table5[[#This Row],[Store ID]],Table4[[Store ID]:[Region]],3)</f>
        <v>Scotland</v>
      </c>
      <c r="O33" t="str">
        <f>VLOOKUP(Table5[[#This Row],[Product ID]],'Product Master'!$A$2:$D$10,4)</f>
        <v>Supplier D</v>
      </c>
      <c r="P33" s="15">
        <f>Table5[[#This Row],[Total Revenue]]-Table5[[#This Row],[Net Sales Revenue]]</f>
        <v>3156.4800000000032</v>
      </c>
      <c r="Q33" s="15">
        <f>Table5[[#This Row],[Net Sales Revenue]]/Table5[[#This Row],[Units Sold]]</f>
        <v>16.559999999999999</v>
      </c>
      <c r="R33">
        <f>VLOOKUP(Table5[[#This Row],[Product ID]],'Product Master'!$A$1:$E$10,5,FALSE)</f>
        <v>9</v>
      </c>
      <c r="S33" s="15">
        <f>Table5[[#This Row],[standard product cost per unit]]*Table5[[#This Row],[Units Sold]]</f>
        <v>19728</v>
      </c>
      <c r="T33" s="15">
        <f>Table5[[#This Row],[Cost of Sales]]-Table5[[#This Row],[Standard cost]]</f>
        <v>0</v>
      </c>
      <c r="U33" s="15">
        <f>Table5[[#This Row],[Net Sales Revenue]]-Table5[[#This Row],[Cost of Sales]]</f>
        <v>16571.519999999997</v>
      </c>
      <c r="V33" s="17">
        <f>Table5[[#This Row],[GrossProfit]]/Table5[[#This Row],[Net Sales Revenue]]</f>
        <v>0.45652173913043476</v>
      </c>
    </row>
    <row r="34" spans="1:22" ht="14.25" customHeight="1" x14ac:dyDescent="0.25">
      <c r="A34" s="1" t="s">
        <v>100</v>
      </c>
      <c r="B34" s="1" t="s">
        <v>68</v>
      </c>
      <c r="C34" s="1" t="s">
        <v>52</v>
      </c>
      <c r="D34" s="1" t="s">
        <v>23</v>
      </c>
      <c r="E34" s="1" t="s">
        <v>21</v>
      </c>
      <c r="F34" s="1">
        <v>1204</v>
      </c>
      <c r="G34" s="14">
        <v>30</v>
      </c>
      <c r="H34" s="1">
        <v>0.09</v>
      </c>
      <c r="I34" s="14">
        <v>32869.199999999997</v>
      </c>
      <c r="J34" s="14">
        <v>16856</v>
      </c>
      <c r="K34" s="15">
        <f>Table5[[#This Row],[Selling Price]]*Table5[[#This Row],[Units Sold]]</f>
        <v>36120</v>
      </c>
      <c r="L34" t="str">
        <f t="shared" si="0"/>
        <v>2023-01</v>
      </c>
      <c r="M34" t="str">
        <f>VLOOKUP(Table5[[#This Row],[Store ID]],Table4[[Store ID]:[Store Location]],2)</f>
        <v>Glasgow</v>
      </c>
      <c r="N34" t="str">
        <f>VLOOKUP(Table5[[#This Row],[Store ID]],Table4[[Store ID]:[Region]],3)</f>
        <v>Scotland</v>
      </c>
      <c r="O34" t="str">
        <f>VLOOKUP(Table5[[#This Row],[Product ID]],'Product Master'!$A$2:$D$10,4)</f>
        <v>Supplier D</v>
      </c>
      <c r="P34" s="15">
        <f>Table5[[#This Row],[Total Revenue]]-Table5[[#This Row],[Net Sales Revenue]]</f>
        <v>3250.8000000000029</v>
      </c>
      <c r="Q34" s="15">
        <f>Table5[[#This Row],[Net Sales Revenue]]/Table5[[#This Row],[Units Sold]]</f>
        <v>27.299999999999997</v>
      </c>
      <c r="R34">
        <f>VLOOKUP(Table5[[#This Row],[Product ID]],'Product Master'!$A$1:$E$10,5,FALSE)</f>
        <v>14</v>
      </c>
      <c r="S34" s="15">
        <f>Table5[[#This Row],[standard product cost per unit]]*Table5[[#This Row],[Units Sold]]</f>
        <v>16856</v>
      </c>
      <c r="T34" s="15">
        <f>Table5[[#This Row],[Cost of Sales]]-Table5[[#This Row],[Standard cost]]</f>
        <v>0</v>
      </c>
      <c r="U34" s="15">
        <f>Table5[[#This Row],[Net Sales Revenue]]-Table5[[#This Row],[Cost of Sales]]</f>
        <v>16013.199999999997</v>
      </c>
      <c r="V34" s="17">
        <f>Table5[[#This Row],[GrossProfit]]/Table5[[#This Row],[Net Sales Revenue]]</f>
        <v>0.48717948717948711</v>
      </c>
    </row>
    <row r="35" spans="1:22" ht="14.25" customHeight="1" x14ac:dyDescent="0.25">
      <c r="A35" s="1" t="s">
        <v>101</v>
      </c>
      <c r="B35" s="1" t="s">
        <v>68</v>
      </c>
      <c r="C35" s="1" t="s">
        <v>52</v>
      </c>
      <c r="D35" s="1" t="s">
        <v>25</v>
      </c>
      <c r="E35" s="1" t="s">
        <v>27</v>
      </c>
      <c r="F35" s="1">
        <v>1732</v>
      </c>
      <c r="G35" s="14">
        <v>40</v>
      </c>
      <c r="H35" s="1">
        <v>7.0000000000000007E-2</v>
      </c>
      <c r="I35" s="14">
        <v>64430.400000000001</v>
      </c>
      <c r="J35" s="14">
        <v>34640</v>
      </c>
      <c r="K35" s="15">
        <f>Table5[[#This Row],[Selling Price]]*Table5[[#This Row],[Units Sold]]</f>
        <v>69280</v>
      </c>
      <c r="L35" t="str">
        <f t="shared" si="0"/>
        <v>2023-01</v>
      </c>
      <c r="M35" t="str">
        <f>VLOOKUP(Table5[[#This Row],[Store ID]],Table4[[Store ID]:[Store Location]],2)</f>
        <v>Glasgow</v>
      </c>
      <c r="N35" t="str">
        <f>VLOOKUP(Table5[[#This Row],[Store ID]],Table4[[Store ID]:[Region]],3)</f>
        <v>Scotland</v>
      </c>
      <c r="O35" t="str">
        <f>VLOOKUP(Table5[[#This Row],[Product ID]],'Product Master'!$A$2:$D$10,4)</f>
        <v>Supplier E</v>
      </c>
      <c r="P35" s="15">
        <f>Table5[[#This Row],[Total Revenue]]-Table5[[#This Row],[Net Sales Revenue]]</f>
        <v>4849.5999999999985</v>
      </c>
      <c r="Q35" s="15">
        <f>Table5[[#This Row],[Net Sales Revenue]]/Table5[[#This Row],[Units Sold]]</f>
        <v>37.200000000000003</v>
      </c>
      <c r="R35">
        <f>VLOOKUP(Table5[[#This Row],[Product ID]],'Product Master'!$A$1:$E$10,5,FALSE)</f>
        <v>20</v>
      </c>
      <c r="S35" s="15">
        <f>Table5[[#This Row],[standard product cost per unit]]*Table5[[#This Row],[Units Sold]]</f>
        <v>34640</v>
      </c>
      <c r="T35" s="15">
        <f>Table5[[#This Row],[Cost of Sales]]-Table5[[#This Row],[Standard cost]]</f>
        <v>0</v>
      </c>
      <c r="U35" s="15">
        <f>Table5[[#This Row],[Net Sales Revenue]]-Table5[[#This Row],[Cost of Sales]]</f>
        <v>29790.400000000001</v>
      </c>
      <c r="V35" s="17">
        <f>Table5[[#This Row],[GrossProfit]]/Table5[[#This Row],[Net Sales Revenue]]</f>
        <v>0.4623655913978495</v>
      </c>
    </row>
    <row r="36" spans="1:22" ht="14.25" customHeight="1" x14ac:dyDescent="0.25">
      <c r="A36" s="1" t="s">
        <v>102</v>
      </c>
      <c r="B36" s="1" t="s">
        <v>68</v>
      </c>
      <c r="C36" s="1" t="s">
        <v>52</v>
      </c>
      <c r="D36" s="1" t="s">
        <v>29</v>
      </c>
      <c r="E36" s="1" t="s">
        <v>31</v>
      </c>
      <c r="F36" s="1">
        <v>2436</v>
      </c>
      <c r="G36" s="14">
        <v>10</v>
      </c>
      <c r="H36" s="1">
        <v>0.1</v>
      </c>
      <c r="I36" s="14">
        <v>21924</v>
      </c>
      <c r="J36" s="14">
        <v>9744</v>
      </c>
      <c r="K36" s="15">
        <f>Table5[[#This Row],[Selling Price]]*Table5[[#This Row],[Units Sold]]</f>
        <v>24360</v>
      </c>
      <c r="L36" t="str">
        <f t="shared" si="0"/>
        <v>2023-01</v>
      </c>
      <c r="M36" t="str">
        <f>VLOOKUP(Table5[[#This Row],[Store ID]],Table4[[Store ID]:[Store Location]],2)</f>
        <v>Glasgow</v>
      </c>
      <c r="N36" t="str">
        <f>VLOOKUP(Table5[[#This Row],[Store ID]],Table4[[Store ID]:[Region]],3)</f>
        <v>Scotland</v>
      </c>
      <c r="O36" t="str">
        <f>VLOOKUP(Table5[[#This Row],[Product ID]],'Product Master'!$A$2:$D$10,4)</f>
        <v>Supplier F</v>
      </c>
      <c r="P36" s="15">
        <f>Table5[[#This Row],[Total Revenue]]-Table5[[#This Row],[Net Sales Revenue]]</f>
        <v>2436</v>
      </c>
      <c r="Q36" s="15">
        <f>Table5[[#This Row],[Net Sales Revenue]]/Table5[[#This Row],[Units Sold]]</f>
        <v>9</v>
      </c>
      <c r="R36">
        <f>VLOOKUP(Table5[[#This Row],[Product ID]],'Product Master'!$A$1:$E$10,5,FALSE)</f>
        <v>4</v>
      </c>
      <c r="S36" s="15">
        <f>Table5[[#This Row],[standard product cost per unit]]*Table5[[#This Row],[Units Sold]]</f>
        <v>9744</v>
      </c>
      <c r="T36" s="15">
        <f>Table5[[#This Row],[Cost of Sales]]-Table5[[#This Row],[Standard cost]]</f>
        <v>0</v>
      </c>
      <c r="U36" s="15">
        <f>Table5[[#This Row],[Net Sales Revenue]]-Table5[[#This Row],[Cost of Sales]]</f>
        <v>12180</v>
      </c>
      <c r="V36" s="17">
        <f>Table5[[#This Row],[GrossProfit]]/Table5[[#This Row],[Net Sales Revenue]]</f>
        <v>0.55555555555555558</v>
      </c>
    </row>
    <row r="37" spans="1:22" ht="14.25" customHeight="1" x14ac:dyDescent="0.25">
      <c r="A37" s="1" t="s">
        <v>103</v>
      </c>
      <c r="B37" s="1" t="s">
        <v>68</v>
      </c>
      <c r="C37" s="1" t="s">
        <v>52</v>
      </c>
      <c r="D37" s="1" t="s">
        <v>33</v>
      </c>
      <c r="E37" s="1" t="s">
        <v>31</v>
      </c>
      <c r="F37" s="1">
        <v>2108</v>
      </c>
      <c r="G37" s="14">
        <v>22</v>
      </c>
      <c r="H37" s="1">
        <v>0.06</v>
      </c>
      <c r="I37" s="14">
        <v>43593.440000000002</v>
      </c>
      <c r="J37" s="14">
        <v>21080</v>
      </c>
      <c r="K37" s="15">
        <f>Table5[[#This Row],[Selling Price]]*Table5[[#This Row],[Units Sold]]</f>
        <v>46376</v>
      </c>
      <c r="L37" t="str">
        <f t="shared" si="0"/>
        <v>2023-01</v>
      </c>
      <c r="M37" t="str">
        <f>VLOOKUP(Table5[[#This Row],[Store ID]],Table4[[Store ID]:[Store Location]],2)</f>
        <v>Glasgow</v>
      </c>
      <c r="N37" t="str">
        <f>VLOOKUP(Table5[[#This Row],[Store ID]],Table4[[Store ID]:[Region]],3)</f>
        <v>Scotland</v>
      </c>
      <c r="O37" t="str">
        <f>VLOOKUP(Table5[[#This Row],[Product ID]],'Product Master'!$A$2:$D$10,4)</f>
        <v>Supplier F</v>
      </c>
      <c r="P37" s="15">
        <f>Table5[[#This Row],[Total Revenue]]-Table5[[#This Row],[Net Sales Revenue]]</f>
        <v>2782.5599999999977</v>
      </c>
      <c r="Q37" s="15">
        <f>Table5[[#This Row],[Net Sales Revenue]]/Table5[[#This Row],[Units Sold]]</f>
        <v>20.68</v>
      </c>
      <c r="R37">
        <f>VLOOKUP(Table5[[#This Row],[Product ID]],'Product Master'!$A$1:$E$10,5,FALSE)</f>
        <v>10</v>
      </c>
      <c r="S37" s="15">
        <f>Table5[[#This Row],[standard product cost per unit]]*Table5[[#This Row],[Units Sold]]</f>
        <v>21080</v>
      </c>
      <c r="T37" s="15">
        <f>Table5[[#This Row],[Cost of Sales]]-Table5[[#This Row],[Standard cost]]</f>
        <v>0</v>
      </c>
      <c r="U37" s="15">
        <f>Table5[[#This Row],[Net Sales Revenue]]-Table5[[#This Row],[Cost of Sales]]</f>
        <v>22513.440000000002</v>
      </c>
      <c r="V37" s="17">
        <f>Table5[[#This Row],[GrossProfit]]/Table5[[#This Row],[Net Sales Revenue]]</f>
        <v>0.51644100580270791</v>
      </c>
    </row>
    <row r="38" spans="1:22" ht="14.25" customHeight="1" x14ac:dyDescent="0.25">
      <c r="A38" s="1" t="s">
        <v>104</v>
      </c>
      <c r="B38" s="1" t="s">
        <v>68</v>
      </c>
      <c r="C38" s="1" t="s">
        <v>56</v>
      </c>
      <c r="D38" s="1" t="s">
        <v>6</v>
      </c>
      <c r="E38" s="1" t="s">
        <v>8</v>
      </c>
      <c r="F38" s="1">
        <v>2112</v>
      </c>
      <c r="G38" s="14">
        <v>24</v>
      </c>
      <c r="H38" s="1">
        <v>0.08</v>
      </c>
      <c r="I38" s="14">
        <v>46632.959999999999</v>
      </c>
      <c r="J38" s="14">
        <v>25344</v>
      </c>
      <c r="K38" s="15">
        <f>Table5[[#This Row],[Selling Price]]*Table5[[#This Row],[Units Sold]]</f>
        <v>50688</v>
      </c>
      <c r="L38" t="str">
        <f t="shared" si="0"/>
        <v>2023-01</v>
      </c>
      <c r="M38" t="str">
        <f>VLOOKUP(Table5[[#This Row],[Store ID]],Table4[[Store ID]:[Store Location]],2)</f>
        <v>Leeds</v>
      </c>
      <c r="N38" t="str">
        <f>VLOOKUP(Table5[[#This Row],[Store ID]],Table4[[Store ID]:[Region]],3)</f>
        <v>North</v>
      </c>
      <c r="O38" t="str">
        <f>VLOOKUP(Table5[[#This Row],[Product ID]],'Product Master'!$A$2:$D$10,4)</f>
        <v>Supplier A</v>
      </c>
      <c r="P38" s="15">
        <f>Table5[[#This Row],[Total Revenue]]-Table5[[#This Row],[Net Sales Revenue]]</f>
        <v>4055.0400000000009</v>
      </c>
      <c r="Q38" s="15">
        <f>Table5[[#This Row],[Net Sales Revenue]]/Table5[[#This Row],[Units Sold]]</f>
        <v>22.08</v>
      </c>
      <c r="R38">
        <f>VLOOKUP(Table5[[#This Row],[Product ID]],'Product Master'!$A$1:$E$10,5,FALSE)</f>
        <v>12</v>
      </c>
      <c r="S38" s="15">
        <f>Table5[[#This Row],[standard product cost per unit]]*Table5[[#This Row],[Units Sold]]</f>
        <v>25344</v>
      </c>
      <c r="T38" s="15">
        <f>Table5[[#This Row],[Cost of Sales]]-Table5[[#This Row],[Standard cost]]</f>
        <v>0</v>
      </c>
      <c r="U38" s="15">
        <f>Table5[[#This Row],[Net Sales Revenue]]-Table5[[#This Row],[Cost of Sales]]</f>
        <v>21288.959999999999</v>
      </c>
      <c r="V38" s="17">
        <f>Table5[[#This Row],[GrossProfit]]/Table5[[#This Row],[Net Sales Revenue]]</f>
        <v>0.45652173913043476</v>
      </c>
    </row>
    <row r="39" spans="1:22" ht="14.25" customHeight="1" x14ac:dyDescent="0.25">
      <c r="A39" s="1" t="s">
        <v>105</v>
      </c>
      <c r="B39" s="1" t="s">
        <v>68</v>
      </c>
      <c r="C39" s="1" t="s">
        <v>56</v>
      </c>
      <c r="D39" s="1" t="s">
        <v>10</v>
      </c>
      <c r="E39" s="1" t="s">
        <v>8</v>
      </c>
      <c r="F39" s="1">
        <v>1648</v>
      </c>
      <c r="G39" s="14">
        <v>50</v>
      </c>
      <c r="H39" s="1">
        <v>0.08</v>
      </c>
      <c r="I39" s="14">
        <v>75808</v>
      </c>
      <c r="J39" s="14">
        <v>46144</v>
      </c>
      <c r="K39" s="15">
        <f>Table5[[#This Row],[Selling Price]]*Table5[[#This Row],[Units Sold]]</f>
        <v>82400</v>
      </c>
      <c r="L39" t="str">
        <f t="shared" si="0"/>
        <v>2023-01</v>
      </c>
      <c r="M39" t="str">
        <f>VLOOKUP(Table5[[#This Row],[Store ID]],Table4[[Store ID]:[Store Location]],2)</f>
        <v>Leeds</v>
      </c>
      <c r="N39" t="str">
        <f>VLOOKUP(Table5[[#This Row],[Store ID]],Table4[[Store ID]:[Region]],3)</f>
        <v>North</v>
      </c>
      <c r="O39" t="str">
        <f>VLOOKUP(Table5[[#This Row],[Product ID]],'Product Master'!$A$2:$D$10,4)</f>
        <v>Supplier B</v>
      </c>
      <c r="P39" s="15">
        <f>Table5[[#This Row],[Total Revenue]]-Table5[[#This Row],[Net Sales Revenue]]</f>
        <v>6592</v>
      </c>
      <c r="Q39" s="15">
        <f>Table5[[#This Row],[Net Sales Revenue]]/Table5[[#This Row],[Units Sold]]</f>
        <v>46</v>
      </c>
      <c r="R39">
        <f>VLOOKUP(Table5[[#This Row],[Product ID]],'Product Master'!$A$1:$E$10,5,FALSE)</f>
        <v>28</v>
      </c>
      <c r="S39" s="15">
        <f>Table5[[#This Row],[standard product cost per unit]]*Table5[[#This Row],[Units Sold]]</f>
        <v>46144</v>
      </c>
      <c r="T39" s="15">
        <f>Table5[[#This Row],[Cost of Sales]]-Table5[[#This Row],[Standard cost]]</f>
        <v>0</v>
      </c>
      <c r="U39" s="15">
        <f>Table5[[#This Row],[Net Sales Revenue]]-Table5[[#This Row],[Cost of Sales]]</f>
        <v>29664</v>
      </c>
      <c r="V39" s="17">
        <f>Table5[[#This Row],[GrossProfit]]/Table5[[#This Row],[Net Sales Revenue]]</f>
        <v>0.39130434782608697</v>
      </c>
    </row>
    <row r="40" spans="1:22" ht="14.25" customHeight="1" x14ac:dyDescent="0.25">
      <c r="A40" s="1" t="s">
        <v>106</v>
      </c>
      <c r="B40" s="1" t="s">
        <v>68</v>
      </c>
      <c r="C40" s="1" t="s">
        <v>56</v>
      </c>
      <c r="D40" s="1" t="s">
        <v>13</v>
      </c>
      <c r="E40" s="1" t="s">
        <v>15</v>
      </c>
      <c r="F40" s="1">
        <v>1268</v>
      </c>
      <c r="G40" s="14">
        <v>28</v>
      </c>
      <c r="H40" s="1">
        <v>0.09</v>
      </c>
      <c r="I40" s="14">
        <v>32308.639999999999</v>
      </c>
      <c r="J40" s="14">
        <v>19020</v>
      </c>
      <c r="K40" s="15">
        <f>Table5[[#This Row],[Selling Price]]*Table5[[#This Row],[Units Sold]]</f>
        <v>35504</v>
      </c>
      <c r="L40" t="str">
        <f t="shared" si="0"/>
        <v>2023-01</v>
      </c>
      <c r="M40" t="str">
        <f>VLOOKUP(Table5[[#This Row],[Store ID]],Table4[[Store ID]:[Store Location]],2)</f>
        <v>Leeds</v>
      </c>
      <c r="N40" t="str">
        <f>VLOOKUP(Table5[[#This Row],[Store ID]],Table4[[Store ID]:[Region]],3)</f>
        <v>North</v>
      </c>
      <c r="O40" t="str">
        <f>VLOOKUP(Table5[[#This Row],[Product ID]],'Product Master'!$A$2:$D$10,4)</f>
        <v>Supplier C</v>
      </c>
      <c r="P40" s="15">
        <f>Table5[[#This Row],[Total Revenue]]-Table5[[#This Row],[Net Sales Revenue]]</f>
        <v>3195.3600000000006</v>
      </c>
      <c r="Q40" s="15">
        <f>Table5[[#This Row],[Net Sales Revenue]]/Table5[[#This Row],[Units Sold]]</f>
        <v>25.48</v>
      </c>
      <c r="R40">
        <f>VLOOKUP(Table5[[#This Row],[Product ID]],'Product Master'!$A$1:$E$10,5,FALSE)</f>
        <v>15</v>
      </c>
      <c r="S40" s="15">
        <f>Table5[[#This Row],[standard product cost per unit]]*Table5[[#This Row],[Units Sold]]</f>
        <v>19020</v>
      </c>
      <c r="T40" s="15">
        <f>Table5[[#This Row],[Cost of Sales]]-Table5[[#This Row],[Standard cost]]</f>
        <v>0</v>
      </c>
      <c r="U40" s="15">
        <f>Table5[[#This Row],[Net Sales Revenue]]-Table5[[#This Row],[Cost of Sales]]</f>
        <v>13288.64</v>
      </c>
      <c r="V40" s="17">
        <f>Table5[[#This Row],[GrossProfit]]/Table5[[#This Row],[Net Sales Revenue]]</f>
        <v>0.41130298273155413</v>
      </c>
    </row>
    <row r="41" spans="1:22" ht="14.25" customHeight="1" x14ac:dyDescent="0.25">
      <c r="A41" s="1" t="s">
        <v>107</v>
      </c>
      <c r="B41" s="1" t="s">
        <v>68</v>
      </c>
      <c r="C41" s="1" t="s">
        <v>56</v>
      </c>
      <c r="D41" s="1" t="s">
        <v>17</v>
      </c>
      <c r="E41" s="1" t="s">
        <v>15</v>
      </c>
      <c r="F41" s="1">
        <v>1812</v>
      </c>
      <c r="G41" s="14">
        <v>35</v>
      </c>
      <c r="H41" s="1">
        <v>0.09</v>
      </c>
      <c r="I41" s="14">
        <v>57712.2</v>
      </c>
      <c r="J41" s="14">
        <v>32616</v>
      </c>
      <c r="K41" s="15">
        <f>Table5[[#This Row],[Selling Price]]*Table5[[#This Row],[Units Sold]]</f>
        <v>63420</v>
      </c>
      <c r="L41" t="str">
        <f t="shared" si="0"/>
        <v>2023-01</v>
      </c>
      <c r="M41" t="str">
        <f>VLOOKUP(Table5[[#This Row],[Store ID]],Table4[[Store ID]:[Store Location]],2)</f>
        <v>Leeds</v>
      </c>
      <c r="N41" t="str">
        <f>VLOOKUP(Table5[[#This Row],[Store ID]],Table4[[Store ID]:[Region]],3)</f>
        <v>North</v>
      </c>
      <c r="O41" t="str">
        <f>VLOOKUP(Table5[[#This Row],[Product ID]],'Product Master'!$A$2:$D$10,4)</f>
        <v>Supplier C</v>
      </c>
      <c r="P41" s="15">
        <f>Table5[[#This Row],[Total Revenue]]-Table5[[#This Row],[Net Sales Revenue]]</f>
        <v>5707.8000000000029</v>
      </c>
      <c r="Q41" s="15">
        <f>Table5[[#This Row],[Net Sales Revenue]]/Table5[[#This Row],[Units Sold]]</f>
        <v>31.849999999999998</v>
      </c>
      <c r="R41">
        <f>VLOOKUP(Table5[[#This Row],[Product ID]],'Product Master'!$A$1:$E$10,5,FALSE)</f>
        <v>18</v>
      </c>
      <c r="S41" s="15">
        <f>Table5[[#This Row],[standard product cost per unit]]*Table5[[#This Row],[Units Sold]]</f>
        <v>32616</v>
      </c>
      <c r="T41" s="15">
        <f>Table5[[#This Row],[Cost of Sales]]-Table5[[#This Row],[Standard cost]]</f>
        <v>0</v>
      </c>
      <c r="U41" s="15">
        <f>Table5[[#This Row],[Net Sales Revenue]]-Table5[[#This Row],[Cost of Sales]]</f>
        <v>25096.199999999997</v>
      </c>
      <c r="V41" s="17">
        <f>Table5[[#This Row],[GrossProfit]]/Table5[[#This Row],[Net Sales Revenue]]</f>
        <v>0.43485086342229196</v>
      </c>
    </row>
    <row r="42" spans="1:22" ht="14.25" customHeight="1" x14ac:dyDescent="0.25">
      <c r="A42" s="1" t="s">
        <v>108</v>
      </c>
      <c r="B42" s="1" t="s">
        <v>68</v>
      </c>
      <c r="C42" s="1" t="s">
        <v>56</v>
      </c>
      <c r="D42" s="1" t="s">
        <v>19</v>
      </c>
      <c r="E42" s="1" t="s">
        <v>21</v>
      </c>
      <c r="F42" s="1">
        <v>2200</v>
      </c>
      <c r="G42" s="14">
        <v>18</v>
      </c>
      <c r="H42" s="1">
        <v>0.05</v>
      </c>
      <c r="I42" s="14">
        <v>37620</v>
      </c>
      <c r="J42" s="14">
        <v>19800</v>
      </c>
      <c r="K42" s="15">
        <f>Table5[[#This Row],[Selling Price]]*Table5[[#This Row],[Units Sold]]</f>
        <v>39600</v>
      </c>
      <c r="L42" t="str">
        <f t="shared" si="0"/>
        <v>2023-01</v>
      </c>
      <c r="M42" t="str">
        <f>VLOOKUP(Table5[[#This Row],[Store ID]],Table4[[Store ID]:[Store Location]],2)</f>
        <v>Leeds</v>
      </c>
      <c r="N42" t="str">
        <f>VLOOKUP(Table5[[#This Row],[Store ID]],Table4[[Store ID]:[Region]],3)</f>
        <v>North</v>
      </c>
      <c r="O42" t="str">
        <f>VLOOKUP(Table5[[#This Row],[Product ID]],'Product Master'!$A$2:$D$10,4)</f>
        <v>Supplier D</v>
      </c>
      <c r="P42" s="15">
        <f>Table5[[#This Row],[Total Revenue]]-Table5[[#This Row],[Net Sales Revenue]]</f>
        <v>1980</v>
      </c>
      <c r="Q42" s="15">
        <f>Table5[[#This Row],[Net Sales Revenue]]/Table5[[#This Row],[Units Sold]]</f>
        <v>17.100000000000001</v>
      </c>
      <c r="R42">
        <f>VLOOKUP(Table5[[#This Row],[Product ID]],'Product Master'!$A$1:$E$10,5,FALSE)</f>
        <v>9</v>
      </c>
      <c r="S42" s="15">
        <f>Table5[[#This Row],[standard product cost per unit]]*Table5[[#This Row],[Units Sold]]</f>
        <v>19800</v>
      </c>
      <c r="T42" s="15">
        <f>Table5[[#This Row],[Cost of Sales]]-Table5[[#This Row],[Standard cost]]</f>
        <v>0</v>
      </c>
      <c r="U42" s="15">
        <f>Table5[[#This Row],[Net Sales Revenue]]-Table5[[#This Row],[Cost of Sales]]</f>
        <v>17820</v>
      </c>
      <c r="V42" s="17">
        <f>Table5[[#This Row],[GrossProfit]]/Table5[[#This Row],[Net Sales Revenue]]</f>
        <v>0.47368421052631576</v>
      </c>
    </row>
    <row r="43" spans="1:22" ht="14.25" customHeight="1" x14ac:dyDescent="0.25">
      <c r="A43" s="1" t="s">
        <v>109</v>
      </c>
      <c r="B43" s="1" t="s">
        <v>68</v>
      </c>
      <c r="C43" s="1" t="s">
        <v>56</v>
      </c>
      <c r="D43" s="1" t="s">
        <v>23</v>
      </c>
      <c r="E43" s="1" t="s">
        <v>21</v>
      </c>
      <c r="F43" s="1">
        <v>1620</v>
      </c>
      <c r="G43" s="14">
        <v>30</v>
      </c>
      <c r="H43" s="1">
        <v>0.09</v>
      </c>
      <c r="I43" s="14">
        <v>44226</v>
      </c>
      <c r="J43" s="14">
        <v>22680</v>
      </c>
      <c r="K43" s="15">
        <f>Table5[[#This Row],[Selling Price]]*Table5[[#This Row],[Units Sold]]</f>
        <v>48600</v>
      </c>
      <c r="L43" t="str">
        <f t="shared" si="0"/>
        <v>2023-01</v>
      </c>
      <c r="M43" t="str">
        <f>VLOOKUP(Table5[[#This Row],[Store ID]],Table4[[Store ID]:[Store Location]],2)</f>
        <v>Leeds</v>
      </c>
      <c r="N43" t="str">
        <f>VLOOKUP(Table5[[#This Row],[Store ID]],Table4[[Store ID]:[Region]],3)</f>
        <v>North</v>
      </c>
      <c r="O43" t="str">
        <f>VLOOKUP(Table5[[#This Row],[Product ID]],'Product Master'!$A$2:$D$10,4)</f>
        <v>Supplier D</v>
      </c>
      <c r="P43" s="15">
        <f>Table5[[#This Row],[Total Revenue]]-Table5[[#This Row],[Net Sales Revenue]]</f>
        <v>4374</v>
      </c>
      <c r="Q43" s="15">
        <f>Table5[[#This Row],[Net Sales Revenue]]/Table5[[#This Row],[Units Sold]]</f>
        <v>27.3</v>
      </c>
      <c r="R43">
        <f>VLOOKUP(Table5[[#This Row],[Product ID]],'Product Master'!$A$1:$E$10,5,FALSE)</f>
        <v>14</v>
      </c>
      <c r="S43" s="15">
        <f>Table5[[#This Row],[standard product cost per unit]]*Table5[[#This Row],[Units Sold]]</f>
        <v>22680</v>
      </c>
      <c r="T43" s="15">
        <f>Table5[[#This Row],[Cost of Sales]]-Table5[[#This Row],[Standard cost]]</f>
        <v>0</v>
      </c>
      <c r="U43" s="15">
        <f>Table5[[#This Row],[Net Sales Revenue]]-Table5[[#This Row],[Cost of Sales]]</f>
        <v>21546</v>
      </c>
      <c r="V43" s="17">
        <f>Table5[[#This Row],[GrossProfit]]/Table5[[#This Row],[Net Sales Revenue]]</f>
        <v>0.48717948717948717</v>
      </c>
    </row>
    <row r="44" spans="1:22" ht="14.25" customHeight="1" x14ac:dyDescent="0.25">
      <c r="A44" s="1" t="s">
        <v>110</v>
      </c>
      <c r="B44" s="1" t="s">
        <v>68</v>
      </c>
      <c r="C44" s="1" t="s">
        <v>56</v>
      </c>
      <c r="D44" s="1" t="s">
        <v>25</v>
      </c>
      <c r="E44" s="1" t="s">
        <v>27</v>
      </c>
      <c r="F44" s="1">
        <v>2772</v>
      </c>
      <c r="G44" s="14">
        <v>40</v>
      </c>
      <c r="H44" s="1">
        <v>0.05</v>
      </c>
      <c r="I44" s="14">
        <v>105336</v>
      </c>
      <c r="J44" s="14">
        <v>55440</v>
      </c>
      <c r="K44" s="15">
        <f>Table5[[#This Row],[Selling Price]]*Table5[[#This Row],[Units Sold]]</f>
        <v>110880</v>
      </c>
      <c r="L44" t="str">
        <f t="shared" si="0"/>
        <v>2023-01</v>
      </c>
      <c r="M44" t="str">
        <f>VLOOKUP(Table5[[#This Row],[Store ID]],Table4[[Store ID]:[Store Location]],2)</f>
        <v>Leeds</v>
      </c>
      <c r="N44" t="str">
        <f>VLOOKUP(Table5[[#This Row],[Store ID]],Table4[[Store ID]:[Region]],3)</f>
        <v>North</v>
      </c>
      <c r="O44" t="str">
        <f>VLOOKUP(Table5[[#This Row],[Product ID]],'Product Master'!$A$2:$D$10,4)</f>
        <v>Supplier E</v>
      </c>
      <c r="P44" s="15">
        <f>Table5[[#This Row],[Total Revenue]]-Table5[[#This Row],[Net Sales Revenue]]</f>
        <v>5544</v>
      </c>
      <c r="Q44" s="15">
        <f>Table5[[#This Row],[Net Sales Revenue]]/Table5[[#This Row],[Units Sold]]</f>
        <v>38</v>
      </c>
      <c r="R44">
        <f>VLOOKUP(Table5[[#This Row],[Product ID]],'Product Master'!$A$1:$E$10,5,FALSE)</f>
        <v>20</v>
      </c>
      <c r="S44" s="15">
        <f>Table5[[#This Row],[standard product cost per unit]]*Table5[[#This Row],[Units Sold]]</f>
        <v>55440</v>
      </c>
      <c r="T44" s="15">
        <f>Table5[[#This Row],[Cost of Sales]]-Table5[[#This Row],[Standard cost]]</f>
        <v>0</v>
      </c>
      <c r="U44" s="15">
        <f>Table5[[#This Row],[Net Sales Revenue]]-Table5[[#This Row],[Cost of Sales]]</f>
        <v>49896</v>
      </c>
      <c r="V44" s="17">
        <f>Table5[[#This Row],[GrossProfit]]/Table5[[#This Row],[Net Sales Revenue]]</f>
        <v>0.47368421052631576</v>
      </c>
    </row>
    <row r="45" spans="1:22" ht="14.25" customHeight="1" x14ac:dyDescent="0.25">
      <c r="A45" s="1" t="s">
        <v>111</v>
      </c>
      <c r="B45" s="1" t="s">
        <v>68</v>
      </c>
      <c r="C45" s="1" t="s">
        <v>56</v>
      </c>
      <c r="D45" s="1" t="s">
        <v>29</v>
      </c>
      <c r="E45" s="1" t="s">
        <v>31</v>
      </c>
      <c r="F45" s="1">
        <v>2752</v>
      </c>
      <c r="G45" s="14">
        <v>10</v>
      </c>
      <c r="H45" s="1">
        <v>7.0000000000000007E-2</v>
      </c>
      <c r="I45" s="14">
        <v>25593.599999999999</v>
      </c>
      <c r="J45" s="14">
        <v>11008</v>
      </c>
      <c r="K45" s="15">
        <f>Table5[[#This Row],[Selling Price]]*Table5[[#This Row],[Units Sold]]</f>
        <v>27520</v>
      </c>
      <c r="L45" t="str">
        <f t="shared" si="0"/>
        <v>2023-01</v>
      </c>
      <c r="M45" t="str">
        <f>VLOOKUP(Table5[[#This Row],[Store ID]],Table4[[Store ID]:[Store Location]],2)</f>
        <v>Leeds</v>
      </c>
      <c r="N45" t="str">
        <f>VLOOKUP(Table5[[#This Row],[Store ID]],Table4[[Store ID]:[Region]],3)</f>
        <v>North</v>
      </c>
      <c r="O45" t="str">
        <f>VLOOKUP(Table5[[#This Row],[Product ID]],'Product Master'!$A$2:$D$10,4)</f>
        <v>Supplier F</v>
      </c>
      <c r="P45" s="15">
        <f>Table5[[#This Row],[Total Revenue]]-Table5[[#This Row],[Net Sales Revenue]]</f>
        <v>1926.4000000000015</v>
      </c>
      <c r="Q45" s="15">
        <f>Table5[[#This Row],[Net Sales Revenue]]/Table5[[#This Row],[Units Sold]]</f>
        <v>9.2999999999999989</v>
      </c>
      <c r="R45">
        <f>VLOOKUP(Table5[[#This Row],[Product ID]],'Product Master'!$A$1:$E$10,5,FALSE)</f>
        <v>4</v>
      </c>
      <c r="S45" s="15">
        <f>Table5[[#This Row],[standard product cost per unit]]*Table5[[#This Row],[Units Sold]]</f>
        <v>11008</v>
      </c>
      <c r="T45" s="15">
        <f>Table5[[#This Row],[Cost of Sales]]-Table5[[#This Row],[Standard cost]]</f>
        <v>0</v>
      </c>
      <c r="U45" s="15">
        <f>Table5[[#This Row],[Net Sales Revenue]]-Table5[[#This Row],[Cost of Sales]]</f>
        <v>14585.599999999999</v>
      </c>
      <c r="V45" s="17">
        <f>Table5[[#This Row],[GrossProfit]]/Table5[[#This Row],[Net Sales Revenue]]</f>
        <v>0.56989247311827951</v>
      </c>
    </row>
    <row r="46" spans="1:22" ht="14.25" customHeight="1" x14ac:dyDescent="0.25">
      <c r="A46" s="1" t="s">
        <v>112</v>
      </c>
      <c r="B46" s="1" t="s">
        <v>68</v>
      </c>
      <c r="C46" s="1" t="s">
        <v>56</v>
      </c>
      <c r="D46" s="1" t="s">
        <v>33</v>
      </c>
      <c r="E46" s="1" t="s">
        <v>31</v>
      </c>
      <c r="F46" s="1">
        <v>2680</v>
      </c>
      <c r="G46" s="14">
        <v>22</v>
      </c>
      <c r="H46" s="1">
        <v>7.0000000000000007E-2</v>
      </c>
      <c r="I46" s="14">
        <v>54832.800000000003</v>
      </c>
      <c r="J46" s="14">
        <v>26800</v>
      </c>
      <c r="K46" s="15">
        <f>Table5[[#This Row],[Selling Price]]*Table5[[#This Row],[Units Sold]]</f>
        <v>58960</v>
      </c>
      <c r="L46" t="str">
        <f t="shared" si="0"/>
        <v>2023-01</v>
      </c>
      <c r="M46" t="str">
        <f>VLOOKUP(Table5[[#This Row],[Store ID]],Table4[[Store ID]:[Store Location]],2)</f>
        <v>Leeds</v>
      </c>
      <c r="N46" t="str">
        <f>VLOOKUP(Table5[[#This Row],[Store ID]],Table4[[Store ID]:[Region]],3)</f>
        <v>North</v>
      </c>
      <c r="O46" t="str">
        <f>VLOOKUP(Table5[[#This Row],[Product ID]],'Product Master'!$A$2:$D$10,4)</f>
        <v>Supplier F</v>
      </c>
      <c r="P46" s="15">
        <f>Table5[[#This Row],[Total Revenue]]-Table5[[#This Row],[Net Sales Revenue]]</f>
        <v>4127.1999999999971</v>
      </c>
      <c r="Q46" s="15">
        <f>Table5[[#This Row],[Net Sales Revenue]]/Table5[[#This Row],[Units Sold]]</f>
        <v>20.46</v>
      </c>
      <c r="R46">
        <f>VLOOKUP(Table5[[#This Row],[Product ID]],'Product Master'!$A$1:$E$10,5,FALSE)</f>
        <v>10</v>
      </c>
      <c r="S46" s="15">
        <f>Table5[[#This Row],[standard product cost per unit]]*Table5[[#This Row],[Units Sold]]</f>
        <v>26800</v>
      </c>
      <c r="T46" s="15">
        <f>Table5[[#This Row],[Cost of Sales]]-Table5[[#This Row],[Standard cost]]</f>
        <v>0</v>
      </c>
      <c r="U46" s="15">
        <f>Table5[[#This Row],[Net Sales Revenue]]-Table5[[#This Row],[Cost of Sales]]</f>
        <v>28032.800000000003</v>
      </c>
      <c r="V46" s="17">
        <f>Table5[[#This Row],[GrossProfit]]/Table5[[#This Row],[Net Sales Revenue]]</f>
        <v>0.51124144672531768</v>
      </c>
    </row>
    <row r="47" spans="1:22" ht="14.25" customHeight="1" x14ac:dyDescent="0.25">
      <c r="A47" s="1" t="s">
        <v>113</v>
      </c>
      <c r="B47" s="1" t="s">
        <v>114</v>
      </c>
      <c r="C47" s="1" t="s">
        <v>40</v>
      </c>
      <c r="D47" s="1" t="s">
        <v>6</v>
      </c>
      <c r="E47" s="1" t="s">
        <v>8</v>
      </c>
      <c r="F47" s="1">
        <v>2324</v>
      </c>
      <c r="G47" s="14">
        <v>24</v>
      </c>
      <c r="H47" s="1">
        <v>7.0000000000000007E-2</v>
      </c>
      <c r="I47" s="14">
        <v>51871.68</v>
      </c>
      <c r="J47" s="14">
        <v>27888</v>
      </c>
      <c r="K47" s="15">
        <f>Table5[[#This Row],[Selling Price]]*Table5[[#This Row],[Units Sold]]</f>
        <v>55776</v>
      </c>
      <c r="L47" t="str">
        <f t="shared" si="0"/>
        <v>2023-02</v>
      </c>
      <c r="M47" t="str">
        <f>VLOOKUP(Table5[[#This Row],[Store ID]],Table4[[Store ID]:[Store Location]],2)</f>
        <v>Manchester</v>
      </c>
      <c r="N47" t="str">
        <f>VLOOKUP(Table5[[#This Row],[Store ID]],Table4[[Store ID]:[Region]],3)</f>
        <v>North</v>
      </c>
      <c r="O47" t="str">
        <f>VLOOKUP(Table5[[#This Row],[Product ID]],'Product Master'!$A$2:$D$10,4)</f>
        <v>Supplier A</v>
      </c>
      <c r="P47" s="15">
        <f>Table5[[#This Row],[Total Revenue]]-Table5[[#This Row],[Net Sales Revenue]]</f>
        <v>3904.3199999999997</v>
      </c>
      <c r="Q47" s="15">
        <f>Table5[[#This Row],[Net Sales Revenue]]/Table5[[#This Row],[Units Sold]]</f>
        <v>22.32</v>
      </c>
      <c r="R47">
        <f>VLOOKUP(Table5[[#This Row],[Product ID]],'Product Master'!$A$1:$E$10,5,FALSE)</f>
        <v>12</v>
      </c>
      <c r="S47" s="15">
        <f>Table5[[#This Row],[standard product cost per unit]]*Table5[[#This Row],[Units Sold]]</f>
        <v>27888</v>
      </c>
      <c r="T47" s="15">
        <f>Table5[[#This Row],[Cost of Sales]]-Table5[[#This Row],[Standard cost]]</f>
        <v>0</v>
      </c>
      <c r="U47" s="15">
        <f>Table5[[#This Row],[Net Sales Revenue]]-Table5[[#This Row],[Cost of Sales]]</f>
        <v>23983.68</v>
      </c>
      <c r="V47" s="17">
        <f>Table5[[#This Row],[GrossProfit]]/Table5[[#This Row],[Net Sales Revenue]]</f>
        <v>0.46236559139784944</v>
      </c>
    </row>
    <row r="48" spans="1:22" ht="14.25" customHeight="1" x14ac:dyDescent="0.25">
      <c r="A48" s="1" t="s">
        <v>115</v>
      </c>
      <c r="B48" s="1" t="s">
        <v>114</v>
      </c>
      <c r="C48" s="1" t="s">
        <v>40</v>
      </c>
      <c r="D48" s="1" t="s">
        <v>10</v>
      </c>
      <c r="E48" s="1" t="s">
        <v>8</v>
      </c>
      <c r="F48" s="1">
        <v>2548</v>
      </c>
      <c r="G48" s="14">
        <v>50</v>
      </c>
      <c r="H48" s="1">
        <v>7.0000000000000007E-2</v>
      </c>
      <c r="I48" s="14">
        <v>118482</v>
      </c>
      <c r="J48" s="14">
        <v>71344</v>
      </c>
      <c r="K48" s="15">
        <f>Table5[[#This Row],[Selling Price]]*Table5[[#This Row],[Units Sold]]</f>
        <v>127400</v>
      </c>
      <c r="L48" t="str">
        <f t="shared" si="0"/>
        <v>2023-02</v>
      </c>
      <c r="M48" t="str">
        <f>VLOOKUP(Table5[[#This Row],[Store ID]],Table4[[Store ID]:[Store Location]],2)</f>
        <v>Manchester</v>
      </c>
      <c r="N48" t="str">
        <f>VLOOKUP(Table5[[#This Row],[Store ID]],Table4[[Store ID]:[Region]],3)</f>
        <v>North</v>
      </c>
      <c r="O48" t="str">
        <f>VLOOKUP(Table5[[#This Row],[Product ID]],'Product Master'!$A$2:$D$10,4)</f>
        <v>Supplier B</v>
      </c>
      <c r="P48" s="15">
        <f>Table5[[#This Row],[Total Revenue]]-Table5[[#This Row],[Net Sales Revenue]]</f>
        <v>8918</v>
      </c>
      <c r="Q48" s="15">
        <f>Table5[[#This Row],[Net Sales Revenue]]/Table5[[#This Row],[Units Sold]]</f>
        <v>46.5</v>
      </c>
      <c r="R48">
        <f>VLOOKUP(Table5[[#This Row],[Product ID]],'Product Master'!$A$1:$E$10,5,FALSE)</f>
        <v>28</v>
      </c>
      <c r="S48" s="15">
        <f>Table5[[#This Row],[standard product cost per unit]]*Table5[[#This Row],[Units Sold]]</f>
        <v>71344</v>
      </c>
      <c r="T48" s="15">
        <f>Table5[[#This Row],[Cost of Sales]]-Table5[[#This Row],[Standard cost]]</f>
        <v>0</v>
      </c>
      <c r="U48" s="15">
        <f>Table5[[#This Row],[Net Sales Revenue]]-Table5[[#This Row],[Cost of Sales]]</f>
        <v>47138</v>
      </c>
      <c r="V48" s="17">
        <f>Table5[[#This Row],[GrossProfit]]/Table5[[#This Row],[Net Sales Revenue]]</f>
        <v>0.39784946236559138</v>
      </c>
    </row>
    <row r="49" spans="1:22" ht="14.25" customHeight="1" x14ac:dyDescent="0.25">
      <c r="A49" s="1" t="s">
        <v>116</v>
      </c>
      <c r="B49" s="1" t="s">
        <v>114</v>
      </c>
      <c r="C49" s="1" t="s">
        <v>40</v>
      </c>
      <c r="D49" s="1" t="s">
        <v>13</v>
      </c>
      <c r="E49" s="1" t="s">
        <v>15</v>
      </c>
      <c r="F49" s="1">
        <v>2492</v>
      </c>
      <c r="G49" s="14">
        <v>28</v>
      </c>
      <c r="H49" s="1">
        <v>7.0000000000000007E-2</v>
      </c>
      <c r="I49" s="14">
        <v>64891.68</v>
      </c>
      <c r="J49" s="14">
        <v>37380</v>
      </c>
      <c r="K49" s="15">
        <f>Table5[[#This Row],[Selling Price]]*Table5[[#This Row],[Units Sold]]</f>
        <v>69776</v>
      </c>
      <c r="L49" t="str">
        <f t="shared" si="0"/>
        <v>2023-02</v>
      </c>
      <c r="M49" t="str">
        <f>VLOOKUP(Table5[[#This Row],[Store ID]],Table4[[Store ID]:[Store Location]],2)</f>
        <v>Manchester</v>
      </c>
      <c r="N49" t="str">
        <f>VLOOKUP(Table5[[#This Row],[Store ID]],Table4[[Store ID]:[Region]],3)</f>
        <v>North</v>
      </c>
      <c r="O49" t="str">
        <f>VLOOKUP(Table5[[#This Row],[Product ID]],'Product Master'!$A$2:$D$10,4)</f>
        <v>Supplier C</v>
      </c>
      <c r="P49" s="15">
        <f>Table5[[#This Row],[Total Revenue]]-Table5[[#This Row],[Net Sales Revenue]]</f>
        <v>4884.32</v>
      </c>
      <c r="Q49" s="15">
        <f>Table5[[#This Row],[Net Sales Revenue]]/Table5[[#This Row],[Units Sold]]</f>
        <v>26.04</v>
      </c>
      <c r="R49">
        <f>VLOOKUP(Table5[[#This Row],[Product ID]],'Product Master'!$A$1:$E$10,5,FALSE)</f>
        <v>15</v>
      </c>
      <c r="S49" s="15">
        <f>Table5[[#This Row],[standard product cost per unit]]*Table5[[#This Row],[Units Sold]]</f>
        <v>37380</v>
      </c>
      <c r="T49" s="15">
        <f>Table5[[#This Row],[Cost of Sales]]-Table5[[#This Row],[Standard cost]]</f>
        <v>0</v>
      </c>
      <c r="U49" s="15">
        <f>Table5[[#This Row],[Net Sales Revenue]]-Table5[[#This Row],[Cost of Sales]]</f>
        <v>27511.68</v>
      </c>
      <c r="V49" s="17">
        <f>Table5[[#This Row],[GrossProfit]]/Table5[[#This Row],[Net Sales Revenue]]</f>
        <v>0.42396313364055299</v>
      </c>
    </row>
    <row r="50" spans="1:22" ht="14.25" customHeight="1" x14ac:dyDescent="0.25">
      <c r="A50" s="1" t="s">
        <v>117</v>
      </c>
      <c r="B50" s="1" t="s">
        <v>114</v>
      </c>
      <c r="C50" s="1" t="s">
        <v>40</v>
      </c>
      <c r="D50" s="1" t="s">
        <v>17</v>
      </c>
      <c r="E50" s="1" t="s">
        <v>15</v>
      </c>
      <c r="F50" s="1">
        <v>1692</v>
      </c>
      <c r="G50" s="14">
        <v>35</v>
      </c>
      <c r="H50" s="1">
        <v>0.09</v>
      </c>
      <c r="I50" s="14">
        <v>53890.2</v>
      </c>
      <c r="J50" s="14">
        <v>30456</v>
      </c>
      <c r="K50" s="15">
        <f>Table5[[#This Row],[Selling Price]]*Table5[[#This Row],[Units Sold]]</f>
        <v>59220</v>
      </c>
      <c r="L50" t="str">
        <f t="shared" si="0"/>
        <v>2023-02</v>
      </c>
      <c r="M50" t="str">
        <f>VLOOKUP(Table5[[#This Row],[Store ID]],Table4[[Store ID]:[Store Location]],2)</f>
        <v>Manchester</v>
      </c>
      <c r="N50" t="str">
        <f>VLOOKUP(Table5[[#This Row],[Store ID]],Table4[[Store ID]:[Region]],3)</f>
        <v>North</v>
      </c>
      <c r="O50" t="str">
        <f>VLOOKUP(Table5[[#This Row],[Product ID]],'Product Master'!$A$2:$D$10,4)</f>
        <v>Supplier C</v>
      </c>
      <c r="P50" s="15">
        <f>Table5[[#This Row],[Total Revenue]]-Table5[[#This Row],[Net Sales Revenue]]</f>
        <v>5329.8000000000029</v>
      </c>
      <c r="Q50" s="15">
        <f>Table5[[#This Row],[Net Sales Revenue]]/Table5[[#This Row],[Units Sold]]</f>
        <v>31.849999999999998</v>
      </c>
      <c r="R50">
        <f>VLOOKUP(Table5[[#This Row],[Product ID]],'Product Master'!$A$1:$E$10,5,FALSE)</f>
        <v>18</v>
      </c>
      <c r="S50" s="15">
        <f>Table5[[#This Row],[standard product cost per unit]]*Table5[[#This Row],[Units Sold]]</f>
        <v>30456</v>
      </c>
      <c r="T50" s="15">
        <f>Table5[[#This Row],[Cost of Sales]]-Table5[[#This Row],[Standard cost]]</f>
        <v>0</v>
      </c>
      <c r="U50" s="15">
        <f>Table5[[#This Row],[Net Sales Revenue]]-Table5[[#This Row],[Cost of Sales]]</f>
        <v>23434.199999999997</v>
      </c>
      <c r="V50" s="17">
        <f>Table5[[#This Row],[GrossProfit]]/Table5[[#This Row],[Net Sales Revenue]]</f>
        <v>0.43485086342229196</v>
      </c>
    </row>
    <row r="51" spans="1:22" ht="14.25" customHeight="1" x14ac:dyDescent="0.25">
      <c r="A51" s="1" t="s">
        <v>118</v>
      </c>
      <c r="B51" s="1" t="s">
        <v>114</v>
      </c>
      <c r="C51" s="1" t="s">
        <v>40</v>
      </c>
      <c r="D51" s="1" t="s">
        <v>19</v>
      </c>
      <c r="E51" s="1" t="s">
        <v>21</v>
      </c>
      <c r="F51" s="1">
        <v>2436</v>
      </c>
      <c r="G51" s="14">
        <v>18</v>
      </c>
      <c r="H51" s="1">
        <v>0.06</v>
      </c>
      <c r="I51" s="14">
        <v>41217.120000000003</v>
      </c>
      <c r="J51" s="14">
        <v>21924</v>
      </c>
      <c r="K51" s="15">
        <f>Table5[[#This Row],[Selling Price]]*Table5[[#This Row],[Units Sold]]</f>
        <v>43848</v>
      </c>
      <c r="L51" t="str">
        <f t="shared" si="0"/>
        <v>2023-02</v>
      </c>
      <c r="M51" t="str">
        <f>VLOOKUP(Table5[[#This Row],[Store ID]],Table4[[Store ID]:[Store Location]],2)</f>
        <v>Manchester</v>
      </c>
      <c r="N51" t="str">
        <f>VLOOKUP(Table5[[#This Row],[Store ID]],Table4[[Store ID]:[Region]],3)</f>
        <v>North</v>
      </c>
      <c r="O51" t="str">
        <f>VLOOKUP(Table5[[#This Row],[Product ID]],'Product Master'!$A$2:$D$10,4)</f>
        <v>Supplier D</v>
      </c>
      <c r="P51" s="15">
        <f>Table5[[#This Row],[Total Revenue]]-Table5[[#This Row],[Net Sales Revenue]]</f>
        <v>2630.8799999999974</v>
      </c>
      <c r="Q51" s="15">
        <f>Table5[[#This Row],[Net Sales Revenue]]/Table5[[#This Row],[Units Sold]]</f>
        <v>16.920000000000002</v>
      </c>
      <c r="R51">
        <f>VLOOKUP(Table5[[#This Row],[Product ID]],'Product Master'!$A$1:$E$10,5,FALSE)</f>
        <v>9</v>
      </c>
      <c r="S51" s="15">
        <f>Table5[[#This Row],[standard product cost per unit]]*Table5[[#This Row],[Units Sold]]</f>
        <v>21924</v>
      </c>
      <c r="T51" s="15">
        <f>Table5[[#This Row],[Cost of Sales]]-Table5[[#This Row],[Standard cost]]</f>
        <v>0</v>
      </c>
      <c r="U51" s="15">
        <f>Table5[[#This Row],[Net Sales Revenue]]-Table5[[#This Row],[Cost of Sales]]</f>
        <v>19293.120000000003</v>
      </c>
      <c r="V51" s="17">
        <f>Table5[[#This Row],[GrossProfit]]/Table5[[#This Row],[Net Sales Revenue]]</f>
        <v>0.46808510638297873</v>
      </c>
    </row>
    <row r="52" spans="1:22" ht="14.25" customHeight="1" x14ac:dyDescent="0.25">
      <c r="A52" s="1" t="s">
        <v>119</v>
      </c>
      <c r="B52" s="1" t="s">
        <v>114</v>
      </c>
      <c r="C52" s="1" t="s">
        <v>40</v>
      </c>
      <c r="D52" s="1" t="s">
        <v>23</v>
      </c>
      <c r="E52" s="1" t="s">
        <v>21</v>
      </c>
      <c r="F52" s="1">
        <v>2512</v>
      </c>
      <c r="G52" s="14">
        <v>30</v>
      </c>
      <c r="H52" s="1">
        <v>0.1</v>
      </c>
      <c r="I52" s="14">
        <v>67824</v>
      </c>
      <c r="J52" s="14">
        <v>35168</v>
      </c>
      <c r="K52" s="15">
        <f>Table5[[#This Row],[Selling Price]]*Table5[[#This Row],[Units Sold]]</f>
        <v>75360</v>
      </c>
      <c r="L52" t="str">
        <f t="shared" si="0"/>
        <v>2023-02</v>
      </c>
      <c r="M52" t="str">
        <f>VLOOKUP(Table5[[#This Row],[Store ID]],Table4[[Store ID]:[Store Location]],2)</f>
        <v>Manchester</v>
      </c>
      <c r="N52" t="str">
        <f>VLOOKUP(Table5[[#This Row],[Store ID]],Table4[[Store ID]:[Region]],3)</f>
        <v>North</v>
      </c>
      <c r="O52" t="str">
        <f>VLOOKUP(Table5[[#This Row],[Product ID]],'Product Master'!$A$2:$D$10,4)</f>
        <v>Supplier D</v>
      </c>
      <c r="P52" s="15">
        <f>Table5[[#This Row],[Total Revenue]]-Table5[[#This Row],[Net Sales Revenue]]</f>
        <v>7536</v>
      </c>
      <c r="Q52" s="15">
        <f>Table5[[#This Row],[Net Sales Revenue]]/Table5[[#This Row],[Units Sold]]</f>
        <v>27</v>
      </c>
      <c r="R52">
        <f>VLOOKUP(Table5[[#This Row],[Product ID]],'Product Master'!$A$1:$E$10,5,FALSE)</f>
        <v>14</v>
      </c>
      <c r="S52" s="15">
        <f>Table5[[#This Row],[standard product cost per unit]]*Table5[[#This Row],[Units Sold]]</f>
        <v>35168</v>
      </c>
      <c r="T52" s="15">
        <f>Table5[[#This Row],[Cost of Sales]]-Table5[[#This Row],[Standard cost]]</f>
        <v>0</v>
      </c>
      <c r="U52" s="15">
        <f>Table5[[#This Row],[Net Sales Revenue]]-Table5[[#This Row],[Cost of Sales]]</f>
        <v>32656</v>
      </c>
      <c r="V52" s="17">
        <f>Table5[[#This Row],[GrossProfit]]/Table5[[#This Row],[Net Sales Revenue]]</f>
        <v>0.48148148148148145</v>
      </c>
    </row>
    <row r="53" spans="1:22" ht="14.25" customHeight="1" x14ac:dyDescent="0.25">
      <c r="A53" s="1" t="s">
        <v>120</v>
      </c>
      <c r="B53" s="1" t="s">
        <v>114</v>
      </c>
      <c r="C53" s="1" t="s">
        <v>40</v>
      </c>
      <c r="D53" s="1" t="s">
        <v>25</v>
      </c>
      <c r="E53" s="1" t="s">
        <v>27</v>
      </c>
      <c r="F53" s="1">
        <v>2532</v>
      </c>
      <c r="G53" s="14">
        <v>40</v>
      </c>
      <c r="H53" s="1">
        <v>0.1</v>
      </c>
      <c r="I53" s="14">
        <v>91152</v>
      </c>
      <c r="J53" s="14">
        <v>50640</v>
      </c>
      <c r="K53" s="15">
        <f>Table5[[#This Row],[Selling Price]]*Table5[[#This Row],[Units Sold]]</f>
        <v>101280</v>
      </c>
      <c r="L53" t="str">
        <f t="shared" si="0"/>
        <v>2023-02</v>
      </c>
      <c r="M53" t="str">
        <f>VLOOKUP(Table5[[#This Row],[Store ID]],Table4[[Store ID]:[Store Location]],2)</f>
        <v>Manchester</v>
      </c>
      <c r="N53" t="str">
        <f>VLOOKUP(Table5[[#This Row],[Store ID]],Table4[[Store ID]:[Region]],3)</f>
        <v>North</v>
      </c>
      <c r="O53" t="str">
        <f>VLOOKUP(Table5[[#This Row],[Product ID]],'Product Master'!$A$2:$D$10,4)</f>
        <v>Supplier E</v>
      </c>
      <c r="P53" s="15">
        <f>Table5[[#This Row],[Total Revenue]]-Table5[[#This Row],[Net Sales Revenue]]</f>
        <v>10128</v>
      </c>
      <c r="Q53" s="15">
        <f>Table5[[#This Row],[Net Sales Revenue]]/Table5[[#This Row],[Units Sold]]</f>
        <v>36</v>
      </c>
      <c r="R53">
        <f>VLOOKUP(Table5[[#This Row],[Product ID]],'Product Master'!$A$1:$E$10,5,FALSE)</f>
        <v>20</v>
      </c>
      <c r="S53" s="15">
        <f>Table5[[#This Row],[standard product cost per unit]]*Table5[[#This Row],[Units Sold]]</f>
        <v>50640</v>
      </c>
      <c r="T53" s="15">
        <f>Table5[[#This Row],[Cost of Sales]]-Table5[[#This Row],[Standard cost]]</f>
        <v>0</v>
      </c>
      <c r="U53" s="15">
        <f>Table5[[#This Row],[Net Sales Revenue]]-Table5[[#This Row],[Cost of Sales]]</f>
        <v>40512</v>
      </c>
      <c r="V53" s="17">
        <f>Table5[[#This Row],[GrossProfit]]/Table5[[#This Row],[Net Sales Revenue]]</f>
        <v>0.44444444444444442</v>
      </c>
    </row>
    <row r="54" spans="1:22" ht="14.25" customHeight="1" x14ac:dyDescent="0.25">
      <c r="A54" s="1" t="s">
        <v>121</v>
      </c>
      <c r="B54" s="1" t="s">
        <v>114</v>
      </c>
      <c r="C54" s="1" t="s">
        <v>40</v>
      </c>
      <c r="D54" s="1" t="s">
        <v>29</v>
      </c>
      <c r="E54" s="1" t="s">
        <v>31</v>
      </c>
      <c r="F54" s="1">
        <v>1616</v>
      </c>
      <c r="G54" s="14">
        <v>10</v>
      </c>
      <c r="H54" s="1">
        <v>0.06</v>
      </c>
      <c r="I54" s="14">
        <v>15190.4</v>
      </c>
      <c r="J54" s="14">
        <v>6464</v>
      </c>
      <c r="K54" s="15">
        <f>Table5[[#This Row],[Selling Price]]*Table5[[#This Row],[Units Sold]]</f>
        <v>16160</v>
      </c>
      <c r="L54" t="str">
        <f t="shared" si="0"/>
        <v>2023-02</v>
      </c>
      <c r="M54" t="str">
        <f>VLOOKUP(Table5[[#This Row],[Store ID]],Table4[[Store ID]:[Store Location]],2)</f>
        <v>Manchester</v>
      </c>
      <c r="N54" t="str">
        <f>VLOOKUP(Table5[[#This Row],[Store ID]],Table4[[Store ID]:[Region]],3)</f>
        <v>North</v>
      </c>
      <c r="O54" t="str">
        <f>VLOOKUP(Table5[[#This Row],[Product ID]],'Product Master'!$A$2:$D$10,4)</f>
        <v>Supplier F</v>
      </c>
      <c r="P54" s="15">
        <f>Table5[[#This Row],[Total Revenue]]-Table5[[#This Row],[Net Sales Revenue]]</f>
        <v>969.60000000000036</v>
      </c>
      <c r="Q54" s="15">
        <f>Table5[[#This Row],[Net Sales Revenue]]/Table5[[#This Row],[Units Sold]]</f>
        <v>9.4</v>
      </c>
      <c r="R54">
        <f>VLOOKUP(Table5[[#This Row],[Product ID]],'Product Master'!$A$1:$E$10,5,FALSE)</f>
        <v>4</v>
      </c>
      <c r="S54" s="15">
        <f>Table5[[#This Row],[standard product cost per unit]]*Table5[[#This Row],[Units Sold]]</f>
        <v>6464</v>
      </c>
      <c r="T54" s="15">
        <f>Table5[[#This Row],[Cost of Sales]]-Table5[[#This Row],[Standard cost]]</f>
        <v>0</v>
      </c>
      <c r="U54" s="15">
        <f>Table5[[#This Row],[Net Sales Revenue]]-Table5[[#This Row],[Cost of Sales]]</f>
        <v>8726.4</v>
      </c>
      <c r="V54" s="17">
        <f>Table5[[#This Row],[GrossProfit]]/Table5[[#This Row],[Net Sales Revenue]]</f>
        <v>0.57446808510638292</v>
      </c>
    </row>
    <row r="55" spans="1:22" ht="14.25" customHeight="1" x14ac:dyDescent="0.25">
      <c r="A55" s="1" t="s">
        <v>122</v>
      </c>
      <c r="B55" s="1" t="s">
        <v>114</v>
      </c>
      <c r="C55" s="1" t="s">
        <v>40</v>
      </c>
      <c r="D55" s="1" t="s">
        <v>33</v>
      </c>
      <c r="E55" s="1" t="s">
        <v>31</v>
      </c>
      <c r="F55" s="1">
        <v>2616</v>
      </c>
      <c r="G55" s="14">
        <v>22</v>
      </c>
      <c r="H55" s="1">
        <v>0.1</v>
      </c>
      <c r="I55" s="14">
        <v>51796.800000000003</v>
      </c>
      <c r="J55" s="14">
        <v>26160</v>
      </c>
      <c r="K55" s="15">
        <f>Table5[[#This Row],[Selling Price]]*Table5[[#This Row],[Units Sold]]</f>
        <v>57552</v>
      </c>
      <c r="L55" t="str">
        <f t="shared" si="0"/>
        <v>2023-02</v>
      </c>
      <c r="M55" t="str">
        <f>VLOOKUP(Table5[[#This Row],[Store ID]],Table4[[Store ID]:[Store Location]],2)</f>
        <v>Manchester</v>
      </c>
      <c r="N55" t="str">
        <f>VLOOKUP(Table5[[#This Row],[Store ID]],Table4[[Store ID]:[Region]],3)</f>
        <v>North</v>
      </c>
      <c r="O55" t="str">
        <f>VLOOKUP(Table5[[#This Row],[Product ID]],'Product Master'!$A$2:$D$10,4)</f>
        <v>Supplier F</v>
      </c>
      <c r="P55" s="15">
        <f>Table5[[#This Row],[Total Revenue]]-Table5[[#This Row],[Net Sales Revenue]]</f>
        <v>5755.1999999999971</v>
      </c>
      <c r="Q55" s="15">
        <f>Table5[[#This Row],[Net Sales Revenue]]/Table5[[#This Row],[Units Sold]]</f>
        <v>19.8</v>
      </c>
      <c r="R55">
        <f>VLOOKUP(Table5[[#This Row],[Product ID]],'Product Master'!$A$1:$E$10,5,FALSE)</f>
        <v>10</v>
      </c>
      <c r="S55" s="15">
        <f>Table5[[#This Row],[standard product cost per unit]]*Table5[[#This Row],[Units Sold]]</f>
        <v>26160</v>
      </c>
      <c r="T55" s="15">
        <f>Table5[[#This Row],[Cost of Sales]]-Table5[[#This Row],[Standard cost]]</f>
        <v>0</v>
      </c>
      <c r="U55" s="15">
        <f>Table5[[#This Row],[Net Sales Revenue]]-Table5[[#This Row],[Cost of Sales]]</f>
        <v>25636.800000000003</v>
      </c>
      <c r="V55" s="17">
        <f>Table5[[#This Row],[GrossProfit]]/Table5[[#This Row],[Net Sales Revenue]]</f>
        <v>0.49494949494949497</v>
      </c>
    </row>
    <row r="56" spans="1:22" ht="14.25" customHeight="1" x14ac:dyDescent="0.25">
      <c r="A56" s="1" t="s">
        <v>123</v>
      </c>
      <c r="B56" s="1" t="s">
        <v>114</v>
      </c>
      <c r="C56" s="1" t="s">
        <v>44</v>
      </c>
      <c r="D56" s="1" t="s">
        <v>6</v>
      </c>
      <c r="E56" s="1" t="s">
        <v>8</v>
      </c>
      <c r="F56" s="1">
        <v>1256</v>
      </c>
      <c r="G56" s="14">
        <v>24</v>
      </c>
      <c r="H56" s="1">
        <v>0.06</v>
      </c>
      <c r="I56" s="14">
        <v>28335.360000000001</v>
      </c>
      <c r="J56" s="14">
        <v>15072</v>
      </c>
      <c r="K56" s="15">
        <f>Table5[[#This Row],[Selling Price]]*Table5[[#This Row],[Units Sold]]</f>
        <v>30144</v>
      </c>
      <c r="L56" t="str">
        <f t="shared" si="0"/>
        <v>2023-02</v>
      </c>
      <c r="M56" t="str">
        <f>VLOOKUP(Table5[[#This Row],[Store ID]],Table4[[Store ID]:[Store Location]],2)</f>
        <v>Birmingham</v>
      </c>
      <c r="N56" t="str">
        <f>VLOOKUP(Table5[[#This Row],[Store ID]],Table4[[Store ID]:[Region]],3)</f>
        <v>Midlands</v>
      </c>
      <c r="O56" t="str">
        <f>VLOOKUP(Table5[[#This Row],[Product ID]],'Product Master'!$A$2:$D$10,4)</f>
        <v>Supplier A</v>
      </c>
      <c r="P56" s="15">
        <f>Table5[[#This Row],[Total Revenue]]-Table5[[#This Row],[Net Sales Revenue]]</f>
        <v>1808.6399999999994</v>
      </c>
      <c r="Q56" s="15">
        <f>Table5[[#This Row],[Net Sales Revenue]]/Table5[[#This Row],[Units Sold]]</f>
        <v>22.56</v>
      </c>
      <c r="R56">
        <f>VLOOKUP(Table5[[#This Row],[Product ID]],'Product Master'!$A$1:$E$10,5,FALSE)</f>
        <v>12</v>
      </c>
      <c r="S56" s="15">
        <f>Table5[[#This Row],[standard product cost per unit]]*Table5[[#This Row],[Units Sold]]</f>
        <v>15072</v>
      </c>
      <c r="T56" s="15">
        <f>Table5[[#This Row],[Cost of Sales]]-Table5[[#This Row],[Standard cost]]</f>
        <v>0</v>
      </c>
      <c r="U56" s="15">
        <f>Table5[[#This Row],[Net Sales Revenue]]-Table5[[#This Row],[Cost of Sales]]</f>
        <v>13263.36</v>
      </c>
      <c r="V56" s="17">
        <f>Table5[[#This Row],[GrossProfit]]/Table5[[#This Row],[Net Sales Revenue]]</f>
        <v>0.46808510638297873</v>
      </c>
    </row>
    <row r="57" spans="1:22" ht="14.25" customHeight="1" x14ac:dyDescent="0.25">
      <c r="A57" s="1" t="s">
        <v>124</v>
      </c>
      <c r="B57" s="1" t="s">
        <v>114</v>
      </c>
      <c r="C57" s="1" t="s">
        <v>44</v>
      </c>
      <c r="D57" s="1" t="s">
        <v>10</v>
      </c>
      <c r="E57" s="1" t="s">
        <v>8</v>
      </c>
      <c r="F57" s="1">
        <v>1296</v>
      </c>
      <c r="G57" s="14">
        <v>50</v>
      </c>
      <c r="H57" s="1">
        <v>7.0000000000000007E-2</v>
      </c>
      <c r="I57" s="14">
        <v>60264</v>
      </c>
      <c r="J57" s="14">
        <v>36288</v>
      </c>
      <c r="K57" s="15">
        <f>Table5[[#This Row],[Selling Price]]*Table5[[#This Row],[Units Sold]]</f>
        <v>64800</v>
      </c>
      <c r="L57" t="str">
        <f t="shared" si="0"/>
        <v>2023-02</v>
      </c>
      <c r="M57" t="str">
        <f>VLOOKUP(Table5[[#This Row],[Store ID]],Table4[[Store ID]:[Store Location]],2)</f>
        <v>Birmingham</v>
      </c>
      <c r="N57" t="str">
        <f>VLOOKUP(Table5[[#This Row],[Store ID]],Table4[[Store ID]:[Region]],3)</f>
        <v>Midlands</v>
      </c>
      <c r="O57" t="str">
        <f>VLOOKUP(Table5[[#This Row],[Product ID]],'Product Master'!$A$2:$D$10,4)</f>
        <v>Supplier B</v>
      </c>
      <c r="P57" s="15">
        <f>Table5[[#This Row],[Total Revenue]]-Table5[[#This Row],[Net Sales Revenue]]</f>
        <v>4536</v>
      </c>
      <c r="Q57" s="15">
        <f>Table5[[#This Row],[Net Sales Revenue]]/Table5[[#This Row],[Units Sold]]</f>
        <v>46.5</v>
      </c>
      <c r="R57">
        <f>VLOOKUP(Table5[[#This Row],[Product ID]],'Product Master'!$A$1:$E$10,5,FALSE)</f>
        <v>28</v>
      </c>
      <c r="S57" s="15">
        <f>Table5[[#This Row],[standard product cost per unit]]*Table5[[#This Row],[Units Sold]]</f>
        <v>36288</v>
      </c>
      <c r="T57" s="15">
        <f>Table5[[#This Row],[Cost of Sales]]-Table5[[#This Row],[Standard cost]]</f>
        <v>0</v>
      </c>
      <c r="U57" s="15">
        <f>Table5[[#This Row],[Net Sales Revenue]]-Table5[[#This Row],[Cost of Sales]]</f>
        <v>23976</v>
      </c>
      <c r="V57" s="17">
        <f>Table5[[#This Row],[GrossProfit]]/Table5[[#This Row],[Net Sales Revenue]]</f>
        <v>0.39784946236559138</v>
      </c>
    </row>
    <row r="58" spans="1:22" ht="14.25" customHeight="1" x14ac:dyDescent="0.25">
      <c r="A58" s="1" t="s">
        <v>125</v>
      </c>
      <c r="B58" s="1" t="s">
        <v>114</v>
      </c>
      <c r="C58" s="1" t="s">
        <v>44</v>
      </c>
      <c r="D58" s="1" t="s">
        <v>13</v>
      </c>
      <c r="E58" s="1" t="s">
        <v>15</v>
      </c>
      <c r="F58" s="1">
        <v>1536</v>
      </c>
      <c r="G58" s="14">
        <v>28</v>
      </c>
      <c r="H58" s="1">
        <v>7.0000000000000007E-2</v>
      </c>
      <c r="I58" s="14">
        <v>39997.440000000002</v>
      </c>
      <c r="J58" s="14">
        <v>23040</v>
      </c>
      <c r="K58" s="15">
        <f>Table5[[#This Row],[Selling Price]]*Table5[[#This Row],[Units Sold]]</f>
        <v>43008</v>
      </c>
      <c r="L58" t="str">
        <f t="shared" si="0"/>
        <v>2023-02</v>
      </c>
      <c r="M58" t="str">
        <f>VLOOKUP(Table5[[#This Row],[Store ID]],Table4[[Store ID]:[Store Location]],2)</f>
        <v>Birmingham</v>
      </c>
      <c r="N58" t="str">
        <f>VLOOKUP(Table5[[#This Row],[Store ID]],Table4[[Store ID]:[Region]],3)</f>
        <v>Midlands</v>
      </c>
      <c r="O58" t="str">
        <f>VLOOKUP(Table5[[#This Row],[Product ID]],'Product Master'!$A$2:$D$10,4)</f>
        <v>Supplier C</v>
      </c>
      <c r="P58" s="15">
        <f>Table5[[#This Row],[Total Revenue]]-Table5[[#This Row],[Net Sales Revenue]]</f>
        <v>3010.5599999999977</v>
      </c>
      <c r="Q58" s="15">
        <f>Table5[[#This Row],[Net Sales Revenue]]/Table5[[#This Row],[Units Sold]]</f>
        <v>26.040000000000003</v>
      </c>
      <c r="R58">
        <f>VLOOKUP(Table5[[#This Row],[Product ID]],'Product Master'!$A$1:$E$10,5,FALSE)</f>
        <v>15</v>
      </c>
      <c r="S58" s="15">
        <f>Table5[[#This Row],[standard product cost per unit]]*Table5[[#This Row],[Units Sold]]</f>
        <v>23040</v>
      </c>
      <c r="T58" s="15">
        <f>Table5[[#This Row],[Cost of Sales]]-Table5[[#This Row],[Standard cost]]</f>
        <v>0</v>
      </c>
      <c r="U58" s="15">
        <f>Table5[[#This Row],[Net Sales Revenue]]-Table5[[#This Row],[Cost of Sales]]</f>
        <v>16957.440000000002</v>
      </c>
      <c r="V58" s="17">
        <f>Table5[[#This Row],[GrossProfit]]/Table5[[#This Row],[Net Sales Revenue]]</f>
        <v>0.42396313364055305</v>
      </c>
    </row>
    <row r="59" spans="1:22" ht="14.25" customHeight="1" x14ac:dyDescent="0.25">
      <c r="A59" s="1" t="s">
        <v>126</v>
      </c>
      <c r="B59" s="1" t="s">
        <v>114</v>
      </c>
      <c r="C59" s="1" t="s">
        <v>44</v>
      </c>
      <c r="D59" s="1" t="s">
        <v>17</v>
      </c>
      <c r="E59" s="1" t="s">
        <v>15</v>
      </c>
      <c r="F59" s="1">
        <v>2592</v>
      </c>
      <c r="G59" s="14">
        <v>35</v>
      </c>
      <c r="H59" s="1">
        <v>0.06</v>
      </c>
      <c r="I59" s="14">
        <v>85276.800000000003</v>
      </c>
      <c r="J59" s="14">
        <v>46656</v>
      </c>
      <c r="K59" s="15">
        <f>Table5[[#This Row],[Selling Price]]*Table5[[#This Row],[Units Sold]]</f>
        <v>90720</v>
      </c>
      <c r="L59" t="str">
        <f t="shared" si="0"/>
        <v>2023-02</v>
      </c>
      <c r="M59" t="str">
        <f>VLOOKUP(Table5[[#This Row],[Store ID]],Table4[[Store ID]:[Store Location]],2)</f>
        <v>Birmingham</v>
      </c>
      <c r="N59" t="str">
        <f>VLOOKUP(Table5[[#This Row],[Store ID]],Table4[[Store ID]:[Region]],3)</f>
        <v>Midlands</v>
      </c>
      <c r="O59" t="str">
        <f>VLOOKUP(Table5[[#This Row],[Product ID]],'Product Master'!$A$2:$D$10,4)</f>
        <v>Supplier C</v>
      </c>
      <c r="P59" s="15">
        <f>Table5[[#This Row],[Total Revenue]]-Table5[[#This Row],[Net Sales Revenue]]</f>
        <v>5443.1999999999971</v>
      </c>
      <c r="Q59" s="15">
        <f>Table5[[#This Row],[Net Sales Revenue]]/Table5[[#This Row],[Units Sold]]</f>
        <v>32.9</v>
      </c>
      <c r="R59">
        <f>VLOOKUP(Table5[[#This Row],[Product ID]],'Product Master'!$A$1:$E$10,5,FALSE)</f>
        <v>18</v>
      </c>
      <c r="S59" s="15">
        <f>Table5[[#This Row],[standard product cost per unit]]*Table5[[#This Row],[Units Sold]]</f>
        <v>46656</v>
      </c>
      <c r="T59" s="15">
        <f>Table5[[#This Row],[Cost of Sales]]-Table5[[#This Row],[Standard cost]]</f>
        <v>0</v>
      </c>
      <c r="U59" s="15">
        <f>Table5[[#This Row],[Net Sales Revenue]]-Table5[[#This Row],[Cost of Sales]]</f>
        <v>38620.800000000003</v>
      </c>
      <c r="V59" s="17">
        <f>Table5[[#This Row],[GrossProfit]]/Table5[[#This Row],[Net Sales Revenue]]</f>
        <v>0.45288753799392101</v>
      </c>
    </row>
    <row r="60" spans="1:22" ht="14.25" customHeight="1" x14ac:dyDescent="0.25">
      <c r="A60" s="1" t="s">
        <v>127</v>
      </c>
      <c r="B60" s="1" t="s">
        <v>114</v>
      </c>
      <c r="C60" s="1" t="s">
        <v>44</v>
      </c>
      <c r="D60" s="1" t="s">
        <v>19</v>
      </c>
      <c r="E60" s="1" t="s">
        <v>21</v>
      </c>
      <c r="F60" s="1">
        <v>1896</v>
      </c>
      <c r="G60" s="14">
        <v>18</v>
      </c>
      <c r="H60" s="1">
        <v>0.09</v>
      </c>
      <c r="I60" s="14">
        <v>31056.48</v>
      </c>
      <c r="J60" s="14">
        <v>17064</v>
      </c>
      <c r="K60" s="15">
        <f>Table5[[#This Row],[Selling Price]]*Table5[[#This Row],[Units Sold]]</f>
        <v>34128</v>
      </c>
      <c r="L60" t="str">
        <f t="shared" si="0"/>
        <v>2023-02</v>
      </c>
      <c r="M60" t="str">
        <f>VLOOKUP(Table5[[#This Row],[Store ID]],Table4[[Store ID]:[Store Location]],2)</f>
        <v>Birmingham</v>
      </c>
      <c r="N60" t="str">
        <f>VLOOKUP(Table5[[#This Row],[Store ID]],Table4[[Store ID]:[Region]],3)</f>
        <v>Midlands</v>
      </c>
      <c r="O60" t="str">
        <f>VLOOKUP(Table5[[#This Row],[Product ID]],'Product Master'!$A$2:$D$10,4)</f>
        <v>Supplier D</v>
      </c>
      <c r="P60" s="15">
        <f>Table5[[#This Row],[Total Revenue]]-Table5[[#This Row],[Net Sales Revenue]]</f>
        <v>3071.5200000000004</v>
      </c>
      <c r="Q60" s="15">
        <f>Table5[[#This Row],[Net Sales Revenue]]/Table5[[#This Row],[Units Sold]]</f>
        <v>16.38</v>
      </c>
      <c r="R60">
        <f>VLOOKUP(Table5[[#This Row],[Product ID]],'Product Master'!$A$1:$E$10,5,FALSE)</f>
        <v>9</v>
      </c>
      <c r="S60" s="15">
        <f>Table5[[#This Row],[standard product cost per unit]]*Table5[[#This Row],[Units Sold]]</f>
        <v>17064</v>
      </c>
      <c r="T60" s="15">
        <f>Table5[[#This Row],[Cost of Sales]]-Table5[[#This Row],[Standard cost]]</f>
        <v>0</v>
      </c>
      <c r="U60" s="15">
        <f>Table5[[#This Row],[Net Sales Revenue]]-Table5[[#This Row],[Cost of Sales]]</f>
        <v>13992.48</v>
      </c>
      <c r="V60" s="17">
        <f>Table5[[#This Row],[GrossProfit]]/Table5[[#This Row],[Net Sales Revenue]]</f>
        <v>0.45054945054945056</v>
      </c>
    </row>
    <row r="61" spans="1:22" ht="14.25" customHeight="1" x14ac:dyDescent="0.25">
      <c r="A61" s="1" t="s">
        <v>128</v>
      </c>
      <c r="B61" s="1" t="s">
        <v>114</v>
      </c>
      <c r="C61" s="1" t="s">
        <v>44</v>
      </c>
      <c r="D61" s="1" t="s">
        <v>23</v>
      </c>
      <c r="E61" s="1" t="s">
        <v>21</v>
      </c>
      <c r="F61" s="1">
        <v>2516</v>
      </c>
      <c r="G61" s="14">
        <v>30</v>
      </c>
      <c r="H61" s="1">
        <v>0.08</v>
      </c>
      <c r="I61" s="14">
        <v>69441.600000000006</v>
      </c>
      <c r="J61" s="14">
        <v>35224</v>
      </c>
      <c r="K61" s="15">
        <f>Table5[[#This Row],[Selling Price]]*Table5[[#This Row],[Units Sold]]</f>
        <v>75480</v>
      </c>
      <c r="L61" t="str">
        <f t="shared" si="0"/>
        <v>2023-02</v>
      </c>
      <c r="M61" t="str">
        <f>VLOOKUP(Table5[[#This Row],[Store ID]],Table4[[Store ID]:[Store Location]],2)</f>
        <v>Birmingham</v>
      </c>
      <c r="N61" t="str">
        <f>VLOOKUP(Table5[[#This Row],[Store ID]],Table4[[Store ID]:[Region]],3)</f>
        <v>Midlands</v>
      </c>
      <c r="O61" t="str">
        <f>VLOOKUP(Table5[[#This Row],[Product ID]],'Product Master'!$A$2:$D$10,4)</f>
        <v>Supplier D</v>
      </c>
      <c r="P61" s="15">
        <f>Table5[[#This Row],[Total Revenue]]-Table5[[#This Row],[Net Sales Revenue]]</f>
        <v>6038.3999999999942</v>
      </c>
      <c r="Q61" s="15">
        <f>Table5[[#This Row],[Net Sales Revenue]]/Table5[[#This Row],[Units Sold]]</f>
        <v>27.6</v>
      </c>
      <c r="R61">
        <f>VLOOKUP(Table5[[#This Row],[Product ID]],'Product Master'!$A$1:$E$10,5,FALSE)</f>
        <v>14</v>
      </c>
      <c r="S61" s="15">
        <f>Table5[[#This Row],[standard product cost per unit]]*Table5[[#This Row],[Units Sold]]</f>
        <v>35224</v>
      </c>
      <c r="T61" s="15">
        <f>Table5[[#This Row],[Cost of Sales]]-Table5[[#This Row],[Standard cost]]</f>
        <v>0</v>
      </c>
      <c r="U61" s="15">
        <f>Table5[[#This Row],[Net Sales Revenue]]-Table5[[#This Row],[Cost of Sales]]</f>
        <v>34217.600000000006</v>
      </c>
      <c r="V61" s="17">
        <f>Table5[[#This Row],[GrossProfit]]/Table5[[#This Row],[Net Sales Revenue]]</f>
        <v>0.49275362318840582</v>
      </c>
    </row>
    <row r="62" spans="1:22" ht="14.25" customHeight="1" x14ac:dyDescent="0.25">
      <c r="A62" s="1" t="s">
        <v>129</v>
      </c>
      <c r="B62" s="1" t="s">
        <v>114</v>
      </c>
      <c r="C62" s="1" t="s">
        <v>44</v>
      </c>
      <c r="D62" s="1" t="s">
        <v>25</v>
      </c>
      <c r="E62" s="1" t="s">
        <v>27</v>
      </c>
      <c r="F62" s="1">
        <v>2612</v>
      </c>
      <c r="G62" s="14">
        <v>40</v>
      </c>
      <c r="H62" s="1">
        <v>0.08</v>
      </c>
      <c r="I62" s="14">
        <v>96121.600000000006</v>
      </c>
      <c r="J62" s="14">
        <v>52240</v>
      </c>
      <c r="K62" s="15">
        <f>Table5[[#This Row],[Selling Price]]*Table5[[#This Row],[Units Sold]]</f>
        <v>104480</v>
      </c>
      <c r="L62" t="str">
        <f t="shared" si="0"/>
        <v>2023-02</v>
      </c>
      <c r="M62" t="str">
        <f>VLOOKUP(Table5[[#This Row],[Store ID]],Table4[[Store ID]:[Store Location]],2)</f>
        <v>Birmingham</v>
      </c>
      <c r="N62" t="str">
        <f>VLOOKUP(Table5[[#This Row],[Store ID]],Table4[[Store ID]:[Region]],3)</f>
        <v>Midlands</v>
      </c>
      <c r="O62" t="str">
        <f>VLOOKUP(Table5[[#This Row],[Product ID]],'Product Master'!$A$2:$D$10,4)</f>
        <v>Supplier E</v>
      </c>
      <c r="P62" s="15">
        <f>Table5[[#This Row],[Total Revenue]]-Table5[[#This Row],[Net Sales Revenue]]</f>
        <v>8358.3999999999942</v>
      </c>
      <c r="Q62" s="15">
        <f>Table5[[#This Row],[Net Sales Revenue]]/Table5[[#This Row],[Units Sold]]</f>
        <v>36.800000000000004</v>
      </c>
      <c r="R62">
        <f>VLOOKUP(Table5[[#This Row],[Product ID]],'Product Master'!$A$1:$E$10,5,FALSE)</f>
        <v>20</v>
      </c>
      <c r="S62" s="15">
        <f>Table5[[#This Row],[standard product cost per unit]]*Table5[[#This Row],[Units Sold]]</f>
        <v>52240</v>
      </c>
      <c r="T62" s="15">
        <f>Table5[[#This Row],[Cost of Sales]]-Table5[[#This Row],[Standard cost]]</f>
        <v>0</v>
      </c>
      <c r="U62" s="15">
        <f>Table5[[#This Row],[Net Sales Revenue]]-Table5[[#This Row],[Cost of Sales]]</f>
        <v>43881.600000000006</v>
      </c>
      <c r="V62" s="17">
        <f>Table5[[#This Row],[GrossProfit]]/Table5[[#This Row],[Net Sales Revenue]]</f>
        <v>0.45652173913043481</v>
      </c>
    </row>
    <row r="63" spans="1:22" ht="14.25" customHeight="1" x14ac:dyDescent="0.25">
      <c r="A63" s="1" t="s">
        <v>130</v>
      </c>
      <c r="B63" s="1" t="s">
        <v>114</v>
      </c>
      <c r="C63" s="1" t="s">
        <v>44</v>
      </c>
      <c r="D63" s="1" t="s">
        <v>29</v>
      </c>
      <c r="E63" s="1" t="s">
        <v>31</v>
      </c>
      <c r="F63" s="1">
        <v>2540</v>
      </c>
      <c r="G63" s="14">
        <v>10</v>
      </c>
      <c r="H63" s="1">
        <v>7.0000000000000007E-2</v>
      </c>
      <c r="I63" s="14">
        <v>23622</v>
      </c>
      <c r="J63" s="14">
        <v>10160</v>
      </c>
      <c r="K63" s="15">
        <f>Table5[[#This Row],[Selling Price]]*Table5[[#This Row],[Units Sold]]</f>
        <v>25400</v>
      </c>
      <c r="L63" t="str">
        <f t="shared" si="0"/>
        <v>2023-02</v>
      </c>
      <c r="M63" t="str">
        <f>VLOOKUP(Table5[[#This Row],[Store ID]],Table4[[Store ID]:[Store Location]],2)</f>
        <v>Birmingham</v>
      </c>
      <c r="N63" t="str">
        <f>VLOOKUP(Table5[[#This Row],[Store ID]],Table4[[Store ID]:[Region]],3)</f>
        <v>Midlands</v>
      </c>
      <c r="O63" t="str">
        <f>VLOOKUP(Table5[[#This Row],[Product ID]],'Product Master'!$A$2:$D$10,4)</f>
        <v>Supplier F</v>
      </c>
      <c r="P63" s="15">
        <f>Table5[[#This Row],[Total Revenue]]-Table5[[#This Row],[Net Sales Revenue]]</f>
        <v>1778</v>
      </c>
      <c r="Q63" s="15">
        <f>Table5[[#This Row],[Net Sales Revenue]]/Table5[[#This Row],[Units Sold]]</f>
        <v>9.3000000000000007</v>
      </c>
      <c r="R63">
        <f>VLOOKUP(Table5[[#This Row],[Product ID]],'Product Master'!$A$1:$E$10,5,FALSE)</f>
        <v>4</v>
      </c>
      <c r="S63" s="15">
        <f>Table5[[#This Row],[standard product cost per unit]]*Table5[[#This Row],[Units Sold]]</f>
        <v>10160</v>
      </c>
      <c r="T63" s="15">
        <f>Table5[[#This Row],[Cost of Sales]]-Table5[[#This Row],[Standard cost]]</f>
        <v>0</v>
      </c>
      <c r="U63" s="15">
        <f>Table5[[#This Row],[Net Sales Revenue]]-Table5[[#This Row],[Cost of Sales]]</f>
        <v>13462</v>
      </c>
      <c r="V63" s="17">
        <f>Table5[[#This Row],[GrossProfit]]/Table5[[#This Row],[Net Sales Revenue]]</f>
        <v>0.56989247311827962</v>
      </c>
    </row>
    <row r="64" spans="1:22" ht="14.25" customHeight="1" x14ac:dyDescent="0.25">
      <c r="A64" s="1" t="s">
        <v>131</v>
      </c>
      <c r="B64" s="1" t="s">
        <v>114</v>
      </c>
      <c r="C64" s="1" t="s">
        <v>44</v>
      </c>
      <c r="D64" s="1" t="s">
        <v>33</v>
      </c>
      <c r="E64" s="1" t="s">
        <v>31</v>
      </c>
      <c r="F64" s="1">
        <v>2128</v>
      </c>
      <c r="G64" s="14">
        <v>22</v>
      </c>
      <c r="H64" s="1">
        <v>0.1</v>
      </c>
      <c r="I64" s="14">
        <v>42134.400000000001</v>
      </c>
      <c r="J64" s="14">
        <v>21280</v>
      </c>
      <c r="K64" s="15">
        <f>Table5[[#This Row],[Selling Price]]*Table5[[#This Row],[Units Sold]]</f>
        <v>46816</v>
      </c>
      <c r="L64" t="str">
        <f t="shared" si="0"/>
        <v>2023-02</v>
      </c>
      <c r="M64" t="str">
        <f>VLOOKUP(Table5[[#This Row],[Store ID]],Table4[[Store ID]:[Store Location]],2)</f>
        <v>Birmingham</v>
      </c>
      <c r="N64" t="str">
        <f>VLOOKUP(Table5[[#This Row],[Store ID]],Table4[[Store ID]:[Region]],3)</f>
        <v>Midlands</v>
      </c>
      <c r="O64" t="str">
        <f>VLOOKUP(Table5[[#This Row],[Product ID]],'Product Master'!$A$2:$D$10,4)</f>
        <v>Supplier F</v>
      </c>
      <c r="P64" s="15">
        <f>Table5[[#This Row],[Total Revenue]]-Table5[[#This Row],[Net Sales Revenue]]</f>
        <v>4681.5999999999985</v>
      </c>
      <c r="Q64" s="15">
        <f>Table5[[#This Row],[Net Sales Revenue]]/Table5[[#This Row],[Units Sold]]</f>
        <v>19.8</v>
      </c>
      <c r="R64">
        <f>VLOOKUP(Table5[[#This Row],[Product ID]],'Product Master'!$A$1:$E$10,5,FALSE)</f>
        <v>10</v>
      </c>
      <c r="S64" s="15">
        <f>Table5[[#This Row],[standard product cost per unit]]*Table5[[#This Row],[Units Sold]]</f>
        <v>21280</v>
      </c>
      <c r="T64" s="15">
        <f>Table5[[#This Row],[Cost of Sales]]-Table5[[#This Row],[Standard cost]]</f>
        <v>0</v>
      </c>
      <c r="U64" s="15">
        <f>Table5[[#This Row],[Net Sales Revenue]]-Table5[[#This Row],[Cost of Sales]]</f>
        <v>20854.400000000001</v>
      </c>
      <c r="V64" s="17">
        <f>Table5[[#This Row],[GrossProfit]]/Table5[[#This Row],[Net Sales Revenue]]</f>
        <v>0.49494949494949497</v>
      </c>
    </row>
    <row r="65" spans="1:22" ht="14.25" customHeight="1" x14ac:dyDescent="0.25">
      <c r="A65" s="1" t="s">
        <v>132</v>
      </c>
      <c r="B65" s="1" t="s">
        <v>114</v>
      </c>
      <c r="C65" s="1" t="s">
        <v>48</v>
      </c>
      <c r="D65" s="1" t="s">
        <v>6</v>
      </c>
      <c r="E65" s="1" t="s">
        <v>8</v>
      </c>
      <c r="F65" s="1">
        <v>1924</v>
      </c>
      <c r="G65" s="14">
        <v>24</v>
      </c>
      <c r="H65" s="1">
        <v>7.0000000000000007E-2</v>
      </c>
      <c r="I65" s="14">
        <v>42943.68</v>
      </c>
      <c r="J65" s="14">
        <v>23088</v>
      </c>
      <c r="K65" s="15">
        <f>Table5[[#This Row],[Selling Price]]*Table5[[#This Row],[Units Sold]]</f>
        <v>46176</v>
      </c>
      <c r="L65" t="str">
        <f t="shared" si="0"/>
        <v>2023-02</v>
      </c>
      <c r="M65" t="str">
        <f>VLOOKUP(Table5[[#This Row],[Store ID]],Table4[[Store ID]:[Store Location]],2)</f>
        <v>London Stratford</v>
      </c>
      <c r="N65" t="str">
        <f>VLOOKUP(Table5[[#This Row],[Store ID]],Table4[[Store ID]:[Region]],3)</f>
        <v>South</v>
      </c>
      <c r="O65" t="str">
        <f>VLOOKUP(Table5[[#This Row],[Product ID]],'Product Master'!$A$2:$D$10,4)</f>
        <v>Supplier A</v>
      </c>
      <c r="P65" s="15">
        <f>Table5[[#This Row],[Total Revenue]]-Table5[[#This Row],[Net Sales Revenue]]</f>
        <v>3232.3199999999997</v>
      </c>
      <c r="Q65" s="15">
        <f>Table5[[#This Row],[Net Sales Revenue]]/Table5[[#This Row],[Units Sold]]</f>
        <v>22.32</v>
      </c>
      <c r="R65">
        <f>VLOOKUP(Table5[[#This Row],[Product ID]],'Product Master'!$A$1:$E$10,5,FALSE)</f>
        <v>12</v>
      </c>
      <c r="S65" s="15">
        <f>Table5[[#This Row],[standard product cost per unit]]*Table5[[#This Row],[Units Sold]]</f>
        <v>23088</v>
      </c>
      <c r="T65" s="15">
        <f>Table5[[#This Row],[Cost of Sales]]-Table5[[#This Row],[Standard cost]]</f>
        <v>0</v>
      </c>
      <c r="U65" s="15">
        <f>Table5[[#This Row],[Net Sales Revenue]]-Table5[[#This Row],[Cost of Sales]]</f>
        <v>19855.68</v>
      </c>
      <c r="V65" s="17">
        <f>Table5[[#This Row],[GrossProfit]]/Table5[[#This Row],[Net Sales Revenue]]</f>
        <v>0.46236559139784944</v>
      </c>
    </row>
    <row r="66" spans="1:22" ht="14.25" customHeight="1" x14ac:dyDescent="0.25">
      <c r="A66" s="1" t="s">
        <v>133</v>
      </c>
      <c r="B66" s="1" t="s">
        <v>114</v>
      </c>
      <c r="C66" s="1" t="s">
        <v>48</v>
      </c>
      <c r="D66" s="1" t="s">
        <v>10</v>
      </c>
      <c r="E66" s="1" t="s">
        <v>8</v>
      </c>
      <c r="F66" s="1">
        <v>2060</v>
      </c>
      <c r="G66" s="14">
        <v>50</v>
      </c>
      <c r="H66" s="1">
        <v>0.06</v>
      </c>
      <c r="I66" s="14">
        <v>96820</v>
      </c>
      <c r="J66" s="14">
        <v>57680</v>
      </c>
      <c r="K66" s="15">
        <f>Table5[[#This Row],[Selling Price]]*Table5[[#This Row],[Units Sold]]</f>
        <v>103000</v>
      </c>
      <c r="L66" t="str">
        <f t="shared" ref="L66:L129" si="1">TEXT(B66,"yyyy-mm")</f>
        <v>2023-02</v>
      </c>
      <c r="M66" t="str">
        <f>VLOOKUP(Table5[[#This Row],[Store ID]],Table4[[Store ID]:[Store Location]],2)</f>
        <v>London Stratford</v>
      </c>
      <c r="N66" t="str">
        <f>VLOOKUP(Table5[[#This Row],[Store ID]],Table4[[Store ID]:[Region]],3)</f>
        <v>South</v>
      </c>
      <c r="O66" t="str">
        <f>VLOOKUP(Table5[[#This Row],[Product ID]],'Product Master'!$A$2:$D$10,4)</f>
        <v>Supplier B</v>
      </c>
      <c r="P66" s="15">
        <f>Table5[[#This Row],[Total Revenue]]-Table5[[#This Row],[Net Sales Revenue]]</f>
        <v>6180</v>
      </c>
      <c r="Q66" s="15">
        <f>Table5[[#This Row],[Net Sales Revenue]]/Table5[[#This Row],[Units Sold]]</f>
        <v>47</v>
      </c>
      <c r="R66">
        <f>VLOOKUP(Table5[[#This Row],[Product ID]],'Product Master'!$A$1:$E$10,5,FALSE)</f>
        <v>28</v>
      </c>
      <c r="S66" s="15">
        <f>Table5[[#This Row],[standard product cost per unit]]*Table5[[#This Row],[Units Sold]]</f>
        <v>57680</v>
      </c>
      <c r="T66" s="15">
        <f>Table5[[#This Row],[Cost of Sales]]-Table5[[#This Row],[Standard cost]]</f>
        <v>0</v>
      </c>
      <c r="U66" s="15">
        <f>Table5[[#This Row],[Net Sales Revenue]]-Table5[[#This Row],[Cost of Sales]]</f>
        <v>39140</v>
      </c>
      <c r="V66" s="17">
        <f>Table5[[#This Row],[GrossProfit]]/Table5[[#This Row],[Net Sales Revenue]]</f>
        <v>0.40425531914893614</v>
      </c>
    </row>
    <row r="67" spans="1:22" ht="14.25" customHeight="1" x14ac:dyDescent="0.25">
      <c r="A67" s="1" t="s">
        <v>134</v>
      </c>
      <c r="B67" s="1" t="s">
        <v>114</v>
      </c>
      <c r="C67" s="1" t="s">
        <v>48</v>
      </c>
      <c r="D67" s="1" t="s">
        <v>13</v>
      </c>
      <c r="E67" s="1" t="s">
        <v>15</v>
      </c>
      <c r="F67" s="1">
        <v>1608</v>
      </c>
      <c r="G67" s="14">
        <v>28</v>
      </c>
      <c r="H67" s="1">
        <v>0.09</v>
      </c>
      <c r="I67" s="14">
        <v>40971.839999999997</v>
      </c>
      <c r="J67" s="14">
        <v>24120</v>
      </c>
      <c r="K67" s="15">
        <f>Table5[[#This Row],[Selling Price]]*Table5[[#This Row],[Units Sold]]</f>
        <v>45024</v>
      </c>
      <c r="L67" t="str">
        <f t="shared" si="1"/>
        <v>2023-02</v>
      </c>
      <c r="M67" t="str">
        <f>VLOOKUP(Table5[[#This Row],[Store ID]],Table4[[Store ID]:[Store Location]],2)</f>
        <v>London Stratford</v>
      </c>
      <c r="N67" t="str">
        <f>VLOOKUP(Table5[[#This Row],[Store ID]],Table4[[Store ID]:[Region]],3)</f>
        <v>South</v>
      </c>
      <c r="O67" t="str">
        <f>VLOOKUP(Table5[[#This Row],[Product ID]],'Product Master'!$A$2:$D$10,4)</f>
        <v>Supplier C</v>
      </c>
      <c r="P67" s="15">
        <f>Table5[[#This Row],[Total Revenue]]-Table5[[#This Row],[Net Sales Revenue]]</f>
        <v>4052.1600000000035</v>
      </c>
      <c r="Q67" s="15">
        <f>Table5[[#This Row],[Net Sales Revenue]]/Table5[[#This Row],[Units Sold]]</f>
        <v>25.479999999999997</v>
      </c>
      <c r="R67">
        <f>VLOOKUP(Table5[[#This Row],[Product ID]],'Product Master'!$A$1:$E$10,5,FALSE)</f>
        <v>15</v>
      </c>
      <c r="S67" s="15">
        <f>Table5[[#This Row],[standard product cost per unit]]*Table5[[#This Row],[Units Sold]]</f>
        <v>24120</v>
      </c>
      <c r="T67" s="15">
        <f>Table5[[#This Row],[Cost of Sales]]-Table5[[#This Row],[Standard cost]]</f>
        <v>0</v>
      </c>
      <c r="U67" s="15">
        <f>Table5[[#This Row],[Net Sales Revenue]]-Table5[[#This Row],[Cost of Sales]]</f>
        <v>16851.839999999997</v>
      </c>
      <c r="V67" s="17">
        <f>Table5[[#This Row],[GrossProfit]]/Table5[[#This Row],[Net Sales Revenue]]</f>
        <v>0.41130298273155413</v>
      </c>
    </row>
    <row r="68" spans="1:22" ht="14.25" customHeight="1" x14ac:dyDescent="0.25">
      <c r="A68" s="1" t="s">
        <v>135</v>
      </c>
      <c r="B68" s="1" t="s">
        <v>114</v>
      </c>
      <c r="C68" s="1" t="s">
        <v>48</v>
      </c>
      <c r="D68" s="1" t="s">
        <v>17</v>
      </c>
      <c r="E68" s="1" t="s">
        <v>15</v>
      </c>
      <c r="F68" s="1">
        <v>1756</v>
      </c>
      <c r="G68" s="14">
        <v>35</v>
      </c>
      <c r="H68" s="1">
        <v>0.1</v>
      </c>
      <c r="I68" s="14">
        <v>55314</v>
      </c>
      <c r="J68" s="14">
        <v>31608</v>
      </c>
      <c r="K68" s="15">
        <f>Table5[[#This Row],[Selling Price]]*Table5[[#This Row],[Units Sold]]</f>
        <v>61460</v>
      </c>
      <c r="L68" t="str">
        <f t="shared" si="1"/>
        <v>2023-02</v>
      </c>
      <c r="M68" t="str">
        <f>VLOOKUP(Table5[[#This Row],[Store ID]],Table4[[Store ID]:[Store Location]],2)</f>
        <v>London Stratford</v>
      </c>
      <c r="N68" t="str">
        <f>VLOOKUP(Table5[[#This Row],[Store ID]],Table4[[Store ID]:[Region]],3)</f>
        <v>South</v>
      </c>
      <c r="O68" t="str">
        <f>VLOOKUP(Table5[[#This Row],[Product ID]],'Product Master'!$A$2:$D$10,4)</f>
        <v>Supplier C</v>
      </c>
      <c r="P68" s="15">
        <f>Table5[[#This Row],[Total Revenue]]-Table5[[#This Row],[Net Sales Revenue]]</f>
        <v>6146</v>
      </c>
      <c r="Q68" s="15">
        <f>Table5[[#This Row],[Net Sales Revenue]]/Table5[[#This Row],[Units Sold]]</f>
        <v>31.5</v>
      </c>
      <c r="R68">
        <f>VLOOKUP(Table5[[#This Row],[Product ID]],'Product Master'!$A$1:$E$10,5,FALSE)</f>
        <v>18</v>
      </c>
      <c r="S68" s="15">
        <f>Table5[[#This Row],[standard product cost per unit]]*Table5[[#This Row],[Units Sold]]</f>
        <v>31608</v>
      </c>
      <c r="T68" s="15">
        <f>Table5[[#This Row],[Cost of Sales]]-Table5[[#This Row],[Standard cost]]</f>
        <v>0</v>
      </c>
      <c r="U68" s="15">
        <f>Table5[[#This Row],[Net Sales Revenue]]-Table5[[#This Row],[Cost of Sales]]</f>
        <v>23706</v>
      </c>
      <c r="V68" s="17">
        <f>Table5[[#This Row],[GrossProfit]]/Table5[[#This Row],[Net Sales Revenue]]</f>
        <v>0.42857142857142855</v>
      </c>
    </row>
    <row r="69" spans="1:22" ht="14.25" customHeight="1" x14ac:dyDescent="0.25">
      <c r="A69" s="1" t="s">
        <v>136</v>
      </c>
      <c r="B69" s="1" t="s">
        <v>114</v>
      </c>
      <c r="C69" s="1" t="s">
        <v>48</v>
      </c>
      <c r="D69" s="1" t="s">
        <v>19</v>
      </c>
      <c r="E69" s="1" t="s">
        <v>21</v>
      </c>
      <c r="F69" s="1">
        <v>1520</v>
      </c>
      <c r="G69" s="14">
        <v>18</v>
      </c>
      <c r="H69" s="1">
        <v>0.09</v>
      </c>
      <c r="I69" s="14">
        <v>24897.599999999999</v>
      </c>
      <c r="J69" s="14">
        <v>13680</v>
      </c>
      <c r="K69" s="15">
        <f>Table5[[#This Row],[Selling Price]]*Table5[[#This Row],[Units Sold]]</f>
        <v>27360</v>
      </c>
      <c r="L69" t="str">
        <f t="shared" si="1"/>
        <v>2023-02</v>
      </c>
      <c r="M69" t="str">
        <f>VLOOKUP(Table5[[#This Row],[Store ID]],Table4[[Store ID]:[Store Location]],2)</f>
        <v>London Stratford</v>
      </c>
      <c r="N69" t="str">
        <f>VLOOKUP(Table5[[#This Row],[Store ID]],Table4[[Store ID]:[Region]],3)</f>
        <v>South</v>
      </c>
      <c r="O69" t="str">
        <f>VLOOKUP(Table5[[#This Row],[Product ID]],'Product Master'!$A$2:$D$10,4)</f>
        <v>Supplier D</v>
      </c>
      <c r="P69" s="15">
        <f>Table5[[#This Row],[Total Revenue]]-Table5[[#This Row],[Net Sales Revenue]]</f>
        <v>2462.4000000000015</v>
      </c>
      <c r="Q69" s="15">
        <f>Table5[[#This Row],[Net Sales Revenue]]/Table5[[#This Row],[Units Sold]]</f>
        <v>16.38</v>
      </c>
      <c r="R69">
        <f>VLOOKUP(Table5[[#This Row],[Product ID]],'Product Master'!$A$1:$E$10,5,FALSE)</f>
        <v>9</v>
      </c>
      <c r="S69" s="15">
        <f>Table5[[#This Row],[standard product cost per unit]]*Table5[[#This Row],[Units Sold]]</f>
        <v>13680</v>
      </c>
      <c r="T69" s="15">
        <f>Table5[[#This Row],[Cost of Sales]]-Table5[[#This Row],[Standard cost]]</f>
        <v>0</v>
      </c>
      <c r="U69" s="15">
        <f>Table5[[#This Row],[Net Sales Revenue]]-Table5[[#This Row],[Cost of Sales]]</f>
        <v>11217.599999999999</v>
      </c>
      <c r="V69" s="17">
        <f>Table5[[#This Row],[GrossProfit]]/Table5[[#This Row],[Net Sales Revenue]]</f>
        <v>0.4505494505494505</v>
      </c>
    </row>
    <row r="70" spans="1:22" ht="14.25" customHeight="1" x14ac:dyDescent="0.25">
      <c r="A70" s="1" t="s">
        <v>137</v>
      </c>
      <c r="B70" s="1" t="s">
        <v>114</v>
      </c>
      <c r="C70" s="1" t="s">
        <v>48</v>
      </c>
      <c r="D70" s="1" t="s">
        <v>23</v>
      </c>
      <c r="E70" s="1" t="s">
        <v>21</v>
      </c>
      <c r="F70" s="1">
        <v>2344</v>
      </c>
      <c r="G70" s="14">
        <v>30</v>
      </c>
      <c r="H70" s="1">
        <v>0.09</v>
      </c>
      <c r="I70" s="14">
        <v>63991.199999999997</v>
      </c>
      <c r="J70" s="14">
        <v>32816</v>
      </c>
      <c r="K70" s="15">
        <f>Table5[[#This Row],[Selling Price]]*Table5[[#This Row],[Units Sold]]</f>
        <v>70320</v>
      </c>
      <c r="L70" t="str">
        <f t="shared" si="1"/>
        <v>2023-02</v>
      </c>
      <c r="M70" t="str">
        <f>VLOOKUP(Table5[[#This Row],[Store ID]],Table4[[Store ID]:[Store Location]],2)</f>
        <v>London Stratford</v>
      </c>
      <c r="N70" t="str">
        <f>VLOOKUP(Table5[[#This Row],[Store ID]],Table4[[Store ID]:[Region]],3)</f>
        <v>South</v>
      </c>
      <c r="O70" t="str">
        <f>VLOOKUP(Table5[[#This Row],[Product ID]],'Product Master'!$A$2:$D$10,4)</f>
        <v>Supplier D</v>
      </c>
      <c r="P70" s="15">
        <f>Table5[[#This Row],[Total Revenue]]-Table5[[#This Row],[Net Sales Revenue]]</f>
        <v>6328.8000000000029</v>
      </c>
      <c r="Q70" s="15">
        <f>Table5[[#This Row],[Net Sales Revenue]]/Table5[[#This Row],[Units Sold]]</f>
        <v>27.299999999999997</v>
      </c>
      <c r="R70">
        <f>VLOOKUP(Table5[[#This Row],[Product ID]],'Product Master'!$A$1:$E$10,5,FALSE)</f>
        <v>14</v>
      </c>
      <c r="S70" s="15">
        <f>Table5[[#This Row],[standard product cost per unit]]*Table5[[#This Row],[Units Sold]]</f>
        <v>32816</v>
      </c>
      <c r="T70" s="15">
        <f>Table5[[#This Row],[Cost of Sales]]-Table5[[#This Row],[Standard cost]]</f>
        <v>0</v>
      </c>
      <c r="U70" s="15">
        <f>Table5[[#This Row],[Net Sales Revenue]]-Table5[[#This Row],[Cost of Sales]]</f>
        <v>31175.199999999997</v>
      </c>
      <c r="V70" s="17">
        <f>Table5[[#This Row],[GrossProfit]]/Table5[[#This Row],[Net Sales Revenue]]</f>
        <v>0.48717948717948717</v>
      </c>
    </row>
    <row r="71" spans="1:22" ht="14.25" customHeight="1" x14ac:dyDescent="0.25">
      <c r="A71" s="1" t="s">
        <v>138</v>
      </c>
      <c r="B71" s="1" t="s">
        <v>114</v>
      </c>
      <c r="C71" s="1" t="s">
        <v>48</v>
      </c>
      <c r="D71" s="1" t="s">
        <v>25</v>
      </c>
      <c r="E71" s="1" t="s">
        <v>27</v>
      </c>
      <c r="F71" s="1">
        <v>2588</v>
      </c>
      <c r="G71" s="14">
        <v>40</v>
      </c>
      <c r="H71" s="1">
        <v>0.08</v>
      </c>
      <c r="I71" s="14">
        <v>95238.399999999994</v>
      </c>
      <c r="J71" s="14">
        <v>51760</v>
      </c>
      <c r="K71" s="15">
        <f>Table5[[#This Row],[Selling Price]]*Table5[[#This Row],[Units Sold]]</f>
        <v>103520</v>
      </c>
      <c r="L71" t="str">
        <f t="shared" si="1"/>
        <v>2023-02</v>
      </c>
      <c r="M71" t="str">
        <f>VLOOKUP(Table5[[#This Row],[Store ID]],Table4[[Store ID]:[Store Location]],2)</f>
        <v>London Stratford</v>
      </c>
      <c r="N71" t="str">
        <f>VLOOKUP(Table5[[#This Row],[Store ID]],Table4[[Store ID]:[Region]],3)</f>
        <v>South</v>
      </c>
      <c r="O71" t="str">
        <f>VLOOKUP(Table5[[#This Row],[Product ID]],'Product Master'!$A$2:$D$10,4)</f>
        <v>Supplier E</v>
      </c>
      <c r="P71" s="15">
        <f>Table5[[#This Row],[Total Revenue]]-Table5[[#This Row],[Net Sales Revenue]]</f>
        <v>8281.6000000000058</v>
      </c>
      <c r="Q71" s="15">
        <f>Table5[[#This Row],[Net Sales Revenue]]/Table5[[#This Row],[Units Sold]]</f>
        <v>36.799999999999997</v>
      </c>
      <c r="R71">
        <f>VLOOKUP(Table5[[#This Row],[Product ID]],'Product Master'!$A$1:$E$10,5,FALSE)</f>
        <v>20</v>
      </c>
      <c r="S71" s="15">
        <f>Table5[[#This Row],[standard product cost per unit]]*Table5[[#This Row],[Units Sold]]</f>
        <v>51760</v>
      </c>
      <c r="T71" s="15">
        <f>Table5[[#This Row],[Cost of Sales]]-Table5[[#This Row],[Standard cost]]</f>
        <v>0</v>
      </c>
      <c r="U71" s="15">
        <f>Table5[[#This Row],[Net Sales Revenue]]-Table5[[#This Row],[Cost of Sales]]</f>
        <v>43478.399999999994</v>
      </c>
      <c r="V71" s="17">
        <f>Table5[[#This Row],[GrossProfit]]/Table5[[#This Row],[Net Sales Revenue]]</f>
        <v>0.45652173913043476</v>
      </c>
    </row>
    <row r="72" spans="1:22" ht="14.25" customHeight="1" x14ac:dyDescent="0.25">
      <c r="A72" s="1" t="s">
        <v>139</v>
      </c>
      <c r="B72" s="1" t="s">
        <v>114</v>
      </c>
      <c r="C72" s="1" t="s">
        <v>48</v>
      </c>
      <c r="D72" s="1" t="s">
        <v>29</v>
      </c>
      <c r="E72" s="1" t="s">
        <v>31</v>
      </c>
      <c r="F72" s="1">
        <v>2448</v>
      </c>
      <c r="G72" s="14">
        <v>10</v>
      </c>
      <c r="H72" s="1">
        <v>0.05</v>
      </c>
      <c r="I72" s="14">
        <v>23256</v>
      </c>
      <c r="J72" s="14">
        <v>9792</v>
      </c>
      <c r="K72" s="15">
        <f>Table5[[#This Row],[Selling Price]]*Table5[[#This Row],[Units Sold]]</f>
        <v>24480</v>
      </c>
      <c r="L72" t="str">
        <f t="shared" si="1"/>
        <v>2023-02</v>
      </c>
      <c r="M72" t="str">
        <f>VLOOKUP(Table5[[#This Row],[Store ID]],Table4[[Store ID]:[Store Location]],2)</f>
        <v>London Stratford</v>
      </c>
      <c r="N72" t="str">
        <f>VLOOKUP(Table5[[#This Row],[Store ID]],Table4[[Store ID]:[Region]],3)</f>
        <v>South</v>
      </c>
      <c r="O72" t="str">
        <f>VLOOKUP(Table5[[#This Row],[Product ID]],'Product Master'!$A$2:$D$10,4)</f>
        <v>Supplier F</v>
      </c>
      <c r="P72" s="15">
        <f>Table5[[#This Row],[Total Revenue]]-Table5[[#This Row],[Net Sales Revenue]]</f>
        <v>1224</v>
      </c>
      <c r="Q72" s="15">
        <f>Table5[[#This Row],[Net Sales Revenue]]/Table5[[#This Row],[Units Sold]]</f>
        <v>9.5</v>
      </c>
      <c r="R72">
        <f>VLOOKUP(Table5[[#This Row],[Product ID]],'Product Master'!$A$1:$E$10,5,FALSE)</f>
        <v>4</v>
      </c>
      <c r="S72" s="15">
        <f>Table5[[#This Row],[standard product cost per unit]]*Table5[[#This Row],[Units Sold]]</f>
        <v>9792</v>
      </c>
      <c r="T72" s="15">
        <f>Table5[[#This Row],[Cost of Sales]]-Table5[[#This Row],[Standard cost]]</f>
        <v>0</v>
      </c>
      <c r="U72" s="15">
        <f>Table5[[#This Row],[Net Sales Revenue]]-Table5[[#This Row],[Cost of Sales]]</f>
        <v>13464</v>
      </c>
      <c r="V72" s="17">
        <f>Table5[[#This Row],[GrossProfit]]/Table5[[#This Row],[Net Sales Revenue]]</f>
        <v>0.57894736842105265</v>
      </c>
    </row>
    <row r="73" spans="1:22" ht="14.25" customHeight="1" x14ac:dyDescent="0.25">
      <c r="A73" s="1" t="s">
        <v>140</v>
      </c>
      <c r="B73" s="1" t="s">
        <v>114</v>
      </c>
      <c r="C73" s="1" t="s">
        <v>48</v>
      </c>
      <c r="D73" s="1" t="s">
        <v>33</v>
      </c>
      <c r="E73" s="1" t="s">
        <v>31</v>
      </c>
      <c r="F73" s="1">
        <v>1376</v>
      </c>
      <c r="G73" s="14">
        <v>22</v>
      </c>
      <c r="H73" s="1">
        <v>0.08</v>
      </c>
      <c r="I73" s="14">
        <v>27850.240000000002</v>
      </c>
      <c r="J73" s="14">
        <v>13760</v>
      </c>
      <c r="K73" s="15">
        <f>Table5[[#This Row],[Selling Price]]*Table5[[#This Row],[Units Sold]]</f>
        <v>30272</v>
      </c>
      <c r="L73" t="str">
        <f t="shared" si="1"/>
        <v>2023-02</v>
      </c>
      <c r="M73" t="str">
        <f>VLOOKUP(Table5[[#This Row],[Store ID]],Table4[[Store ID]:[Store Location]],2)</f>
        <v>London Stratford</v>
      </c>
      <c r="N73" t="str">
        <f>VLOOKUP(Table5[[#This Row],[Store ID]],Table4[[Store ID]:[Region]],3)</f>
        <v>South</v>
      </c>
      <c r="O73" t="str">
        <f>VLOOKUP(Table5[[#This Row],[Product ID]],'Product Master'!$A$2:$D$10,4)</f>
        <v>Supplier F</v>
      </c>
      <c r="P73" s="15">
        <f>Table5[[#This Row],[Total Revenue]]-Table5[[#This Row],[Net Sales Revenue]]</f>
        <v>2421.7599999999984</v>
      </c>
      <c r="Q73" s="15">
        <f>Table5[[#This Row],[Net Sales Revenue]]/Table5[[#This Row],[Units Sold]]</f>
        <v>20.240000000000002</v>
      </c>
      <c r="R73">
        <f>VLOOKUP(Table5[[#This Row],[Product ID]],'Product Master'!$A$1:$E$10,5,FALSE)</f>
        <v>10</v>
      </c>
      <c r="S73" s="15">
        <f>Table5[[#This Row],[standard product cost per unit]]*Table5[[#This Row],[Units Sold]]</f>
        <v>13760</v>
      </c>
      <c r="T73" s="15">
        <f>Table5[[#This Row],[Cost of Sales]]-Table5[[#This Row],[Standard cost]]</f>
        <v>0</v>
      </c>
      <c r="U73" s="15">
        <f>Table5[[#This Row],[Net Sales Revenue]]-Table5[[#This Row],[Cost of Sales]]</f>
        <v>14090.240000000002</v>
      </c>
      <c r="V73" s="17">
        <f>Table5[[#This Row],[GrossProfit]]/Table5[[#This Row],[Net Sales Revenue]]</f>
        <v>0.50592885375494079</v>
      </c>
    </row>
    <row r="74" spans="1:22" ht="14.25" customHeight="1" x14ac:dyDescent="0.25">
      <c r="A74" s="1" t="s">
        <v>141</v>
      </c>
      <c r="B74" s="1" t="s">
        <v>114</v>
      </c>
      <c r="C74" s="1" t="s">
        <v>52</v>
      </c>
      <c r="D74" s="1" t="s">
        <v>6</v>
      </c>
      <c r="E74" s="1" t="s">
        <v>8</v>
      </c>
      <c r="F74" s="1">
        <v>2104</v>
      </c>
      <c r="G74" s="14">
        <v>24</v>
      </c>
      <c r="H74" s="1">
        <v>0.1</v>
      </c>
      <c r="I74" s="14">
        <v>45446.400000000001</v>
      </c>
      <c r="J74" s="14">
        <v>25248</v>
      </c>
      <c r="K74" s="15">
        <f>Table5[[#This Row],[Selling Price]]*Table5[[#This Row],[Units Sold]]</f>
        <v>50496</v>
      </c>
      <c r="L74" t="str">
        <f t="shared" si="1"/>
        <v>2023-02</v>
      </c>
      <c r="M74" t="str">
        <f>VLOOKUP(Table5[[#This Row],[Store ID]],Table4[[Store ID]:[Store Location]],2)</f>
        <v>Glasgow</v>
      </c>
      <c r="N74" t="str">
        <f>VLOOKUP(Table5[[#This Row],[Store ID]],Table4[[Store ID]:[Region]],3)</f>
        <v>Scotland</v>
      </c>
      <c r="O74" t="str">
        <f>VLOOKUP(Table5[[#This Row],[Product ID]],'Product Master'!$A$2:$D$10,4)</f>
        <v>Supplier A</v>
      </c>
      <c r="P74" s="15">
        <f>Table5[[#This Row],[Total Revenue]]-Table5[[#This Row],[Net Sales Revenue]]</f>
        <v>5049.5999999999985</v>
      </c>
      <c r="Q74" s="15">
        <f>Table5[[#This Row],[Net Sales Revenue]]/Table5[[#This Row],[Units Sold]]</f>
        <v>21.6</v>
      </c>
      <c r="R74">
        <f>VLOOKUP(Table5[[#This Row],[Product ID]],'Product Master'!$A$1:$E$10,5,FALSE)</f>
        <v>12</v>
      </c>
      <c r="S74" s="15">
        <f>Table5[[#This Row],[standard product cost per unit]]*Table5[[#This Row],[Units Sold]]</f>
        <v>25248</v>
      </c>
      <c r="T74" s="15">
        <f>Table5[[#This Row],[Cost of Sales]]-Table5[[#This Row],[Standard cost]]</f>
        <v>0</v>
      </c>
      <c r="U74" s="15">
        <f>Table5[[#This Row],[Net Sales Revenue]]-Table5[[#This Row],[Cost of Sales]]</f>
        <v>20198.400000000001</v>
      </c>
      <c r="V74" s="17">
        <f>Table5[[#This Row],[GrossProfit]]/Table5[[#This Row],[Net Sales Revenue]]</f>
        <v>0.44444444444444448</v>
      </c>
    </row>
    <row r="75" spans="1:22" ht="14.25" customHeight="1" x14ac:dyDescent="0.25">
      <c r="A75" s="1" t="s">
        <v>142</v>
      </c>
      <c r="B75" s="1" t="s">
        <v>114</v>
      </c>
      <c r="C75" s="1" t="s">
        <v>52</v>
      </c>
      <c r="D75" s="1" t="s">
        <v>10</v>
      </c>
      <c r="E75" s="1" t="s">
        <v>8</v>
      </c>
      <c r="F75" s="1">
        <v>1848</v>
      </c>
      <c r="G75" s="14">
        <v>50</v>
      </c>
      <c r="H75" s="1">
        <v>0.05</v>
      </c>
      <c r="I75" s="14">
        <v>87780</v>
      </c>
      <c r="J75" s="14">
        <v>51744</v>
      </c>
      <c r="K75" s="15">
        <f>Table5[[#This Row],[Selling Price]]*Table5[[#This Row],[Units Sold]]</f>
        <v>92400</v>
      </c>
      <c r="L75" t="str">
        <f t="shared" si="1"/>
        <v>2023-02</v>
      </c>
      <c r="M75" t="str">
        <f>VLOOKUP(Table5[[#This Row],[Store ID]],Table4[[Store ID]:[Store Location]],2)</f>
        <v>Glasgow</v>
      </c>
      <c r="N75" t="str">
        <f>VLOOKUP(Table5[[#This Row],[Store ID]],Table4[[Store ID]:[Region]],3)</f>
        <v>Scotland</v>
      </c>
      <c r="O75" t="str">
        <f>VLOOKUP(Table5[[#This Row],[Product ID]],'Product Master'!$A$2:$D$10,4)</f>
        <v>Supplier B</v>
      </c>
      <c r="P75" s="15">
        <f>Table5[[#This Row],[Total Revenue]]-Table5[[#This Row],[Net Sales Revenue]]</f>
        <v>4620</v>
      </c>
      <c r="Q75" s="15">
        <f>Table5[[#This Row],[Net Sales Revenue]]/Table5[[#This Row],[Units Sold]]</f>
        <v>47.5</v>
      </c>
      <c r="R75">
        <f>VLOOKUP(Table5[[#This Row],[Product ID]],'Product Master'!$A$1:$E$10,5,FALSE)</f>
        <v>28</v>
      </c>
      <c r="S75" s="15">
        <f>Table5[[#This Row],[standard product cost per unit]]*Table5[[#This Row],[Units Sold]]</f>
        <v>51744</v>
      </c>
      <c r="T75" s="15">
        <f>Table5[[#This Row],[Cost of Sales]]-Table5[[#This Row],[Standard cost]]</f>
        <v>0</v>
      </c>
      <c r="U75" s="15">
        <f>Table5[[#This Row],[Net Sales Revenue]]-Table5[[#This Row],[Cost of Sales]]</f>
        <v>36036</v>
      </c>
      <c r="V75" s="17">
        <f>Table5[[#This Row],[GrossProfit]]/Table5[[#This Row],[Net Sales Revenue]]</f>
        <v>0.41052631578947368</v>
      </c>
    </row>
    <row r="76" spans="1:22" ht="14.25" customHeight="1" x14ac:dyDescent="0.25">
      <c r="A76" s="1" t="s">
        <v>143</v>
      </c>
      <c r="B76" s="1" t="s">
        <v>114</v>
      </c>
      <c r="C76" s="1" t="s">
        <v>52</v>
      </c>
      <c r="D76" s="1" t="s">
        <v>13</v>
      </c>
      <c r="E76" s="1" t="s">
        <v>15</v>
      </c>
      <c r="F76" s="1">
        <v>1320</v>
      </c>
      <c r="G76" s="14">
        <v>28</v>
      </c>
      <c r="H76" s="1">
        <v>0.09</v>
      </c>
      <c r="I76" s="14">
        <v>33633.599999999999</v>
      </c>
      <c r="J76" s="14">
        <v>19800</v>
      </c>
      <c r="K76" s="15">
        <f>Table5[[#This Row],[Selling Price]]*Table5[[#This Row],[Units Sold]]</f>
        <v>36960</v>
      </c>
      <c r="L76" t="str">
        <f t="shared" si="1"/>
        <v>2023-02</v>
      </c>
      <c r="M76" t="str">
        <f>VLOOKUP(Table5[[#This Row],[Store ID]],Table4[[Store ID]:[Store Location]],2)</f>
        <v>Glasgow</v>
      </c>
      <c r="N76" t="str">
        <f>VLOOKUP(Table5[[#This Row],[Store ID]],Table4[[Store ID]:[Region]],3)</f>
        <v>Scotland</v>
      </c>
      <c r="O76" t="str">
        <f>VLOOKUP(Table5[[#This Row],[Product ID]],'Product Master'!$A$2:$D$10,4)</f>
        <v>Supplier C</v>
      </c>
      <c r="P76" s="15">
        <f>Table5[[#This Row],[Total Revenue]]-Table5[[#This Row],[Net Sales Revenue]]</f>
        <v>3326.4000000000015</v>
      </c>
      <c r="Q76" s="15">
        <f>Table5[[#This Row],[Net Sales Revenue]]/Table5[[#This Row],[Units Sold]]</f>
        <v>25.48</v>
      </c>
      <c r="R76">
        <f>VLOOKUP(Table5[[#This Row],[Product ID]],'Product Master'!$A$1:$E$10,5,FALSE)</f>
        <v>15</v>
      </c>
      <c r="S76" s="15">
        <f>Table5[[#This Row],[standard product cost per unit]]*Table5[[#This Row],[Units Sold]]</f>
        <v>19800</v>
      </c>
      <c r="T76" s="15">
        <f>Table5[[#This Row],[Cost of Sales]]-Table5[[#This Row],[Standard cost]]</f>
        <v>0</v>
      </c>
      <c r="U76" s="15">
        <f>Table5[[#This Row],[Net Sales Revenue]]-Table5[[#This Row],[Cost of Sales]]</f>
        <v>13833.599999999999</v>
      </c>
      <c r="V76" s="17">
        <f>Table5[[#This Row],[GrossProfit]]/Table5[[#This Row],[Net Sales Revenue]]</f>
        <v>0.41130298273155413</v>
      </c>
    </row>
    <row r="77" spans="1:22" ht="14.25" customHeight="1" x14ac:dyDescent="0.25">
      <c r="A77" s="1" t="s">
        <v>144</v>
      </c>
      <c r="B77" s="1" t="s">
        <v>114</v>
      </c>
      <c r="C77" s="1" t="s">
        <v>52</v>
      </c>
      <c r="D77" s="1" t="s">
        <v>17</v>
      </c>
      <c r="E77" s="1" t="s">
        <v>15</v>
      </c>
      <c r="F77" s="1">
        <v>2204</v>
      </c>
      <c r="G77" s="14">
        <v>35</v>
      </c>
      <c r="H77" s="1">
        <v>0.09</v>
      </c>
      <c r="I77" s="14">
        <v>70197.399999999994</v>
      </c>
      <c r="J77" s="14">
        <v>39672</v>
      </c>
      <c r="K77" s="15">
        <f>Table5[[#This Row],[Selling Price]]*Table5[[#This Row],[Units Sold]]</f>
        <v>77140</v>
      </c>
      <c r="L77" t="str">
        <f t="shared" si="1"/>
        <v>2023-02</v>
      </c>
      <c r="M77" t="str">
        <f>VLOOKUP(Table5[[#This Row],[Store ID]],Table4[[Store ID]:[Store Location]],2)</f>
        <v>Glasgow</v>
      </c>
      <c r="N77" t="str">
        <f>VLOOKUP(Table5[[#This Row],[Store ID]],Table4[[Store ID]:[Region]],3)</f>
        <v>Scotland</v>
      </c>
      <c r="O77" t="str">
        <f>VLOOKUP(Table5[[#This Row],[Product ID]],'Product Master'!$A$2:$D$10,4)</f>
        <v>Supplier C</v>
      </c>
      <c r="P77" s="15">
        <f>Table5[[#This Row],[Total Revenue]]-Table5[[#This Row],[Net Sales Revenue]]</f>
        <v>6942.6000000000058</v>
      </c>
      <c r="Q77" s="15">
        <f>Table5[[#This Row],[Net Sales Revenue]]/Table5[[#This Row],[Units Sold]]</f>
        <v>31.849999999999998</v>
      </c>
      <c r="R77">
        <f>VLOOKUP(Table5[[#This Row],[Product ID]],'Product Master'!$A$1:$E$10,5,FALSE)</f>
        <v>18</v>
      </c>
      <c r="S77" s="15">
        <f>Table5[[#This Row],[standard product cost per unit]]*Table5[[#This Row],[Units Sold]]</f>
        <v>39672</v>
      </c>
      <c r="T77" s="15">
        <f>Table5[[#This Row],[Cost of Sales]]-Table5[[#This Row],[Standard cost]]</f>
        <v>0</v>
      </c>
      <c r="U77" s="15">
        <f>Table5[[#This Row],[Net Sales Revenue]]-Table5[[#This Row],[Cost of Sales]]</f>
        <v>30525.399999999994</v>
      </c>
      <c r="V77" s="17">
        <f>Table5[[#This Row],[GrossProfit]]/Table5[[#This Row],[Net Sales Revenue]]</f>
        <v>0.43485086342229196</v>
      </c>
    </row>
    <row r="78" spans="1:22" ht="14.25" customHeight="1" x14ac:dyDescent="0.25">
      <c r="A78" s="1" t="s">
        <v>145</v>
      </c>
      <c r="B78" s="1" t="s">
        <v>114</v>
      </c>
      <c r="C78" s="1" t="s">
        <v>52</v>
      </c>
      <c r="D78" s="1" t="s">
        <v>19</v>
      </c>
      <c r="E78" s="1" t="s">
        <v>21</v>
      </c>
      <c r="F78" s="1">
        <v>2076</v>
      </c>
      <c r="G78" s="14">
        <v>18</v>
      </c>
      <c r="H78" s="1">
        <v>0.06</v>
      </c>
      <c r="I78" s="14">
        <v>35125.919999999998</v>
      </c>
      <c r="J78" s="14">
        <v>18684</v>
      </c>
      <c r="K78" s="15">
        <f>Table5[[#This Row],[Selling Price]]*Table5[[#This Row],[Units Sold]]</f>
        <v>37368</v>
      </c>
      <c r="L78" t="str">
        <f t="shared" si="1"/>
        <v>2023-02</v>
      </c>
      <c r="M78" t="str">
        <f>VLOOKUP(Table5[[#This Row],[Store ID]],Table4[[Store ID]:[Store Location]],2)</f>
        <v>Glasgow</v>
      </c>
      <c r="N78" t="str">
        <f>VLOOKUP(Table5[[#This Row],[Store ID]],Table4[[Store ID]:[Region]],3)</f>
        <v>Scotland</v>
      </c>
      <c r="O78" t="str">
        <f>VLOOKUP(Table5[[#This Row],[Product ID]],'Product Master'!$A$2:$D$10,4)</f>
        <v>Supplier D</v>
      </c>
      <c r="P78" s="15">
        <f>Table5[[#This Row],[Total Revenue]]-Table5[[#This Row],[Net Sales Revenue]]</f>
        <v>2242.0800000000017</v>
      </c>
      <c r="Q78" s="15">
        <f>Table5[[#This Row],[Net Sales Revenue]]/Table5[[#This Row],[Units Sold]]</f>
        <v>16.919999999999998</v>
      </c>
      <c r="R78">
        <f>VLOOKUP(Table5[[#This Row],[Product ID]],'Product Master'!$A$1:$E$10,5,FALSE)</f>
        <v>9</v>
      </c>
      <c r="S78" s="15">
        <f>Table5[[#This Row],[standard product cost per unit]]*Table5[[#This Row],[Units Sold]]</f>
        <v>18684</v>
      </c>
      <c r="T78" s="15">
        <f>Table5[[#This Row],[Cost of Sales]]-Table5[[#This Row],[Standard cost]]</f>
        <v>0</v>
      </c>
      <c r="U78" s="15">
        <f>Table5[[#This Row],[Net Sales Revenue]]-Table5[[#This Row],[Cost of Sales]]</f>
        <v>16441.919999999998</v>
      </c>
      <c r="V78" s="17">
        <f>Table5[[#This Row],[GrossProfit]]/Table5[[#This Row],[Net Sales Revenue]]</f>
        <v>0.46808510638297868</v>
      </c>
    </row>
    <row r="79" spans="1:22" ht="14.25" customHeight="1" x14ac:dyDescent="0.25">
      <c r="A79" s="1" t="s">
        <v>146</v>
      </c>
      <c r="B79" s="1" t="s">
        <v>114</v>
      </c>
      <c r="C79" s="1" t="s">
        <v>52</v>
      </c>
      <c r="D79" s="1" t="s">
        <v>23</v>
      </c>
      <c r="E79" s="1" t="s">
        <v>21</v>
      </c>
      <c r="F79" s="1">
        <v>2188</v>
      </c>
      <c r="G79" s="14">
        <v>30</v>
      </c>
      <c r="H79" s="1">
        <v>7.0000000000000007E-2</v>
      </c>
      <c r="I79" s="14">
        <v>61045.2</v>
      </c>
      <c r="J79" s="14">
        <v>30632</v>
      </c>
      <c r="K79" s="15">
        <f>Table5[[#This Row],[Selling Price]]*Table5[[#This Row],[Units Sold]]</f>
        <v>65640</v>
      </c>
      <c r="L79" t="str">
        <f t="shared" si="1"/>
        <v>2023-02</v>
      </c>
      <c r="M79" t="str">
        <f>VLOOKUP(Table5[[#This Row],[Store ID]],Table4[[Store ID]:[Store Location]],2)</f>
        <v>Glasgow</v>
      </c>
      <c r="N79" t="str">
        <f>VLOOKUP(Table5[[#This Row],[Store ID]],Table4[[Store ID]:[Region]],3)</f>
        <v>Scotland</v>
      </c>
      <c r="O79" t="str">
        <f>VLOOKUP(Table5[[#This Row],[Product ID]],'Product Master'!$A$2:$D$10,4)</f>
        <v>Supplier D</v>
      </c>
      <c r="P79" s="15">
        <f>Table5[[#This Row],[Total Revenue]]-Table5[[#This Row],[Net Sales Revenue]]</f>
        <v>4594.8000000000029</v>
      </c>
      <c r="Q79" s="15">
        <f>Table5[[#This Row],[Net Sales Revenue]]/Table5[[#This Row],[Units Sold]]</f>
        <v>27.9</v>
      </c>
      <c r="R79">
        <f>VLOOKUP(Table5[[#This Row],[Product ID]],'Product Master'!$A$1:$E$10,5,FALSE)</f>
        <v>14</v>
      </c>
      <c r="S79" s="15">
        <f>Table5[[#This Row],[standard product cost per unit]]*Table5[[#This Row],[Units Sold]]</f>
        <v>30632</v>
      </c>
      <c r="T79" s="15">
        <f>Table5[[#This Row],[Cost of Sales]]-Table5[[#This Row],[Standard cost]]</f>
        <v>0</v>
      </c>
      <c r="U79" s="15">
        <f>Table5[[#This Row],[Net Sales Revenue]]-Table5[[#This Row],[Cost of Sales]]</f>
        <v>30413.199999999997</v>
      </c>
      <c r="V79" s="17">
        <f>Table5[[#This Row],[GrossProfit]]/Table5[[#This Row],[Net Sales Revenue]]</f>
        <v>0.49820788530465948</v>
      </c>
    </row>
    <row r="80" spans="1:22" ht="14.25" customHeight="1" x14ac:dyDescent="0.25">
      <c r="A80" s="1" t="s">
        <v>147</v>
      </c>
      <c r="B80" s="1" t="s">
        <v>114</v>
      </c>
      <c r="C80" s="1" t="s">
        <v>52</v>
      </c>
      <c r="D80" s="1" t="s">
        <v>25</v>
      </c>
      <c r="E80" s="1" t="s">
        <v>27</v>
      </c>
      <c r="F80" s="1">
        <v>2216</v>
      </c>
      <c r="G80" s="14">
        <v>40</v>
      </c>
      <c r="H80" s="1">
        <v>0.06</v>
      </c>
      <c r="I80" s="14">
        <v>83321.600000000006</v>
      </c>
      <c r="J80" s="14">
        <v>44320</v>
      </c>
      <c r="K80" s="15">
        <f>Table5[[#This Row],[Selling Price]]*Table5[[#This Row],[Units Sold]]</f>
        <v>88640</v>
      </c>
      <c r="L80" t="str">
        <f t="shared" si="1"/>
        <v>2023-02</v>
      </c>
      <c r="M80" t="str">
        <f>VLOOKUP(Table5[[#This Row],[Store ID]],Table4[[Store ID]:[Store Location]],2)</f>
        <v>Glasgow</v>
      </c>
      <c r="N80" t="str">
        <f>VLOOKUP(Table5[[#This Row],[Store ID]],Table4[[Store ID]:[Region]],3)</f>
        <v>Scotland</v>
      </c>
      <c r="O80" t="str">
        <f>VLOOKUP(Table5[[#This Row],[Product ID]],'Product Master'!$A$2:$D$10,4)</f>
        <v>Supplier E</v>
      </c>
      <c r="P80" s="15">
        <f>Table5[[#This Row],[Total Revenue]]-Table5[[#This Row],[Net Sales Revenue]]</f>
        <v>5318.3999999999942</v>
      </c>
      <c r="Q80" s="15">
        <f>Table5[[#This Row],[Net Sales Revenue]]/Table5[[#This Row],[Units Sold]]</f>
        <v>37.6</v>
      </c>
      <c r="R80">
        <f>VLOOKUP(Table5[[#This Row],[Product ID]],'Product Master'!$A$1:$E$10,5,FALSE)</f>
        <v>20</v>
      </c>
      <c r="S80" s="15">
        <f>Table5[[#This Row],[standard product cost per unit]]*Table5[[#This Row],[Units Sold]]</f>
        <v>44320</v>
      </c>
      <c r="T80" s="15">
        <f>Table5[[#This Row],[Cost of Sales]]-Table5[[#This Row],[Standard cost]]</f>
        <v>0</v>
      </c>
      <c r="U80" s="15">
        <f>Table5[[#This Row],[Net Sales Revenue]]-Table5[[#This Row],[Cost of Sales]]</f>
        <v>39001.600000000006</v>
      </c>
      <c r="V80" s="17">
        <f>Table5[[#This Row],[GrossProfit]]/Table5[[#This Row],[Net Sales Revenue]]</f>
        <v>0.46808510638297873</v>
      </c>
    </row>
    <row r="81" spans="1:22" ht="14.25" customHeight="1" x14ac:dyDescent="0.25">
      <c r="A81" s="1" t="s">
        <v>148</v>
      </c>
      <c r="B81" s="1" t="s">
        <v>114</v>
      </c>
      <c r="C81" s="1" t="s">
        <v>52</v>
      </c>
      <c r="D81" s="1" t="s">
        <v>29</v>
      </c>
      <c r="E81" s="1" t="s">
        <v>31</v>
      </c>
      <c r="F81" s="1">
        <v>1252</v>
      </c>
      <c r="G81" s="14">
        <v>10</v>
      </c>
      <c r="H81" s="1">
        <v>7.0000000000000007E-2</v>
      </c>
      <c r="I81" s="14">
        <v>11643.6</v>
      </c>
      <c r="J81" s="14">
        <v>5008</v>
      </c>
      <c r="K81" s="15">
        <f>Table5[[#This Row],[Selling Price]]*Table5[[#This Row],[Units Sold]]</f>
        <v>12520</v>
      </c>
      <c r="L81" t="str">
        <f t="shared" si="1"/>
        <v>2023-02</v>
      </c>
      <c r="M81" t="str">
        <f>VLOOKUP(Table5[[#This Row],[Store ID]],Table4[[Store ID]:[Store Location]],2)</f>
        <v>Glasgow</v>
      </c>
      <c r="N81" t="str">
        <f>VLOOKUP(Table5[[#This Row],[Store ID]],Table4[[Store ID]:[Region]],3)</f>
        <v>Scotland</v>
      </c>
      <c r="O81" t="str">
        <f>VLOOKUP(Table5[[#This Row],[Product ID]],'Product Master'!$A$2:$D$10,4)</f>
        <v>Supplier F</v>
      </c>
      <c r="P81" s="15">
        <f>Table5[[#This Row],[Total Revenue]]-Table5[[#This Row],[Net Sales Revenue]]</f>
        <v>876.39999999999964</v>
      </c>
      <c r="Q81" s="15">
        <f>Table5[[#This Row],[Net Sales Revenue]]/Table5[[#This Row],[Units Sold]]</f>
        <v>9.3000000000000007</v>
      </c>
      <c r="R81">
        <f>VLOOKUP(Table5[[#This Row],[Product ID]],'Product Master'!$A$1:$E$10,5,FALSE)</f>
        <v>4</v>
      </c>
      <c r="S81" s="15">
        <f>Table5[[#This Row],[standard product cost per unit]]*Table5[[#This Row],[Units Sold]]</f>
        <v>5008</v>
      </c>
      <c r="T81" s="15">
        <f>Table5[[#This Row],[Cost of Sales]]-Table5[[#This Row],[Standard cost]]</f>
        <v>0</v>
      </c>
      <c r="U81" s="15">
        <f>Table5[[#This Row],[Net Sales Revenue]]-Table5[[#This Row],[Cost of Sales]]</f>
        <v>6635.6</v>
      </c>
      <c r="V81" s="17">
        <f>Table5[[#This Row],[GrossProfit]]/Table5[[#This Row],[Net Sales Revenue]]</f>
        <v>0.56989247311827962</v>
      </c>
    </row>
    <row r="82" spans="1:22" ht="14.25" customHeight="1" x14ac:dyDescent="0.25">
      <c r="A82" s="1" t="s">
        <v>149</v>
      </c>
      <c r="B82" s="1" t="s">
        <v>114</v>
      </c>
      <c r="C82" s="1" t="s">
        <v>52</v>
      </c>
      <c r="D82" s="1" t="s">
        <v>33</v>
      </c>
      <c r="E82" s="1" t="s">
        <v>31</v>
      </c>
      <c r="F82" s="1">
        <v>1348</v>
      </c>
      <c r="G82" s="14">
        <v>22</v>
      </c>
      <c r="H82" s="1">
        <v>0.1</v>
      </c>
      <c r="I82" s="14">
        <v>26690.400000000001</v>
      </c>
      <c r="J82" s="14">
        <v>13480</v>
      </c>
      <c r="K82" s="15">
        <f>Table5[[#This Row],[Selling Price]]*Table5[[#This Row],[Units Sold]]</f>
        <v>29656</v>
      </c>
      <c r="L82" t="str">
        <f t="shared" si="1"/>
        <v>2023-02</v>
      </c>
      <c r="M82" t="str">
        <f>VLOOKUP(Table5[[#This Row],[Store ID]],Table4[[Store ID]:[Store Location]],2)</f>
        <v>Glasgow</v>
      </c>
      <c r="N82" t="str">
        <f>VLOOKUP(Table5[[#This Row],[Store ID]],Table4[[Store ID]:[Region]],3)</f>
        <v>Scotland</v>
      </c>
      <c r="O82" t="str">
        <f>VLOOKUP(Table5[[#This Row],[Product ID]],'Product Master'!$A$2:$D$10,4)</f>
        <v>Supplier F</v>
      </c>
      <c r="P82" s="15">
        <f>Table5[[#This Row],[Total Revenue]]-Table5[[#This Row],[Net Sales Revenue]]</f>
        <v>2965.5999999999985</v>
      </c>
      <c r="Q82" s="15">
        <f>Table5[[#This Row],[Net Sales Revenue]]/Table5[[#This Row],[Units Sold]]</f>
        <v>19.8</v>
      </c>
      <c r="R82">
        <f>VLOOKUP(Table5[[#This Row],[Product ID]],'Product Master'!$A$1:$E$10,5,FALSE)</f>
        <v>10</v>
      </c>
      <c r="S82" s="15">
        <f>Table5[[#This Row],[standard product cost per unit]]*Table5[[#This Row],[Units Sold]]</f>
        <v>13480</v>
      </c>
      <c r="T82" s="15">
        <f>Table5[[#This Row],[Cost of Sales]]-Table5[[#This Row],[Standard cost]]</f>
        <v>0</v>
      </c>
      <c r="U82" s="15">
        <f>Table5[[#This Row],[Net Sales Revenue]]-Table5[[#This Row],[Cost of Sales]]</f>
        <v>13210.400000000001</v>
      </c>
      <c r="V82" s="17">
        <f>Table5[[#This Row],[GrossProfit]]/Table5[[#This Row],[Net Sales Revenue]]</f>
        <v>0.49494949494949497</v>
      </c>
    </row>
    <row r="83" spans="1:22" ht="14.25" customHeight="1" x14ac:dyDescent="0.25">
      <c r="A83" s="1" t="s">
        <v>150</v>
      </c>
      <c r="B83" s="1" t="s">
        <v>114</v>
      </c>
      <c r="C83" s="1" t="s">
        <v>56</v>
      </c>
      <c r="D83" s="1" t="s">
        <v>6</v>
      </c>
      <c r="E83" s="1" t="s">
        <v>8</v>
      </c>
      <c r="F83" s="1">
        <v>1828</v>
      </c>
      <c r="G83" s="14">
        <v>24</v>
      </c>
      <c r="H83" s="1">
        <v>7.0000000000000007E-2</v>
      </c>
      <c r="I83" s="14">
        <v>40800.959999999999</v>
      </c>
      <c r="J83" s="14">
        <v>21936</v>
      </c>
      <c r="K83" s="15">
        <f>Table5[[#This Row],[Selling Price]]*Table5[[#This Row],[Units Sold]]</f>
        <v>43872</v>
      </c>
      <c r="L83" t="str">
        <f t="shared" si="1"/>
        <v>2023-02</v>
      </c>
      <c r="M83" t="str">
        <f>VLOOKUP(Table5[[#This Row],[Store ID]],Table4[[Store ID]:[Store Location]],2)</f>
        <v>Leeds</v>
      </c>
      <c r="N83" t="str">
        <f>VLOOKUP(Table5[[#This Row],[Store ID]],Table4[[Store ID]:[Region]],3)</f>
        <v>North</v>
      </c>
      <c r="O83" t="str">
        <f>VLOOKUP(Table5[[#This Row],[Product ID]],'Product Master'!$A$2:$D$10,4)</f>
        <v>Supplier A</v>
      </c>
      <c r="P83" s="15">
        <f>Table5[[#This Row],[Total Revenue]]-Table5[[#This Row],[Net Sales Revenue]]</f>
        <v>3071.0400000000009</v>
      </c>
      <c r="Q83" s="15">
        <f>Table5[[#This Row],[Net Sales Revenue]]/Table5[[#This Row],[Units Sold]]</f>
        <v>22.32</v>
      </c>
      <c r="R83">
        <f>VLOOKUP(Table5[[#This Row],[Product ID]],'Product Master'!$A$1:$E$10,5,FALSE)</f>
        <v>12</v>
      </c>
      <c r="S83" s="15">
        <f>Table5[[#This Row],[standard product cost per unit]]*Table5[[#This Row],[Units Sold]]</f>
        <v>21936</v>
      </c>
      <c r="T83" s="15">
        <f>Table5[[#This Row],[Cost of Sales]]-Table5[[#This Row],[Standard cost]]</f>
        <v>0</v>
      </c>
      <c r="U83" s="15">
        <f>Table5[[#This Row],[Net Sales Revenue]]-Table5[[#This Row],[Cost of Sales]]</f>
        <v>18864.96</v>
      </c>
      <c r="V83" s="17">
        <f>Table5[[#This Row],[GrossProfit]]/Table5[[#This Row],[Net Sales Revenue]]</f>
        <v>0.46236559139784944</v>
      </c>
    </row>
    <row r="84" spans="1:22" ht="14.25" customHeight="1" x14ac:dyDescent="0.25">
      <c r="A84" s="1" t="s">
        <v>151</v>
      </c>
      <c r="B84" s="1" t="s">
        <v>114</v>
      </c>
      <c r="C84" s="1" t="s">
        <v>56</v>
      </c>
      <c r="D84" s="1" t="s">
        <v>10</v>
      </c>
      <c r="E84" s="1" t="s">
        <v>8</v>
      </c>
      <c r="F84" s="1">
        <v>2488</v>
      </c>
      <c r="G84" s="14">
        <v>50</v>
      </c>
      <c r="H84" s="1">
        <v>0.09</v>
      </c>
      <c r="I84" s="14">
        <v>113204</v>
      </c>
      <c r="J84" s="14">
        <v>69664</v>
      </c>
      <c r="K84" s="15">
        <f>Table5[[#This Row],[Selling Price]]*Table5[[#This Row],[Units Sold]]</f>
        <v>124400</v>
      </c>
      <c r="L84" t="str">
        <f t="shared" si="1"/>
        <v>2023-02</v>
      </c>
      <c r="M84" t="str">
        <f>VLOOKUP(Table5[[#This Row],[Store ID]],Table4[[Store ID]:[Store Location]],2)</f>
        <v>Leeds</v>
      </c>
      <c r="N84" t="str">
        <f>VLOOKUP(Table5[[#This Row],[Store ID]],Table4[[Store ID]:[Region]],3)</f>
        <v>North</v>
      </c>
      <c r="O84" t="str">
        <f>VLOOKUP(Table5[[#This Row],[Product ID]],'Product Master'!$A$2:$D$10,4)</f>
        <v>Supplier B</v>
      </c>
      <c r="P84" s="15">
        <f>Table5[[#This Row],[Total Revenue]]-Table5[[#This Row],[Net Sales Revenue]]</f>
        <v>11196</v>
      </c>
      <c r="Q84" s="15">
        <f>Table5[[#This Row],[Net Sales Revenue]]/Table5[[#This Row],[Units Sold]]</f>
        <v>45.5</v>
      </c>
      <c r="R84">
        <f>VLOOKUP(Table5[[#This Row],[Product ID]],'Product Master'!$A$1:$E$10,5,FALSE)</f>
        <v>28</v>
      </c>
      <c r="S84" s="15">
        <f>Table5[[#This Row],[standard product cost per unit]]*Table5[[#This Row],[Units Sold]]</f>
        <v>69664</v>
      </c>
      <c r="T84" s="15">
        <f>Table5[[#This Row],[Cost of Sales]]-Table5[[#This Row],[Standard cost]]</f>
        <v>0</v>
      </c>
      <c r="U84" s="15">
        <f>Table5[[#This Row],[Net Sales Revenue]]-Table5[[#This Row],[Cost of Sales]]</f>
        <v>43540</v>
      </c>
      <c r="V84" s="17">
        <f>Table5[[#This Row],[GrossProfit]]/Table5[[#This Row],[Net Sales Revenue]]</f>
        <v>0.38461538461538464</v>
      </c>
    </row>
    <row r="85" spans="1:22" ht="14.25" customHeight="1" x14ac:dyDescent="0.25">
      <c r="A85" s="1" t="s">
        <v>152</v>
      </c>
      <c r="B85" s="1" t="s">
        <v>114</v>
      </c>
      <c r="C85" s="1" t="s">
        <v>56</v>
      </c>
      <c r="D85" s="1" t="s">
        <v>13</v>
      </c>
      <c r="E85" s="1" t="s">
        <v>15</v>
      </c>
      <c r="F85" s="1">
        <v>2324</v>
      </c>
      <c r="G85" s="14">
        <v>28</v>
      </c>
      <c r="H85" s="1">
        <v>0.08</v>
      </c>
      <c r="I85" s="14">
        <v>59866.239999999998</v>
      </c>
      <c r="J85" s="14">
        <v>34860</v>
      </c>
      <c r="K85" s="15">
        <f>Table5[[#This Row],[Selling Price]]*Table5[[#This Row],[Units Sold]]</f>
        <v>65072</v>
      </c>
      <c r="L85" t="str">
        <f t="shared" si="1"/>
        <v>2023-02</v>
      </c>
      <c r="M85" t="str">
        <f>VLOOKUP(Table5[[#This Row],[Store ID]],Table4[[Store ID]:[Store Location]],2)</f>
        <v>Leeds</v>
      </c>
      <c r="N85" t="str">
        <f>VLOOKUP(Table5[[#This Row],[Store ID]],Table4[[Store ID]:[Region]],3)</f>
        <v>North</v>
      </c>
      <c r="O85" t="str">
        <f>VLOOKUP(Table5[[#This Row],[Product ID]],'Product Master'!$A$2:$D$10,4)</f>
        <v>Supplier C</v>
      </c>
      <c r="P85" s="15">
        <f>Table5[[#This Row],[Total Revenue]]-Table5[[#This Row],[Net Sales Revenue]]</f>
        <v>5205.760000000002</v>
      </c>
      <c r="Q85" s="15">
        <f>Table5[[#This Row],[Net Sales Revenue]]/Table5[[#This Row],[Units Sold]]</f>
        <v>25.759999999999998</v>
      </c>
      <c r="R85">
        <f>VLOOKUP(Table5[[#This Row],[Product ID]],'Product Master'!$A$1:$E$10,5,FALSE)</f>
        <v>15</v>
      </c>
      <c r="S85" s="15">
        <f>Table5[[#This Row],[standard product cost per unit]]*Table5[[#This Row],[Units Sold]]</f>
        <v>34860</v>
      </c>
      <c r="T85" s="15">
        <f>Table5[[#This Row],[Cost of Sales]]-Table5[[#This Row],[Standard cost]]</f>
        <v>0</v>
      </c>
      <c r="U85" s="15">
        <f>Table5[[#This Row],[Net Sales Revenue]]-Table5[[#This Row],[Cost of Sales]]</f>
        <v>25006.239999999998</v>
      </c>
      <c r="V85" s="17">
        <f>Table5[[#This Row],[GrossProfit]]/Table5[[#This Row],[Net Sales Revenue]]</f>
        <v>0.41770186335403725</v>
      </c>
    </row>
    <row r="86" spans="1:22" ht="14.25" customHeight="1" x14ac:dyDescent="0.25">
      <c r="A86" s="1" t="s">
        <v>153</v>
      </c>
      <c r="B86" s="1" t="s">
        <v>114</v>
      </c>
      <c r="C86" s="1" t="s">
        <v>56</v>
      </c>
      <c r="D86" s="1" t="s">
        <v>17</v>
      </c>
      <c r="E86" s="1" t="s">
        <v>15</v>
      </c>
      <c r="F86" s="1">
        <v>2680</v>
      </c>
      <c r="G86" s="14">
        <v>35</v>
      </c>
      <c r="H86" s="1">
        <v>0.08</v>
      </c>
      <c r="I86" s="14">
        <v>86296</v>
      </c>
      <c r="J86" s="14">
        <v>48240</v>
      </c>
      <c r="K86" s="15">
        <f>Table5[[#This Row],[Selling Price]]*Table5[[#This Row],[Units Sold]]</f>
        <v>93800</v>
      </c>
      <c r="L86" t="str">
        <f t="shared" si="1"/>
        <v>2023-02</v>
      </c>
      <c r="M86" t="str">
        <f>VLOOKUP(Table5[[#This Row],[Store ID]],Table4[[Store ID]:[Store Location]],2)</f>
        <v>Leeds</v>
      </c>
      <c r="N86" t="str">
        <f>VLOOKUP(Table5[[#This Row],[Store ID]],Table4[[Store ID]:[Region]],3)</f>
        <v>North</v>
      </c>
      <c r="O86" t="str">
        <f>VLOOKUP(Table5[[#This Row],[Product ID]],'Product Master'!$A$2:$D$10,4)</f>
        <v>Supplier C</v>
      </c>
      <c r="P86" s="15">
        <f>Table5[[#This Row],[Total Revenue]]-Table5[[#This Row],[Net Sales Revenue]]</f>
        <v>7504</v>
      </c>
      <c r="Q86" s="15">
        <f>Table5[[#This Row],[Net Sales Revenue]]/Table5[[#This Row],[Units Sold]]</f>
        <v>32.200000000000003</v>
      </c>
      <c r="R86">
        <f>VLOOKUP(Table5[[#This Row],[Product ID]],'Product Master'!$A$1:$E$10,5,FALSE)</f>
        <v>18</v>
      </c>
      <c r="S86" s="15">
        <f>Table5[[#This Row],[standard product cost per unit]]*Table5[[#This Row],[Units Sold]]</f>
        <v>48240</v>
      </c>
      <c r="T86" s="15">
        <f>Table5[[#This Row],[Cost of Sales]]-Table5[[#This Row],[Standard cost]]</f>
        <v>0</v>
      </c>
      <c r="U86" s="15">
        <f>Table5[[#This Row],[Net Sales Revenue]]-Table5[[#This Row],[Cost of Sales]]</f>
        <v>38056</v>
      </c>
      <c r="V86" s="17">
        <f>Table5[[#This Row],[GrossProfit]]/Table5[[#This Row],[Net Sales Revenue]]</f>
        <v>0.44099378881987578</v>
      </c>
    </row>
    <row r="87" spans="1:22" ht="14.25" customHeight="1" x14ac:dyDescent="0.25">
      <c r="A87" s="1" t="s">
        <v>154</v>
      </c>
      <c r="B87" s="1" t="s">
        <v>114</v>
      </c>
      <c r="C87" s="1" t="s">
        <v>56</v>
      </c>
      <c r="D87" s="1" t="s">
        <v>19</v>
      </c>
      <c r="E87" s="1" t="s">
        <v>21</v>
      </c>
      <c r="F87" s="1">
        <v>1476</v>
      </c>
      <c r="G87" s="14">
        <v>18</v>
      </c>
      <c r="H87" s="1">
        <v>0.05</v>
      </c>
      <c r="I87" s="14">
        <v>25239.599999999999</v>
      </c>
      <c r="J87" s="14">
        <v>13284</v>
      </c>
      <c r="K87" s="15">
        <f>Table5[[#This Row],[Selling Price]]*Table5[[#This Row],[Units Sold]]</f>
        <v>26568</v>
      </c>
      <c r="L87" t="str">
        <f t="shared" si="1"/>
        <v>2023-02</v>
      </c>
      <c r="M87" t="str">
        <f>VLOOKUP(Table5[[#This Row],[Store ID]],Table4[[Store ID]:[Store Location]],2)</f>
        <v>Leeds</v>
      </c>
      <c r="N87" t="str">
        <f>VLOOKUP(Table5[[#This Row],[Store ID]],Table4[[Store ID]:[Region]],3)</f>
        <v>North</v>
      </c>
      <c r="O87" t="str">
        <f>VLOOKUP(Table5[[#This Row],[Product ID]],'Product Master'!$A$2:$D$10,4)</f>
        <v>Supplier D</v>
      </c>
      <c r="P87" s="15">
        <f>Table5[[#This Row],[Total Revenue]]-Table5[[#This Row],[Net Sales Revenue]]</f>
        <v>1328.4000000000015</v>
      </c>
      <c r="Q87" s="15">
        <f>Table5[[#This Row],[Net Sales Revenue]]/Table5[[#This Row],[Units Sold]]</f>
        <v>17.099999999999998</v>
      </c>
      <c r="R87">
        <f>VLOOKUP(Table5[[#This Row],[Product ID]],'Product Master'!$A$1:$E$10,5,FALSE)</f>
        <v>9</v>
      </c>
      <c r="S87" s="15">
        <f>Table5[[#This Row],[standard product cost per unit]]*Table5[[#This Row],[Units Sold]]</f>
        <v>13284</v>
      </c>
      <c r="T87" s="15">
        <f>Table5[[#This Row],[Cost of Sales]]-Table5[[#This Row],[Standard cost]]</f>
        <v>0</v>
      </c>
      <c r="U87" s="15">
        <f>Table5[[#This Row],[Net Sales Revenue]]-Table5[[#This Row],[Cost of Sales]]</f>
        <v>11955.599999999999</v>
      </c>
      <c r="V87" s="17">
        <f>Table5[[#This Row],[GrossProfit]]/Table5[[#This Row],[Net Sales Revenue]]</f>
        <v>0.47368421052631576</v>
      </c>
    </row>
    <row r="88" spans="1:22" ht="14.25" customHeight="1" x14ac:dyDescent="0.25">
      <c r="A88" s="1" t="s">
        <v>155</v>
      </c>
      <c r="B88" s="1" t="s">
        <v>114</v>
      </c>
      <c r="C88" s="1" t="s">
        <v>56</v>
      </c>
      <c r="D88" s="1" t="s">
        <v>23</v>
      </c>
      <c r="E88" s="1" t="s">
        <v>21</v>
      </c>
      <c r="F88" s="1">
        <v>2704</v>
      </c>
      <c r="G88" s="14">
        <v>30</v>
      </c>
      <c r="H88" s="1">
        <v>0.1</v>
      </c>
      <c r="I88" s="14">
        <v>73008</v>
      </c>
      <c r="J88" s="14">
        <v>37856</v>
      </c>
      <c r="K88" s="15">
        <f>Table5[[#This Row],[Selling Price]]*Table5[[#This Row],[Units Sold]]</f>
        <v>81120</v>
      </c>
      <c r="L88" t="str">
        <f t="shared" si="1"/>
        <v>2023-02</v>
      </c>
      <c r="M88" t="str">
        <f>VLOOKUP(Table5[[#This Row],[Store ID]],Table4[[Store ID]:[Store Location]],2)</f>
        <v>Leeds</v>
      </c>
      <c r="N88" t="str">
        <f>VLOOKUP(Table5[[#This Row],[Store ID]],Table4[[Store ID]:[Region]],3)</f>
        <v>North</v>
      </c>
      <c r="O88" t="str">
        <f>VLOOKUP(Table5[[#This Row],[Product ID]],'Product Master'!$A$2:$D$10,4)</f>
        <v>Supplier D</v>
      </c>
      <c r="P88" s="15">
        <f>Table5[[#This Row],[Total Revenue]]-Table5[[#This Row],[Net Sales Revenue]]</f>
        <v>8112</v>
      </c>
      <c r="Q88" s="15">
        <f>Table5[[#This Row],[Net Sales Revenue]]/Table5[[#This Row],[Units Sold]]</f>
        <v>27</v>
      </c>
      <c r="R88">
        <f>VLOOKUP(Table5[[#This Row],[Product ID]],'Product Master'!$A$1:$E$10,5,FALSE)</f>
        <v>14</v>
      </c>
      <c r="S88" s="15">
        <f>Table5[[#This Row],[standard product cost per unit]]*Table5[[#This Row],[Units Sold]]</f>
        <v>37856</v>
      </c>
      <c r="T88" s="15">
        <f>Table5[[#This Row],[Cost of Sales]]-Table5[[#This Row],[Standard cost]]</f>
        <v>0</v>
      </c>
      <c r="U88" s="15">
        <f>Table5[[#This Row],[Net Sales Revenue]]-Table5[[#This Row],[Cost of Sales]]</f>
        <v>35152</v>
      </c>
      <c r="V88" s="17">
        <f>Table5[[#This Row],[GrossProfit]]/Table5[[#This Row],[Net Sales Revenue]]</f>
        <v>0.48148148148148145</v>
      </c>
    </row>
    <row r="89" spans="1:22" ht="14.25" customHeight="1" x14ac:dyDescent="0.25">
      <c r="A89" s="1" t="s">
        <v>156</v>
      </c>
      <c r="B89" s="1" t="s">
        <v>114</v>
      </c>
      <c r="C89" s="1" t="s">
        <v>56</v>
      </c>
      <c r="D89" s="1" t="s">
        <v>25</v>
      </c>
      <c r="E89" s="1" t="s">
        <v>27</v>
      </c>
      <c r="F89" s="1">
        <v>1680</v>
      </c>
      <c r="G89" s="14">
        <v>40</v>
      </c>
      <c r="H89" s="1">
        <v>0.06</v>
      </c>
      <c r="I89" s="14">
        <v>63168</v>
      </c>
      <c r="J89" s="14">
        <v>33600</v>
      </c>
      <c r="K89" s="15">
        <f>Table5[[#This Row],[Selling Price]]*Table5[[#This Row],[Units Sold]]</f>
        <v>67200</v>
      </c>
      <c r="L89" t="str">
        <f t="shared" si="1"/>
        <v>2023-02</v>
      </c>
      <c r="M89" t="str">
        <f>VLOOKUP(Table5[[#This Row],[Store ID]],Table4[[Store ID]:[Store Location]],2)</f>
        <v>Leeds</v>
      </c>
      <c r="N89" t="str">
        <f>VLOOKUP(Table5[[#This Row],[Store ID]],Table4[[Store ID]:[Region]],3)</f>
        <v>North</v>
      </c>
      <c r="O89" t="str">
        <f>VLOOKUP(Table5[[#This Row],[Product ID]],'Product Master'!$A$2:$D$10,4)</f>
        <v>Supplier E</v>
      </c>
      <c r="P89" s="15">
        <f>Table5[[#This Row],[Total Revenue]]-Table5[[#This Row],[Net Sales Revenue]]</f>
        <v>4032</v>
      </c>
      <c r="Q89" s="15">
        <f>Table5[[#This Row],[Net Sales Revenue]]/Table5[[#This Row],[Units Sold]]</f>
        <v>37.6</v>
      </c>
      <c r="R89">
        <f>VLOOKUP(Table5[[#This Row],[Product ID]],'Product Master'!$A$1:$E$10,5,FALSE)</f>
        <v>20</v>
      </c>
      <c r="S89" s="15">
        <f>Table5[[#This Row],[standard product cost per unit]]*Table5[[#This Row],[Units Sold]]</f>
        <v>33600</v>
      </c>
      <c r="T89" s="15">
        <f>Table5[[#This Row],[Cost of Sales]]-Table5[[#This Row],[Standard cost]]</f>
        <v>0</v>
      </c>
      <c r="U89" s="15">
        <f>Table5[[#This Row],[Net Sales Revenue]]-Table5[[#This Row],[Cost of Sales]]</f>
        <v>29568</v>
      </c>
      <c r="V89" s="17">
        <f>Table5[[#This Row],[GrossProfit]]/Table5[[#This Row],[Net Sales Revenue]]</f>
        <v>0.46808510638297873</v>
      </c>
    </row>
    <row r="90" spans="1:22" ht="14.25" customHeight="1" x14ac:dyDescent="0.25">
      <c r="A90" s="1" t="s">
        <v>157</v>
      </c>
      <c r="B90" s="1" t="s">
        <v>114</v>
      </c>
      <c r="C90" s="1" t="s">
        <v>56</v>
      </c>
      <c r="D90" s="1" t="s">
        <v>29</v>
      </c>
      <c r="E90" s="1" t="s">
        <v>31</v>
      </c>
      <c r="F90" s="1">
        <v>2644</v>
      </c>
      <c r="G90" s="14">
        <v>10</v>
      </c>
      <c r="H90" s="1">
        <v>0.09</v>
      </c>
      <c r="I90" s="14">
        <v>24060.400000000001</v>
      </c>
      <c r="J90" s="14">
        <v>10576</v>
      </c>
      <c r="K90" s="15">
        <f>Table5[[#This Row],[Selling Price]]*Table5[[#This Row],[Units Sold]]</f>
        <v>26440</v>
      </c>
      <c r="L90" t="str">
        <f t="shared" si="1"/>
        <v>2023-02</v>
      </c>
      <c r="M90" t="str">
        <f>VLOOKUP(Table5[[#This Row],[Store ID]],Table4[[Store ID]:[Store Location]],2)</f>
        <v>Leeds</v>
      </c>
      <c r="N90" t="str">
        <f>VLOOKUP(Table5[[#This Row],[Store ID]],Table4[[Store ID]:[Region]],3)</f>
        <v>North</v>
      </c>
      <c r="O90" t="str">
        <f>VLOOKUP(Table5[[#This Row],[Product ID]],'Product Master'!$A$2:$D$10,4)</f>
        <v>Supplier F</v>
      </c>
      <c r="P90" s="15">
        <f>Table5[[#This Row],[Total Revenue]]-Table5[[#This Row],[Net Sales Revenue]]</f>
        <v>2379.5999999999985</v>
      </c>
      <c r="Q90" s="15">
        <f>Table5[[#This Row],[Net Sales Revenue]]/Table5[[#This Row],[Units Sold]]</f>
        <v>9.1000000000000014</v>
      </c>
      <c r="R90">
        <f>VLOOKUP(Table5[[#This Row],[Product ID]],'Product Master'!$A$1:$E$10,5,FALSE)</f>
        <v>4</v>
      </c>
      <c r="S90" s="15">
        <f>Table5[[#This Row],[standard product cost per unit]]*Table5[[#This Row],[Units Sold]]</f>
        <v>10576</v>
      </c>
      <c r="T90" s="15">
        <f>Table5[[#This Row],[Cost of Sales]]-Table5[[#This Row],[Standard cost]]</f>
        <v>0</v>
      </c>
      <c r="U90" s="15">
        <f>Table5[[#This Row],[Net Sales Revenue]]-Table5[[#This Row],[Cost of Sales]]</f>
        <v>13484.400000000001</v>
      </c>
      <c r="V90" s="17">
        <f>Table5[[#This Row],[GrossProfit]]/Table5[[#This Row],[Net Sales Revenue]]</f>
        <v>0.56043956043956045</v>
      </c>
    </row>
    <row r="91" spans="1:22" ht="14.25" customHeight="1" x14ac:dyDescent="0.25">
      <c r="A91" s="1" t="s">
        <v>158</v>
      </c>
      <c r="B91" s="1" t="s">
        <v>114</v>
      </c>
      <c r="C91" s="1" t="s">
        <v>56</v>
      </c>
      <c r="D91" s="1" t="s">
        <v>33</v>
      </c>
      <c r="E91" s="1" t="s">
        <v>31</v>
      </c>
      <c r="F91" s="1">
        <v>2140</v>
      </c>
      <c r="G91" s="14">
        <v>22</v>
      </c>
      <c r="H91" s="1">
        <v>0.08</v>
      </c>
      <c r="I91" s="14">
        <v>43313.599999999999</v>
      </c>
      <c r="J91" s="14">
        <v>21400</v>
      </c>
      <c r="K91" s="15">
        <f>Table5[[#This Row],[Selling Price]]*Table5[[#This Row],[Units Sold]]</f>
        <v>47080</v>
      </c>
      <c r="L91" t="str">
        <f t="shared" si="1"/>
        <v>2023-02</v>
      </c>
      <c r="M91" t="str">
        <f>VLOOKUP(Table5[[#This Row],[Store ID]],Table4[[Store ID]:[Store Location]],2)</f>
        <v>Leeds</v>
      </c>
      <c r="N91" t="str">
        <f>VLOOKUP(Table5[[#This Row],[Store ID]],Table4[[Store ID]:[Region]],3)</f>
        <v>North</v>
      </c>
      <c r="O91" t="str">
        <f>VLOOKUP(Table5[[#This Row],[Product ID]],'Product Master'!$A$2:$D$10,4)</f>
        <v>Supplier F</v>
      </c>
      <c r="P91" s="15">
        <f>Table5[[#This Row],[Total Revenue]]-Table5[[#This Row],[Net Sales Revenue]]</f>
        <v>3766.4000000000015</v>
      </c>
      <c r="Q91" s="15">
        <f>Table5[[#This Row],[Net Sales Revenue]]/Table5[[#This Row],[Units Sold]]</f>
        <v>20.239999999999998</v>
      </c>
      <c r="R91">
        <f>VLOOKUP(Table5[[#This Row],[Product ID]],'Product Master'!$A$1:$E$10,5,FALSE)</f>
        <v>10</v>
      </c>
      <c r="S91" s="15">
        <f>Table5[[#This Row],[standard product cost per unit]]*Table5[[#This Row],[Units Sold]]</f>
        <v>21400</v>
      </c>
      <c r="T91" s="15">
        <f>Table5[[#This Row],[Cost of Sales]]-Table5[[#This Row],[Standard cost]]</f>
        <v>0</v>
      </c>
      <c r="U91" s="15">
        <f>Table5[[#This Row],[Net Sales Revenue]]-Table5[[#This Row],[Cost of Sales]]</f>
        <v>21913.599999999999</v>
      </c>
      <c r="V91" s="17">
        <f>Table5[[#This Row],[GrossProfit]]/Table5[[#This Row],[Net Sales Revenue]]</f>
        <v>0.50592885375494068</v>
      </c>
    </row>
    <row r="92" spans="1:22" ht="14.25" customHeight="1" x14ac:dyDescent="0.25">
      <c r="A92" s="1" t="s">
        <v>159</v>
      </c>
      <c r="B92" s="1" t="s">
        <v>160</v>
      </c>
      <c r="C92" s="1" t="s">
        <v>40</v>
      </c>
      <c r="D92" s="1" t="s">
        <v>6</v>
      </c>
      <c r="E92" s="1" t="s">
        <v>8</v>
      </c>
      <c r="F92" s="1">
        <v>1440</v>
      </c>
      <c r="G92" s="14">
        <v>24</v>
      </c>
      <c r="H92" s="1">
        <v>0.1</v>
      </c>
      <c r="I92" s="14">
        <v>31104</v>
      </c>
      <c r="J92" s="14">
        <v>17280</v>
      </c>
      <c r="K92" s="15">
        <f>Table5[[#This Row],[Selling Price]]*Table5[[#This Row],[Units Sold]]</f>
        <v>34560</v>
      </c>
      <c r="L92" t="str">
        <f t="shared" si="1"/>
        <v>2023-03</v>
      </c>
      <c r="M92" t="str">
        <f>VLOOKUP(Table5[[#This Row],[Store ID]],Table4[[Store ID]:[Store Location]],2)</f>
        <v>Manchester</v>
      </c>
      <c r="N92" t="str">
        <f>VLOOKUP(Table5[[#This Row],[Store ID]],Table4[[Store ID]:[Region]],3)</f>
        <v>North</v>
      </c>
      <c r="O92" t="str">
        <f>VLOOKUP(Table5[[#This Row],[Product ID]],'Product Master'!$A$2:$D$10,4)</f>
        <v>Supplier A</v>
      </c>
      <c r="P92" s="15">
        <f>Table5[[#This Row],[Total Revenue]]-Table5[[#This Row],[Net Sales Revenue]]</f>
        <v>3456</v>
      </c>
      <c r="Q92" s="15">
        <f>Table5[[#This Row],[Net Sales Revenue]]/Table5[[#This Row],[Units Sold]]</f>
        <v>21.6</v>
      </c>
      <c r="R92">
        <f>VLOOKUP(Table5[[#This Row],[Product ID]],'Product Master'!$A$1:$E$10,5,FALSE)</f>
        <v>12</v>
      </c>
      <c r="S92" s="15">
        <f>Table5[[#This Row],[standard product cost per unit]]*Table5[[#This Row],[Units Sold]]</f>
        <v>17280</v>
      </c>
      <c r="T92" s="15">
        <f>Table5[[#This Row],[Cost of Sales]]-Table5[[#This Row],[Standard cost]]</f>
        <v>0</v>
      </c>
      <c r="U92" s="15">
        <f>Table5[[#This Row],[Net Sales Revenue]]-Table5[[#This Row],[Cost of Sales]]</f>
        <v>13824</v>
      </c>
      <c r="V92" s="17">
        <f>Table5[[#This Row],[GrossProfit]]/Table5[[#This Row],[Net Sales Revenue]]</f>
        <v>0.44444444444444442</v>
      </c>
    </row>
    <row r="93" spans="1:22" ht="14.25" customHeight="1" x14ac:dyDescent="0.25">
      <c r="A93" s="1" t="s">
        <v>161</v>
      </c>
      <c r="B93" s="1" t="s">
        <v>160</v>
      </c>
      <c r="C93" s="1" t="s">
        <v>40</v>
      </c>
      <c r="D93" s="1" t="s">
        <v>10</v>
      </c>
      <c r="E93" s="1" t="s">
        <v>8</v>
      </c>
      <c r="F93" s="1">
        <v>2284</v>
      </c>
      <c r="G93" s="14">
        <v>50</v>
      </c>
      <c r="H93" s="1">
        <v>0.08</v>
      </c>
      <c r="I93" s="14">
        <v>105064</v>
      </c>
      <c r="J93" s="14">
        <v>63952</v>
      </c>
      <c r="K93" s="15">
        <f>Table5[[#This Row],[Selling Price]]*Table5[[#This Row],[Units Sold]]</f>
        <v>114200</v>
      </c>
      <c r="L93" t="str">
        <f t="shared" si="1"/>
        <v>2023-03</v>
      </c>
      <c r="M93" t="str">
        <f>VLOOKUP(Table5[[#This Row],[Store ID]],Table4[[Store ID]:[Store Location]],2)</f>
        <v>Manchester</v>
      </c>
      <c r="N93" t="str">
        <f>VLOOKUP(Table5[[#This Row],[Store ID]],Table4[[Store ID]:[Region]],3)</f>
        <v>North</v>
      </c>
      <c r="O93" t="str">
        <f>VLOOKUP(Table5[[#This Row],[Product ID]],'Product Master'!$A$2:$D$10,4)</f>
        <v>Supplier B</v>
      </c>
      <c r="P93" s="15">
        <f>Table5[[#This Row],[Total Revenue]]-Table5[[#This Row],[Net Sales Revenue]]</f>
        <v>9136</v>
      </c>
      <c r="Q93" s="15">
        <f>Table5[[#This Row],[Net Sales Revenue]]/Table5[[#This Row],[Units Sold]]</f>
        <v>46</v>
      </c>
      <c r="R93">
        <f>VLOOKUP(Table5[[#This Row],[Product ID]],'Product Master'!$A$1:$E$10,5,FALSE)</f>
        <v>28</v>
      </c>
      <c r="S93" s="15">
        <f>Table5[[#This Row],[standard product cost per unit]]*Table5[[#This Row],[Units Sold]]</f>
        <v>63952</v>
      </c>
      <c r="T93" s="15">
        <f>Table5[[#This Row],[Cost of Sales]]-Table5[[#This Row],[Standard cost]]</f>
        <v>0</v>
      </c>
      <c r="U93" s="15">
        <f>Table5[[#This Row],[Net Sales Revenue]]-Table5[[#This Row],[Cost of Sales]]</f>
        <v>41112</v>
      </c>
      <c r="V93" s="17">
        <f>Table5[[#This Row],[GrossProfit]]/Table5[[#This Row],[Net Sales Revenue]]</f>
        <v>0.39130434782608697</v>
      </c>
    </row>
    <row r="94" spans="1:22" ht="14.25" customHeight="1" x14ac:dyDescent="0.25">
      <c r="A94" s="1" t="s">
        <v>162</v>
      </c>
      <c r="B94" s="1" t="s">
        <v>160</v>
      </c>
      <c r="C94" s="1" t="s">
        <v>40</v>
      </c>
      <c r="D94" s="1" t="s">
        <v>13</v>
      </c>
      <c r="E94" s="1" t="s">
        <v>15</v>
      </c>
      <c r="F94" s="1">
        <v>1604</v>
      </c>
      <c r="G94" s="14">
        <v>28</v>
      </c>
      <c r="H94" s="1">
        <v>0.08</v>
      </c>
      <c r="I94" s="14">
        <v>41319.040000000001</v>
      </c>
      <c r="J94" s="14">
        <v>24060</v>
      </c>
      <c r="K94" s="15">
        <f>Table5[[#This Row],[Selling Price]]*Table5[[#This Row],[Units Sold]]</f>
        <v>44912</v>
      </c>
      <c r="L94" t="str">
        <f t="shared" si="1"/>
        <v>2023-03</v>
      </c>
      <c r="M94" t="str">
        <f>VLOOKUP(Table5[[#This Row],[Store ID]],Table4[[Store ID]:[Store Location]],2)</f>
        <v>Manchester</v>
      </c>
      <c r="N94" t="str">
        <f>VLOOKUP(Table5[[#This Row],[Store ID]],Table4[[Store ID]:[Region]],3)</f>
        <v>North</v>
      </c>
      <c r="O94" t="str">
        <f>VLOOKUP(Table5[[#This Row],[Product ID]],'Product Master'!$A$2:$D$10,4)</f>
        <v>Supplier C</v>
      </c>
      <c r="P94" s="15">
        <f>Table5[[#This Row],[Total Revenue]]-Table5[[#This Row],[Net Sales Revenue]]</f>
        <v>3592.9599999999991</v>
      </c>
      <c r="Q94" s="15">
        <f>Table5[[#This Row],[Net Sales Revenue]]/Table5[[#This Row],[Units Sold]]</f>
        <v>25.76</v>
      </c>
      <c r="R94">
        <f>VLOOKUP(Table5[[#This Row],[Product ID]],'Product Master'!$A$1:$E$10,5,FALSE)</f>
        <v>15</v>
      </c>
      <c r="S94" s="15">
        <f>Table5[[#This Row],[standard product cost per unit]]*Table5[[#This Row],[Units Sold]]</f>
        <v>24060</v>
      </c>
      <c r="T94" s="15">
        <f>Table5[[#This Row],[Cost of Sales]]-Table5[[#This Row],[Standard cost]]</f>
        <v>0</v>
      </c>
      <c r="U94" s="15">
        <f>Table5[[#This Row],[Net Sales Revenue]]-Table5[[#This Row],[Cost of Sales]]</f>
        <v>17259.04</v>
      </c>
      <c r="V94" s="17">
        <f>Table5[[#This Row],[GrossProfit]]/Table5[[#This Row],[Net Sales Revenue]]</f>
        <v>0.41770186335403731</v>
      </c>
    </row>
    <row r="95" spans="1:22" ht="14.25" customHeight="1" x14ac:dyDescent="0.25">
      <c r="A95" s="1" t="s">
        <v>163</v>
      </c>
      <c r="B95" s="1" t="s">
        <v>160</v>
      </c>
      <c r="C95" s="1" t="s">
        <v>40</v>
      </c>
      <c r="D95" s="1" t="s">
        <v>17</v>
      </c>
      <c r="E95" s="1" t="s">
        <v>15</v>
      </c>
      <c r="F95" s="1">
        <v>1508</v>
      </c>
      <c r="G95" s="14">
        <v>35</v>
      </c>
      <c r="H95" s="1">
        <v>7.0000000000000007E-2</v>
      </c>
      <c r="I95" s="14">
        <v>49085.4</v>
      </c>
      <c r="J95" s="14">
        <v>27144</v>
      </c>
      <c r="K95" s="15">
        <f>Table5[[#This Row],[Selling Price]]*Table5[[#This Row],[Units Sold]]</f>
        <v>52780</v>
      </c>
      <c r="L95" t="str">
        <f t="shared" si="1"/>
        <v>2023-03</v>
      </c>
      <c r="M95" t="str">
        <f>VLOOKUP(Table5[[#This Row],[Store ID]],Table4[[Store ID]:[Store Location]],2)</f>
        <v>Manchester</v>
      </c>
      <c r="N95" t="str">
        <f>VLOOKUP(Table5[[#This Row],[Store ID]],Table4[[Store ID]:[Region]],3)</f>
        <v>North</v>
      </c>
      <c r="O95" t="str">
        <f>VLOOKUP(Table5[[#This Row],[Product ID]],'Product Master'!$A$2:$D$10,4)</f>
        <v>Supplier C</v>
      </c>
      <c r="P95" s="15">
        <f>Table5[[#This Row],[Total Revenue]]-Table5[[#This Row],[Net Sales Revenue]]</f>
        <v>3694.5999999999985</v>
      </c>
      <c r="Q95" s="15">
        <f>Table5[[#This Row],[Net Sales Revenue]]/Table5[[#This Row],[Units Sold]]</f>
        <v>32.550000000000004</v>
      </c>
      <c r="R95">
        <f>VLOOKUP(Table5[[#This Row],[Product ID]],'Product Master'!$A$1:$E$10,5,FALSE)</f>
        <v>18</v>
      </c>
      <c r="S95" s="15">
        <f>Table5[[#This Row],[standard product cost per unit]]*Table5[[#This Row],[Units Sold]]</f>
        <v>27144</v>
      </c>
      <c r="T95" s="15">
        <f>Table5[[#This Row],[Cost of Sales]]-Table5[[#This Row],[Standard cost]]</f>
        <v>0</v>
      </c>
      <c r="U95" s="15">
        <f>Table5[[#This Row],[Net Sales Revenue]]-Table5[[#This Row],[Cost of Sales]]</f>
        <v>21941.4</v>
      </c>
      <c r="V95" s="17">
        <f>Table5[[#This Row],[GrossProfit]]/Table5[[#This Row],[Net Sales Revenue]]</f>
        <v>0.44700460829493088</v>
      </c>
    </row>
    <row r="96" spans="1:22" ht="14.25" customHeight="1" x14ac:dyDescent="0.25">
      <c r="A96" s="1" t="s">
        <v>164</v>
      </c>
      <c r="B96" s="1" t="s">
        <v>160</v>
      </c>
      <c r="C96" s="1" t="s">
        <v>40</v>
      </c>
      <c r="D96" s="1" t="s">
        <v>19</v>
      </c>
      <c r="E96" s="1" t="s">
        <v>21</v>
      </c>
      <c r="F96" s="1">
        <v>2640</v>
      </c>
      <c r="G96" s="14">
        <v>18</v>
      </c>
      <c r="H96" s="1">
        <v>0.08</v>
      </c>
      <c r="I96" s="14">
        <v>43718.400000000001</v>
      </c>
      <c r="J96" s="14">
        <v>23760</v>
      </c>
      <c r="K96" s="15">
        <f>Table5[[#This Row],[Selling Price]]*Table5[[#This Row],[Units Sold]]</f>
        <v>47520</v>
      </c>
      <c r="L96" t="str">
        <f t="shared" si="1"/>
        <v>2023-03</v>
      </c>
      <c r="M96" t="str">
        <f>VLOOKUP(Table5[[#This Row],[Store ID]],Table4[[Store ID]:[Store Location]],2)</f>
        <v>Manchester</v>
      </c>
      <c r="N96" t="str">
        <f>VLOOKUP(Table5[[#This Row],[Store ID]],Table4[[Store ID]:[Region]],3)</f>
        <v>North</v>
      </c>
      <c r="O96" t="str">
        <f>VLOOKUP(Table5[[#This Row],[Product ID]],'Product Master'!$A$2:$D$10,4)</f>
        <v>Supplier D</v>
      </c>
      <c r="P96" s="15">
        <f>Table5[[#This Row],[Total Revenue]]-Table5[[#This Row],[Net Sales Revenue]]</f>
        <v>3801.5999999999985</v>
      </c>
      <c r="Q96" s="15">
        <f>Table5[[#This Row],[Net Sales Revenue]]/Table5[[#This Row],[Units Sold]]</f>
        <v>16.560000000000002</v>
      </c>
      <c r="R96">
        <f>VLOOKUP(Table5[[#This Row],[Product ID]],'Product Master'!$A$1:$E$10,5,FALSE)</f>
        <v>9</v>
      </c>
      <c r="S96" s="15">
        <f>Table5[[#This Row],[standard product cost per unit]]*Table5[[#This Row],[Units Sold]]</f>
        <v>23760</v>
      </c>
      <c r="T96" s="15">
        <f>Table5[[#This Row],[Cost of Sales]]-Table5[[#This Row],[Standard cost]]</f>
        <v>0</v>
      </c>
      <c r="U96" s="15">
        <f>Table5[[#This Row],[Net Sales Revenue]]-Table5[[#This Row],[Cost of Sales]]</f>
        <v>19958.400000000001</v>
      </c>
      <c r="V96" s="17">
        <f>Table5[[#This Row],[GrossProfit]]/Table5[[#This Row],[Net Sales Revenue]]</f>
        <v>0.45652173913043481</v>
      </c>
    </row>
    <row r="97" spans="1:22" ht="14.25" customHeight="1" x14ac:dyDescent="0.25">
      <c r="A97" s="1" t="s">
        <v>165</v>
      </c>
      <c r="B97" s="1" t="s">
        <v>160</v>
      </c>
      <c r="C97" s="1" t="s">
        <v>40</v>
      </c>
      <c r="D97" s="1" t="s">
        <v>23</v>
      </c>
      <c r="E97" s="1" t="s">
        <v>21</v>
      </c>
      <c r="F97" s="1">
        <v>2116</v>
      </c>
      <c r="G97" s="14">
        <v>30</v>
      </c>
      <c r="H97" s="1">
        <v>0.09</v>
      </c>
      <c r="I97" s="14">
        <v>57766.8</v>
      </c>
      <c r="J97" s="14">
        <v>29624</v>
      </c>
      <c r="K97" s="15">
        <f>Table5[[#This Row],[Selling Price]]*Table5[[#This Row],[Units Sold]]</f>
        <v>63480</v>
      </c>
      <c r="L97" t="str">
        <f t="shared" si="1"/>
        <v>2023-03</v>
      </c>
      <c r="M97" t="str">
        <f>VLOOKUP(Table5[[#This Row],[Store ID]],Table4[[Store ID]:[Store Location]],2)</f>
        <v>Manchester</v>
      </c>
      <c r="N97" t="str">
        <f>VLOOKUP(Table5[[#This Row],[Store ID]],Table4[[Store ID]:[Region]],3)</f>
        <v>North</v>
      </c>
      <c r="O97" t="str">
        <f>VLOOKUP(Table5[[#This Row],[Product ID]],'Product Master'!$A$2:$D$10,4)</f>
        <v>Supplier D</v>
      </c>
      <c r="P97" s="15">
        <f>Table5[[#This Row],[Total Revenue]]-Table5[[#This Row],[Net Sales Revenue]]</f>
        <v>5713.1999999999971</v>
      </c>
      <c r="Q97" s="15">
        <f>Table5[[#This Row],[Net Sales Revenue]]/Table5[[#This Row],[Units Sold]]</f>
        <v>27.3</v>
      </c>
      <c r="R97">
        <f>VLOOKUP(Table5[[#This Row],[Product ID]],'Product Master'!$A$1:$E$10,5,FALSE)</f>
        <v>14</v>
      </c>
      <c r="S97" s="15">
        <f>Table5[[#This Row],[standard product cost per unit]]*Table5[[#This Row],[Units Sold]]</f>
        <v>29624</v>
      </c>
      <c r="T97" s="15">
        <f>Table5[[#This Row],[Cost of Sales]]-Table5[[#This Row],[Standard cost]]</f>
        <v>0</v>
      </c>
      <c r="U97" s="15">
        <f>Table5[[#This Row],[Net Sales Revenue]]-Table5[[#This Row],[Cost of Sales]]</f>
        <v>28142.800000000003</v>
      </c>
      <c r="V97" s="17">
        <f>Table5[[#This Row],[GrossProfit]]/Table5[[#This Row],[Net Sales Revenue]]</f>
        <v>0.48717948717948723</v>
      </c>
    </row>
    <row r="98" spans="1:22" ht="14.25" customHeight="1" x14ac:dyDescent="0.25">
      <c r="A98" s="1" t="s">
        <v>166</v>
      </c>
      <c r="B98" s="1" t="s">
        <v>160</v>
      </c>
      <c r="C98" s="1" t="s">
        <v>40</v>
      </c>
      <c r="D98" s="1" t="s">
        <v>25</v>
      </c>
      <c r="E98" s="1" t="s">
        <v>27</v>
      </c>
      <c r="F98" s="1">
        <v>2716</v>
      </c>
      <c r="G98" s="14">
        <v>40</v>
      </c>
      <c r="H98" s="1">
        <v>0.08</v>
      </c>
      <c r="I98" s="14">
        <v>99948.800000000003</v>
      </c>
      <c r="J98" s="14">
        <v>54320</v>
      </c>
      <c r="K98" s="15">
        <f>Table5[[#This Row],[Selling Price]]*Table5[[#This Row],[Units Sold]]</f>
        <v>108640</v>
      </c>
      <c r="L98" t="str">
        <f t="shared" si="1"/>
        <v>2023-03</v>
      </c>
      <c r="M98" t="str">
        <f>VLOOKUP(Table5[[#This Row],[Store ID]],Table4[[Store ID]:[Store Location]],2)</f>
        <v>Manchester</v>
      </c>
      <c r="N98" t="str">
        <f>VLOOKUP(Table5[[#This Row],[Store ID]],Table4[[Store ID]:[Region]],3)</f>
        <v>North</v>
      </c>
      <c r="O98" t="str">
        <f>VLOOKUP(Table5[[#This Row],[Product ID]],'Product Master'!$A$2:$D$10,4)</f>
        <v>Supplier E</v>
      </c>
      <c r="P98" s="15">
        <f>Table5[[#This Row],[Total Revenue]]-Table5[[#This Row],[Net Sales Revenue]]</f>
        <v>8691.1999999999971</v>
      </c>
      <c r="Q98" s="15">
        <f>Table5[[#This Row],[Net Sales Revenue]]/Table5[[#This Row],[Units Sold]]</f>
        <v>36.800000000000004</v>
      </c>
      <c r="R98">
        <f>VLOOKUP(Table5[[#This Row],[Product ID]],'Product Master'!$A$1:$E$10,5,FALSE)</f>
        <v>20</v>
      </c>
      <c r="S98" s="15">
        <f>Table5[[#This Row],[standard product cost per unit]]*Table5[[#This Row],[Units Sold]]</f>
        <v>54320</v>
      </c>
      <c r="T98" s="15">
        <f>Table5[[#This Row],[Cost of Sales]]-Table5[[#This Row],[Standard cost]]</f>
        <v>0</v>
      </c>
      <c r="U98" s="15">
        <f>Table5[[#This Row],[Net Sales Revenue]]-Table5[[#This Row],[Cost of Sales]]</f>
        <v>45628.800000000003</v>
      </c>
      <c r="V98" s="17">
        <f>Table5[[#This Row],[GrossProfit]]/Table5[[#This Row],[Net Sales Revenue]]</f>
        <v>0.45652173913043481</v>
      </c>
    </row>
    <row r="99" spans="1:22" ht="14.25" customHeight="1" x14ac:dyDescent="0.25">
      <c r="A99" s="1" t="s">
        <v>167</v>
      </c>
      <c r="B99" s="1" t="s">
        <v>160</v>
      </c>
      <c r="C99" s="1" t="s">
        <v>40</v>
      </c>
      <c r="D99" s="1" t="s">
        <v>29</v>
      </c>
      <c r="E99" s="1" t="s">
        <v>31</v>
      </c>
      <c r="F99" s="1">
        <v>2220</v>
      </c>
      <c r="G99" s="14">
        <v>10</v>
      </c>
      <c r="H99" s="1">
        <v>0.09</v>
      </c>
      <c r="I99" s="14">
        <v>20202</v>
      </c>
      <c r="J99" s="14">
        <v>8880</v>
      </c>
      <c r="K99" s="15">
        <f>Table5[[#This Row],[Selling Price]]*Table5[[#This Row],[Units Sold]]</f>
        <v>22200</v>
      </c>
      <c r="L99" t="str">
        <f t="shared" si="1"/>
        <v>2023-03</v>
      </c>
      <c r="M99" t="str">
        <f>VLOOKUP(Table5[[#This Row],[Store ID]],Table4[[Store ID]:[Store Location]],2)</f>
        <v>Manchester</v>
      </c>
      <c r="N99" t="str">
        <f>VLOOKUP(Table5[[#This Row],[Store ID]],Table4[[Store ID]:[Region]],3)</f>
        <v>North</v>
      </c>
      <c r="O99" t="str">
        <f>VLOOKUP(Table5[[#This Row],[Product ID]],'Product Master'!$A$2:$D$10,4)</f>
        <v>Supplier F</v>
      </c>
      <c r="P99" s="15">
        <f>Table5[[#This Row],[Total Revenue]]-Table5[[#This Row],[Net Sales Revenue]]</f>
        <v>1998</v>
      </c>
      <c r="Q99" s="15">
        <f>Table5[[#This Row],[Net Sales Revenue]]/Table5[[#This Row],[Units Sold]]</f>
        <v>9.1</v>
      </c>
      <c r="R99">
        <f>VLOOKUP(Table5[[#This Row],[Product ID]],'Product Master'!$A$1:$E$10,5,FALSE)</f>
        <v>4</v>
      </c>
      <c r="S99" s="15">
        <f>Table5[[#This Row],[standard product cost per unit]]*Table5[[#This Row],[Units Sold]]</f>
        <v>8880</v>
      </c>
      <c r="T99" s="15">
        <f>Table5[[#This Row],[Cost of Sales]]-Table5[[#This Row],[Standard cost]]</f>
        <v>0</v>
      </c>
      <c r="U99" s="15">
        <f>Table5[[#This Row],[Net Sales Revenue]]-Table5[[#This Row],[Cost of Sales]]</f>
        <v>11322</v>
      </c>
      <c r="V99" s="17">
        <f>Table5[[#This Row],[GrossProfit]]/Table5[[#This Row],[Net Sales Revenue]]</f>
        <v>0.56043956043956045</v>
      </c>
    </row>
    <row r="100" spans="1:22" ht="14.25" customHeight="1" x14ac:dyDescent="0.25">
      <c r="A100" s="1" t="s">
        <v>168</v>
      </c>
      <c r="B100" s="1" t="s">
        <v>160</v>
      </c>
      <c r="C100" s="1" t="s">
        <v>40</v>
      </c>
      <c r="D100" s="1" t="s">
        <v>33</v>
      </c>
      <c r="E100" s="1" t="s">
        <v>31</v>
      </c>
      <c r="F100" s="1">
        <v>2800</v>
      </c>
      <c r="G100" s="14">
        <v>22</v>
      </c>
      <c r="H100" s="1">
        <v>0.08</v>
      </c>
      <c r="I100" s="14">
        <v>56672</v>
      </c>
      <c r="J100" s="14">
        <v>28000</v>
      </c>
      <c r="K100" s="15">
        <f>Table5[[#This Row],[Selling Price]]*Table5[[#This Row],[Units Sold]]</f>
        <v>61600</v>
      </c>
      <c r="L100" t="str">
        <f t="shared" si="1"/>
        <v>2023-03</v>
      </c>
      <c r="M100" t="str">
        <f>VLOOKUP(Table5[[#This Row],[Store ID]],Table4[[Store ID]:[Store Location]],2)</f>
        <v>Manchester</v>
      </c>
      <c r="N100" t="str">
        <f>VLOOKUP(Table5[[#This Row],[Store ID]],Table4[[Store ID]:[Region]],3)</f>
        <v>North</v>
      </c>
      <c r="O100" t="str">
        <f>VLOOKUP(Table5[[#This Row],[Product ID]],'Product Master'!$A$2:$D$10,4)</f>
        <v>Supplier F</v>
      </c>
      <c r="P100" s="15">
        <f>Table5[[#This Row],[Total Revenue]]-Table5[[#This Row],[Net Sales Revenue]]</f>
        <v>4928</v>
      </c>
      <c r="Q100" s="15">
        <f>Table5[[#This Row],[Net Sales Revenue]]/Table5[[#This Row],[Units Sold]]</f>
        <v>20.239999999999998</v>
      </c>
      <c r="R100">
        <f>VLOOKUP(Table5[[#This Row],[Product ID]],'Product Master'!$A$1:$E$10,5,FALSE)</f>
        <v>10</v>
      </c>
      <c r="S100" s="15">
        <f>Table5[[#This Row],[standard product cost per unit]]*Table5[[#This Row],[Units Sold]]</f>
        <v>28000</v>
      </c>
      <c r="T100" s="15">
        <f>Table5[[#This Row],[Cost of Sales]]-Table5[[#This Row],[Standard cost]]</f>
        <v>0</v>
      </c>
      <c r="U100" s="15">
        <f>Table5[[#This Row],[Net Sales Revenue]]-Table5[[#This Row],[Cost of Sales]]</f>
        <v>28672</v>
      </c>
      <c r="V100" s="17">
        <f>Table5[[#This Row],[GrossProfit]]/Table5[[#This Row],[Net Sales Revenue]]</f>
        <v>0.50592885375494068</v>
      </c>
    </row>
    <row r="101" spans="1:22" ht="14.25" customHeight="1" x14ac:dyDescent="0.25">
      <c r="A101" s="1" t="s">
        <v>169</v>
      </c>
      <c r="B101" s="1" t="s">
        <v>160</v>
      </c>
      <c r="C101" s="1" t="s">
        <v>44</v>
      </c>
      <c r="D101" s="1" t="s">
        <v>6</v>
      </c>
      <c r="E101" s="1" t="s">
        <v>8</v>
      </c>
      <c r="F101" s="1">
        <v>1864</v>
      </c>
      <c r="G101" s="14">
        <v>24</v>
      </c>
      <c r="H101" s="1">
        <v>0.09</v>
      </c>
      <c r="I101" s="14">
        <v>40709.760000000002</v>
      </c>
      <c r="J101" s="14">
        <v>22368</v>
      </c>
      <c r="K101" s="15">
        <f>Table5[[#This Row],[Selling Price]]*Table5[[#This Row],[Units Sold]]</f>
        <v>44736</v>
      </c>
      <c r="L101" t="str">
        <f t="shared" si="1"/>
        <v>2023-03</v>
      </c>
      <c r="M101" t="str">
        <f>VLOOKUP(Table5[[#This Row],[Store ID]],Table4[[Store ID]:[Store Location]],2)</f>
        <v>Birmingham</v>
      </c>
      <c r="N101" t="str">
        <f>VLOOKUP(Table5[[#This Row],[Store ID]],Table4[[Store ID]:[Region]],3)</f>
        <v>Midlands</v>
      </c>
      <c r="O101" t="str">
        <f>VLOOKUP(Table5[[#This Row],[Product ID]],'Product Master'!$A$2:$D$10,4)</f>
        <v>Supplier A</v>
      </c>
      <c r="P101" s="15">
        <f>Table5[[#This Row],[Total Revenue]]-Table5[[#This Row],[Net Sales Revenue]]</f>
        <v>4026.239999999998</v>
      </c>
      <c r="Q101" s="15">
        <f>Table5[[#This Row],[Net Sales Revenue]]/Table5[[#This Row],[Units Sold]]</f>
        <v>21.84</v>
      </c>
      <c r="R101">
        <f>VLOOKUP(Table5[[#This Row],[Product ID]],'Product Master'!$A$1:$E$10,5,FALSE)</f>
        <v>12</v>
      </c>
      <c r="S101" s="15">
        <f>Table5[[#This Row],[standard product cost per unit]]*Table5[[#This Row],[Units Sold]]</f>
        <v>22368</v>
      </c>
      <c r="T101" s="15">
        <f>Table5[[#This Row],[Cost of Sales]]-Table5[[#This Row],[Standard cost]]</f>
        <v>0</v>
      </c>
      <c r="U101" s="15">
        <f>Table5[[#This Row],[Net Sales Revenue]]-Table5[[#This Row],[Cost of Sales]]</f>
        <v>18341.760000000002</v>
      </c>
      <c r="V101" s="17">
        <f>Table5[[#This Row],[GrossProfit]]/Table5[[#This Row],[Net Sales Revenue]]</f>
        <v>0.45054945054945056</v>
      </c>
    </row>
    <row r="102" spans="1:22" ht="14.25" customHeight="1" x14ac:dyDescent="0.25">
      <c r="A102" s="1" t="s">
        <v>170</v>
      </c>
      <c r="B102" s="1" t="s">
        <v>160</v>
      </c>
      <c r="C102" s="1" t="s">
        <v>44</v>
      </c>
      <c r="D102" s="1" t="s">
        <v>10</v>
      </c>
      <c r="E102" s="1" t="s">
        <v>8</v>
      </c>
      <c r="F102" s="1">
        <v>1900</v>
      </c>
      <c r="G102" s="14">
        <v>50</v>
      </c>
      <c r="H102" s="1">
        <v>0.09</v>
      </c>
      <c r="I102" s="14">
        <v>86450</v>
      </c>
      <c r="J102" s="14">
        <v>53200</v>
      </c>
      <c r="K102" s="15">
        <f>Table5[[#This Row],[Selling Price]]*Table5[[#This Row],[Units Sold]]</f>
        <v>95000</v>
      </c>
      <c r="L102" t="str">
        <f t="shared" si="1"/>
        <v>2023-03</v>
      </c>
      <c r="M102" t="str">
        <f>VLOOKUP(Table5[[#This Row],[Store ID]],Table4[[Store ID]:[Store Location]],2)</f>
        <v>Birmingham</v>
      </c>
      <c r="N102" t="str">
        <f>VLOOKUP(Table5[[#This Row],[Store ID]],Table4[[Store ID]:[Region]],3)</f>
        <v>Midlands</v>
      </c>
      <c r="O102" t="str">
        <f>VLOOKUP(Table5[[#This Row],[Product ID]],'Product Master'!$A$2:$D$10,4)</f>
        <v>Supplier B</v>
      </c>
      <c r="P102" s="15">
        <f>Table5[[#This Row],[Total Revenue]]-Table5[[#This Row],[Net Sales Revenue]]</f>
        <v>8550</v>
      </c>
      <c r="Q102" s="15">
        <f>Table5[[#This Row],[Net Sales Revenue]]/Table5[[#This Row],[Units Sold]]</f>
        <v>45.5</v>
      </c>
      <c r="R102">
        <f>VLOOKUP(Table5[[#This Row],[Product ID]],'Product Master'!$A$1:$E$10,5,FALSE)</f>
        <v>28</v>
      </c>
      <c r="S102" s="15">
        <f>Table5[[#This Row],[standard product cost per unit]]*Table5[[#This Row],[Units Sold]]</f>
        <v>53200</v>
      </c>
      <c r="T102" s="15">
        <f>Table5[[#This Row],[Cost of Sales]]-Table5[[#This Row],[Standard cost]]</f>
        <v>0</v>
      </c>
      <c r="U102" s="15">
        <f>Table5[[#This Row],[Net Sales Revenue]]-Table5[[#This Row],[Cost of Sales]]</f>
        <v>33250</v>
      </c>
      <c r="V102" s="17">
        <f>Table5[[#This Row],[GrossProfit]]/Table5[[#This Row],[Net Sales Revenue]]</f>
        <v>0.38461538461538464</v>
      </c>
    </row>
    <row r="103" spans="1:22" ht="14.25" customHeight="1" x14ac:dyDescent="0.25">
      <c r="A103" s="1" t="s">
        <v>171</v>
      </c>
      <c r="B103" s="1" t="s">
        <v>160</v>
      </c>
      <c r="C103" s="1" t="s">
        <v>44</v>
      </c>
      <c r="D103" s="1" t="s">
        <v>13</v>
      </c>
      <c r="E103" s="1" t="s">
        <v>15</v>
      </c>
      <c r="F103" s="1">
        <v>2272</v>
      </c>
      <c r="G103" s="14">
        <v>28</v>
      </c>
      <c r="H103" s="1">
        <v>7.0000000000000007E-2</v>
      </c>
      <c r="I103" s="14">
        <v>59162.879999999997</v>
      </c>
      <c r="J103" s="14">
        <v>34080</v>
      </c>
      <c r="K103" s="15">
        <f>Table5[[#This Row],[Selling Price]]*Table5[[#This Row],[Units Sold]]</f>
        <v>63616</v>
      </c>
      <c r="L103" t="str">
        <f t="shared" si="1"/>
        <v>2023-03</v>
      </c>
      <c r="M103" t="str">
        <f>VLOOKUP(Table5[[#This Row],[Store ID]],Table4[[Store ID]:[Store Location]],2)</f>
        <v>Birmingham</v>
      </c>
      <c r="N103" t="str">
        <f>VLOOKUP(Table5[[#This Row],[Store ID]],Table4[[Store ID]:[Region]],3)</f>
        <v>Midlands</v>
      </c>
      <c r="O103" t="str">
        <f>VLOOKUP(Table5[[#This Row],[Product ID]],'Product Master'!$A$2:$D$10,4)</f>
        <v>Supplier C</v>
      </c>
      <c r="P103" s="15">
        <f>Table5[[#This Row],[Total Revenue]]-Table5[[#This Row],[Net Sales Revenue]]</f>
        <v>4453.1200000000026</v>
      </c>
      <c r="Q103" s="15">
        <f>Table5[[#This Row],[Net Sales Revenue]]/Table5[[#This Row],[Units Sold]]</f>
        <v>26.04</v>
      </c>
      <c r="R103">
        <f>VLOOKUP(Table5[[#This Row],[Product ID]],'Product Master'!$A$1:$E$10,5,FALSE)</f>
        <v>15</v>
      </c>
      <c r="S103" s="15">
        <f>Table5[[#This Row],[standard product cost per unit]]*Table5[[#This Row],[Units Sold]]</f>
        <v>34080</v>
      </c>
      <c r="T103" s="15">
        <f>Table5[[#This Row],[Cost of Sales]]-Table5[[#This Row],[Standard cost]]</f>
        <v>0</v>
      </c>
      <c r="U103" s="15">
        <f>Table5[[#This Row],[Net Sales Revenue]]-Table5[[#This Row],[Cost of Sales]]</f>
        <v>25082.879999999997</v>
      </c>
      <c r="V103" s="17">
        <f>Table5[[#This Row],[GrossProfit]]/Table5[[#This Row],[Net Sales Revenue]]</f>
        <v>0.42396313364055299</v>
      </c>
    </row>
    <row r="104" spans="1:22" ht="14.25" customHeight="1" x14ac:dyDescent="0.25">
      <c r="A104" s="1" t="s">
        <v>172</v>
      </c>
      <c r="B104" s="1" t="s">
        <v>160</v>
      </c>
      <c r="C104" s="1" t="s">
        <v>44</v>
      </c>
      <c r="D104" s="1" t="s">
        <v>17</v>
      </c>
      <c r="E104" s="1" t="s">
        <v>15</v>
      </c>
      <c r="F104" s="1">
        <v>1984</v>
      </c>
      <c r="G104" s="14">
        <v>35</v>
      </c>
      <c r="H104" s="1">
        <v>0.05</v>
      </c>
      <c r="I104" s="14">
        <v>65968</v>
      </c>
      <c r="J104" s="14">
        <v>35712</v>
      </c>
      <c r="K104" s="15">
        <f>Table5[[#This Row],[Selling Price]]*Table5[[#This Row],[Units Sold]]</f>
        <v>69440</v>
      </c>
      <c r="L104" t="str">
        <f t="shared" si="1"/>
        <v>2023-03</v>
      </c>
      <c r="M104" t="str">
        <f>VLOOKUP(Table5[[#This Row],[Store ID]],Table4[[Store ID]:[Store Location]],2)</f>
        <v>Birmingham</v>
      </c>
      <c r="N104" t="str">
        <f>VLOOKUP(Table5[[#This Row],[Store ID]],Table4[[Store ID]:[Region]],3)</f>
        <v>Midlands</v>
      </c>
      <c r="O104" t="str">
        <f>VLOOKUP(Table5[[#This Row],[Product ID]],'Product Master'!$A$2:$D$10,4)</f>
        <v>Supplier C</v>
      </c>
      <c r="P104" s="15">
        <f>Table5[[#This Row],[Total Revenue]]-Table5[[#This Row],[Net Sales Revenue]]</f>
        <v>3472</v>
      </c>
      <c r="Q104" s="15">
        <f>Table5[[#This Row],[Net Sales Revenue]]/Table5[[#This Row],[Units Sold]]</f>
        <v>33.25</v>
      </c>
      <c r="R104">
        <f>VLOOKUP(Table5[[#This Row],[Product ID]],'Product Master'!$A$1:$E$10,5,FALSE)</f>
        <v>18</v>
      </c>
      <c r="S104" s="15">
        <f>Table5[[#This Row],[standard product cost per unit]]*Table5[[#This Row],[Units Sold]]</f>
        <v>35712</v>
      </c>
      <c r="T104" s="15">
        <f>Table5[[#This Row],[Cost of Sales]]-Table5[[#This Row],[Standard cost]]</f>
        <v>0</v>
      </c>
      <c r="U104" s="15">
        <f>Table5[[#This Row],[Net Sales Revenue]]-Table5[[#This Row],[Cost of Sales]]</f>
        <v>30256</v>
      </c>
      <c r="V104" s="17">
        <f>Table5[[#This Row],[GrossProfit]]/Table5[[#This Row],[Net Sales Revenue]]</f>
        <v>0.45864661654135336</v>
      </c>
    </row>
    <row r="105" spans="1:22" ht="14.25" customHeight="1" x14ac:dyDescent="0.25">
      <c r="A105" s="1" t="s">
        <v>173</v>
      </c>
      <c r="B105" s="1" t="s">
        <v>160</v>
      </c>
      <c r="C105" s="1" t="s">
        <v>44</v>
      </c>
      <c r="D105" s="1" t="s">
        <v>19</v>
      </c>
      <c r="E105" s="1" t="s">
        <v>21</v>
      </c>
      <c r="F105" s="1">
        <v>2100</v>
      </c>
      <c r="G105" s="14">
        <v>18</v>
      </c>
      <c r="H105" s="1">
        <v>0.08</v>
      </c>
      <c r="I105" s="14">
        <v>34776</v>
      </c>
      <c r="J105" s="14">
        <v>18900</v>
      </c>
      <c r="K105" s="15">
        <f>Table5[[#This Row],[Selling Price]]*Table5[[#This Row],[Units Sold]]</f>
        <v>37800</v>
      </c>
      <c r="L105" t="str">
        <f t="shared" si="1"/>
        <v>2023-03</v>
      </c>
      <c r="M105" t="str">
        <f>VLOOKUP(Table5[[#This Row],[Store ID]],Table4[[Store ID]:[Store Location]],2)</f>
        <v>Birmingham</v>
      </c>
      <c r="N105" t="str">
        <f>VLOOKUP(Table5[[#This Row],[Store ID]],Table4[[Store ID]:[Region]],3)</f>
        <v>Midlands</v>
      </c>
      <c r="O105" t="str">
        <f>VLOOKUP(Table5[[#This Row],[Product ID]],'Product Master'!$A$2:$D$10,4)</f>
        <v>Supplier D</v>
      </c>
      <c r="P105" s="15">
        <f>Table5[[#This Row],[Total Revenue]]-Table5[[#This Row],[Net Sales Revenue]]</f>
        <v>3024</v>
      </c>
      <c r="Q105" s="15">
        <f>Table5[[#This Row],[Net Sales Revenue]]/Table5[[#This Row],[Units Sold]]</f>
        <v>16.559999999999999</v>
      </c>
      <c r="R105">
        <f>VLOOKUP(Table5[[#This Row],[Product ID]],'Product Master'!$A$1:$E$10,5,FALSE)</f>
        <v>9</v>
      </c>
      <c r="S105" s="15">
        <f>Table5[[#This Row],[standard product cost per unit]]*Table5[[#This Row],[Units Sold]]</f>
        <v>18900</v>
      </c>
      <c r="T105" s="15">
        <f>Table5[[#This Row],[Cost of Sales]]-Table5[[#This Row],[Standard cost]]</f>
        <v>0</v>
      </c>
      <c r="U105" s="15">
        <f>Table5[[#This Row],[Net Sales Revenue]]-Table5[[#This Row],[Cost of Sales]]</f>
        <v>15876</v>
      </c>
      <c r="V105" s="17">
        <f>Table5[[#This Row],[GrossProfit]]/Table5[[#This Row],[Net Sales Revenue]]</f>
        <v>0.45652173913043476</v>
      </c>
    </row>
    <row r="106" spans="1:22" ht="14.25" customHeight="1" x14ac:dyDescent="0.25">
      <c r="A106" s="1" t="s">
        <v>174</v>
      </c>
      <c r="B106" s="1" t="s">
        <v>160</v>
      </c>
      <c r="C106" s="1" t="s">
        <v>44</v>
      </c>
      <c r="D106" s="1" t="s">
        <v>23</v>
      </c>
      <c r="E106" s="1" t="s">
        <v>21</v>
      </c>
      <c r="F106" s="1">
        <v>1904</v>
      </c>
      <c r="G106" s="14">
        <v>30</v>
      </c>
      <c r="H106" s="1">
        <v>0.08</v>
      </c>
      <c r="I106" s="14">
        <v>52550.400000000001</v>
      </c>
      <c r="J106" s="14">
        <v>26656</v>
      </c>
      <c r="K106" s="15">
        <f>Table5[[#This Row],[Selling Price]]*Table5[[#This Row],[Units Sold]]</f>
        <v>57120</v>
      </c>
      <c r="L106" t="str">
        <f t="shared" si="1"/>
        <v>2023-03</v>
      </c>
      <c r="M106" t="str">
        <f>VLOOKUP(Table5[[#This Row],[Store ID]],Table4[[Store ID]:[Store Location]],2)</f>
        <v>Birmingham</v>
      </c>
      <c r="N106" t="str">
        <f>VLOOKUP(Table5[[#This Row],[Store ID]],Table4[[Store ID]:[Region]],3)</f>
        <v>Midlands</v>
      </c>
      <c r="O106" t="str">
        <f>VLOOKUP(Table5[[#This Row],[Product ID]],'Product Master'!$A$2:$D$10,4)</f>
        <v>Supplier D</v>
      </c>
      <c r="P106" s="15">
        <f>Table5[[#This Row],[Total Revenue]]-Table5[[#This Row],[Net Sales Revenue]]</f>
        <v>4569.5999999999985</v>
      </c>
      <c r="Q106" s="15">
        <f>Table5[[#This Row],[Net Sales Revenue]]/Table5[[#This Row],[Units Sold]]</f>
        <v>27.6</v>
      </c>
      <c r="R106">
        <f>VLOOKUP(Table5[[#This Row],[Product ID]],'Product Master'!$A$1:$E$10,5,FALSE)</f>
        <v>14</v>
      </c>
      <c r="S106" s="15">
        <f>Table5[[#This Row],[standard product cost per unit]]*Table5[[#This Row],[Units Sold]]</f>
        <v>26656</v>
      </c>
      <c r="T106" s="15">
        <f>Table5[[#This Row],[Cost of Sales]]-Table5[[#This Row],[Standard cost]]</f>
        <v>0</v>
      </c>
      <c r="U106" s="15">
        <f>Table5[[#This Row],[Net Sales Revenue]]-Table5[[#This Row],[Cost of Sales]]</f>
        <v>25894.400000000001</v>
      </c>
      <c r="V106" s="17">
        <f>Table5[[#This Row],[GrossProfit]]/Table5[[#This Row],[Net Sales Revenue]]</f>
        <v>0.49275362318840582</v>
      </c>
    </row>
    <row r="107" spans="1:22" ht="14.25" customHeight="1" x14ac:dyDescent="0.25">
      <c r="A107" s="1" t="s">
        <v>175</v>
      </c>
      <c r="B107" s="1" t="s">
        <v>160</v>
      </c>
      <c r="C107" s="1" t="s">
        <v>44</v>
      </c>
      <c r="D107" s="1" t="s">
        <v>25</v>
      </c>
      <c r="E107" s="1" t="s">
        <v>27</v>
      </c>
      <c r="F107" s="1">
        <v>1260</v>
      </c>
      <c r="G107" s="14">
        <v>40</v>
      </c>
      <c r="H107" s="1">
        <v>0.06</v>
      </c>
      <c r="I107" s="14">
        <v>47376</v>
      </c>
      <c r="J107" s="14">
        <v>25200</v>
      </c>
      <c r="K107" s="15">
        <f>Table5[[#This Row],[Selling Price]]*Table5[[#This Row],[Units Sold]]</f>
        <v>50400</v>
      </c>
      <c r="L107" t="str">
        <f t="shared" si="1"/>
        <v>2023-03</v>
      </c>
      <c r="M107" t="str">
        <f>VLOOKUP(Table5[[#This Row],[Store ID]],Table4[[Store ID]:[Store Location]],2)</f>
        <v>Birmingham</v>
      </c>
      <c r="N107" t="str">
        <f>VLOOKUP(Table5[[#This Row],[Store ID]],Table4[[Store ID]:[Region]],3)</f>
        <v>Midlands</v>
      </c>
      <c r="O107" t="str">
        <f>VLOOKUP(Table5[[#This Row],[Product ID]],'Product Master'!$A$2:$D$10,4)</f>
        <v>Supplier E</v>
      </c>
      <c r="P107" s="15">
        <f>Table5[[#This Row],[Total Revenue]]-Table5[[#This Row],[Net Sales Revenue]]</f>
        <v>3024</v>
      </c>
      <c r="Q107" s="15">
        <f>Table5[[#This Row],[Net Sales Revenue]]/Table5[[#This Row],[Units Sold]]</f>
        <v>37.6</v>
      </c>
      <c r="R107">
        <f>VLOOKUP(Table5[[#This Row],[Product ID]],'Product Master'!$A$1:$E$10,5,FALSE)</f>
        <v>20</v>
      </c>
      <c r="S107" s="15">
        <f>Table5[[#This Row],[standard product cost per unit]]*Table5[[#This Row],[Units Sold]]</f>
        <v>25200</v>
      </c>
      <c r="T107" s="15">
        <f>Table5[[#This Row],[Cost of Sales]]-Table5[[#This Row],[Standard cost]]</f>
        <v>0</v>
      </c>
      <c r="U107" s="15">
        <f>Table5[[#This Row],[Net Sales Revenue]]-Table5[[#This Row],[Cost of Sales]]</f>
        <v>22176</v>
      </c>
      <c r="V107" s="17">
        <f>Table5[[#This Row],[GrossProfit]]/Table5[[#This Row],[Net Sales Revenue]]</f>
        <v>0.46808510638297873</v>
      </c>
    </row>
    <row r="108" spans="1:22" ht="14.25" customHeight="1" x14ac:dyDescent="0.25">
      <c r="A108" s="1" t="s">
        <v>176</v>
      </c>
      <c r="B108" s="1" t="s">
        <v>160</v>
      </c>
      <c r="C108" s="1" t="s">
        <v>44</v>
      </c>
      <c r="D108" s="1" t="s">
        <v>29</v>
      </c>
      <c r="E108" s="1" t="s">
        <v>31</v>
      </c>
      <c r="F108" s="1">
        <v>1448</v>
      </c>
      <c r="G108" s="14">
        <v>10</v>
      </c>
      <c r="H108" s="1">
        <v>0.09</v>
      </c>
      <c r="I108" s="14">
        <v>13176.8</v>
      </c>
      <c r="J108" s="14">
        <v>5792</v>
      </c>
      <c r="K108" s="15">
        <f>Table5[[#This Row],[Selling Price]]*Table5[[#This Row],[Units Sold]]</f>
        <v>14480</v>
      </c>
      <c r="L108" t="str">
        <f t="shared" si="1"/>
        <v>2023-03</v>
      </c>
      <c r="M108" t="str">
        <f>VLOOKUP(Table5[[#This Row],[Store ID]],Table4[[Store ID]:[Store Location]],2)</f>
        <v>Birmingham</v>
      </c>
      <c r="N108" t="str">
        <f>VLOOKUP(Table5[[#This Row],[Store ID]],Table4[[Store ID]:[Region]],3)</f>
        <v>Midlands</v>
      </c>
      <c r="O108" t="str">
        <f>VLOOKUP(Table5[[#This Row],[Product ID]],'Product Master'!$A$2:$D$10,4)</f>
        <v>Supplier F</v>
      </c>
      <c r="P108" s="15">
        <f>Table5[[#This Row],[Total Revenue]]-Table5[[#This Row],[Net Sales Revenue]]</f>
        <v>1303.2000000000007</v>
      </c>
      <c r="Q108" s="15">
        <f>Table5[[#This Row],[Net Sales Revenue]]/Table5[[#This Row],[Units Sold]]</f>
        <v>9.1</v>
      </c>
      <c r="R108">
        <f>VLOOKUP(Table5[[#This Row],[Product ID]],'Product Master'!$A$1:$E$10,5,FALSE)</f>
        <v>4</v>
      </c>
      <c r="S108" s="15">
        <f>Table5[[#This Row],[standard product cost per unit]]*Table5[[#This Row],[Units Sold]]</f>
        <v>5792</v>
      </c>
      <c r="T108" s="15">
        <f>Table5[[#This Row],[Cost of Sales]]-Table5[[#This Row],[Standard cost]]</f>
        <v>0</v>
      </c>
      <c r="U108" s="15">
        <f>Table5[[#This Row],[Net Sales Revenue]]-Table5[[#This Row],[Cost of Sales]]</f>
        <v>7384.7999999999993</v>
      </c>
      <c r="V108" s="17">
        <f>Table5[[#This Row],[GrossProfit]]/Table5[[#This Row],[Net Sales Revenue]]</f>
        <v>0.56043956043956045</v>
      </c>
    </row>
    <row r="109" spans="1:22" ht="14.25" customHeight="1" x14ac:dyDescent="0.25">
      <c r="A109" s="1" t="s">
        <v>177</v>
      </c>
      <c r="B109" s="1" t="s">
        <v>160</v>
      </c>
      <c r="C109" s="1" t="s">
        <v>44</v>
      </c>
      <c r="D109" s="1" t="s">
        <v>33</v>
      </c>
      <c r="E109" s="1" t="s">
        <v>31</v>
      </c>
      <c r="F109" s="1">
        <v>1956</v>
      </c>
      <c r="G109" s="14">
        <v>22</v>
      </c>
      <c r="H109" s="1">
        <v>0.06</v>
      </c>
      <c r="I109" s="14">
        <v>40450.080000000002</v>
      </c>
      <c r="J109" s="14">
        <v>19560</v>
      </c>
      <c r="K109" s="15">
        <f>Table5[[#This Row],[Selling Price]]*Table5[[#This Row],[Units Sold]]</f>
        <v>43032</v>
      </c>
      <c r="L109" t="str">
        <f t="shared" si="1"/>
        <v>2023-03</v>
      </c>
      <c r="M109" t="str">
        <f>VLOOKUP(Table5[[#This Row],[Store ID]],Table4[[Store ID]:[Store Location]],2)</f>
        <v>Birmingham</v>
      </c>
      <c r="N109" t="str">
        <f>VLOOKUP(Table5[[#This Row],[Store ID]],Table4[[Store ID]:[Region]],3)</f>
        <v>Midlands</v>
      </c>
      <c r="O109" t="str">
        <f>VLOOKUP(Table5[[#This Row],[Product ID]],'Product Master'!$A$2:$D$10,4)</f>
        <v>Supplier F</v>
      </c>
      <c r="P109" s="15">
        <f>Table5[[#This Row],[Total Revenue]]-Table5[[#This Row],[Net Sales Revenue]]</f>
        <v>2581.9199999999983</v>
      </c>
      <c r="Q109" s="15">
        <f>Table5[[#This Row],[Net Sales Revenue]]/Table5[[#This Row],[Units Sold]]</f>
        <v>20.68</v>
      </c>
      <c r="R109">
        <f>VLOOKUP(Table5[[#This Row],[Product ID]],'Product Master'!$A$1:$E$10,5,FALSE)</f>
        <v>10</v>
      </c>
      <c r="S109" s="15">
        <f>Table5[[#This Row],[standard product cost per unit]]*Table5[[#This Row],[Units Sold]]</f>
        <v>19560</v>
      </c>
      <c r="T109" s="15">
        <f>Table5[[#This Row],[Cost of Sales]]-Table5[[#This Row],[Standard cost]]</f>
        <v>0</v>
      </c>
      <c r="U109" s="15">
        <f>Table5[[#This Row],[Net Sales Revenue]]-Table5[[#This Row],[Cost of Sales]]</f>
        <v>20890.080000000002</v>
      </c>
      <c r="V109" s="17">
        <f>Table5[[#This Row],[GrossProfit]]/Table5[[#This Row],[Net Sales Revenue]]</f>
        <v>0.51644100580270791</v>
      </c>
    </row>
    <row r="110" spans="1:22" ht="14.25" customHeight="1" x14ac:dyDescent="0.25">
      <c r="A110" s="1" t="s">
        <v>178</v>
      </c>
      <c r="B110" s="1" t="s">
        <v>160</v>
      </c>
      <c r="C110" s="1" t="s">
        <v>48</v>
      </c>
      <c r="D110" s="1" t="s">
        <v>6</v>
      </c>
      <c r="E110" s="1" t="s">
        <v>8</v>
      </c>
      <c r="F110" s="1">
        <v>2596</v>
      </c>
      <c r="G110" s="14">
        <v>24</v>
      </c>
      <c r="H110" s="1">
        <v>0.05</v>
      </c>
      <c r="I110" s="14">
        <v>59188.800000000003</v>
      </c>
      <c r="J110" s="14">
        <v>31152</v>
      </c>
      <c r="K110" s="15">
        <f>Table5[[#This Row],[Selling Price]]*Table5[[#This Row],[Units Sold]]</f>
        <v>62304</v>
      </c>
      <c r="L110" t="str">
        <f t="shared" si="1"/>
        <v>2023-03</v>
      </c>
      <c r="M110" t="str">
        <f>VLOOKUP(Table5[[#This Row],[Store ID]],Table4[[Store ID]:[Store Location]],2)</f>
        <v>London Stratford</v>
      </c>
      <c r="N110" t="str">
        <f>VLOOKUP(Table5[[#This Row],[Store ID]],Table4[[Store ID]:[Region]],3)</f>
        <v>South</v>
      </c>
      <c r="O110" t="str">
        <f>VLOOKUP(Table5[[#This Row],[Product ID]],'Product Master'!$A$2:$D$10,4)</f>
        <v>Supplier A</v>
      </c>
      <c r="P110" s="15">
        <f>Table5[[#This Row],[Total Revenue]]-Table5[[#This Row],[Net Sales Revenue]]</f>
        <v>3115.1999999999971</v>
      </c>
      <c r="Q110" s="15">
        <f>Table5[[#This Row],[Net Sales Revenue]]/Table5[[#This Row],[Units Sold]]</f>
        <v>22.8</v>
      </c>
      <c r="R110">
        <f>VLOOKUP(Table5[[#This Row],[Product ID]],'Product Master'!$A$1:$E$10,5,FALSE)</f>
        <v>12</v>
      </c>
      <c r="S110" s="15">
        <f>Table5[[#This Row],[standard product cost per unit]]*Table5[[#This Row],[Units Sold]]</f>
        <v>31152</v>
      </c>
      <c r="T110" s="15">
        <f>Table5[[#This Row],[Cost of Sales]]-Table5[[#This Row],[Standard cost]]</f>
        <v>0</v>
      </c>
      <c r="U110" s="15">
        <f>Table5[[#This Row],[Net Sales Revenue]]-Table5[[#This Row],[Cost of Sales]]</f>
        <v>28036.800000000003</v>
      </c>
      <c r="V110" s="17">
        <f>Table5[[#This Row],[GrossProfit]]/Table5[[#This Row],[Net Sales Revenue]]</f>
        <v>0.47368421052631582</v>
      </c>
    </row>
    <row r="111" spans="1:22" ht="14.25" customHeight="1" x14ac:dyDescent="0.25">
      <c r="A111" s="1" t="s">
        <v>179</v>
      </c>
      <c r="B111" s="1" t="s">
        <v>160</v>
      </c>
      <c r="C111" s="1" t="s">
        <v>48</v>
      </c>
      <c r="D111" s="1" t="s">
        <v>10</v>
      </c>
      <c r="E111" s="1" t="s">
        <v>8</v>
      </c>
      <c r="F111" s="1">
        <v>2392</v>
      </c>
      <c r="G111" s="14">
        <v>50</v>
      </c>
      <c r="H111" s="1">
        <v>0.09</v>
      </c>
      <c r="I111" s="14">
        <v>108836</v>
      </c>
      <c r="J111" s="14">
        <v>66976</v>
      </c>
      <c r="K111" s="15">
        <f>Table5[[#This Row],[Selling Price]]*Table5[[#This Row],[Units Sold]]</f>
        <v>119600</v>
      </c>
      <c r="L111" t="str">
        <f t="shared" si="1"/>
        <v>2023-03</v>
      </c>
      <c r="M111" t="str">
        <f>VLOOKUP(Table5[[#This Row],[Store ID]],Table4[[Store ID]:[Store Location]],2)</f>
        <v>London Stratford</v>
      </c>
      <c r="N111" t="str">
        <f>VLOOKUP(Table5[[#This Row],[Store ID]],Table4[[Store ID]:[Region]],3)</f>
        <v>South</v>
      </c>
      <c r="O111" t="str">
        <f>VLOOKUP(Table5[[#This Row],[Product ID]],'Product Master'!$A$2:$D$10,4)</f>
        <v>Supplier B</v>
      </c>
      <c r="P111" s="15">
        <f>Table5[[#This Row],[Total Revenue]]-Table5[[#This Row],[Net Sales Revenue]]</f>
        <v>10764</v>
      </c>
      <c r="Q111" s="15">
        <f>Table5[[#This Row],[Net Sales Revenue]]/Table5[[#This Row],[Units Sold]]</f>
        <v>45.5</v>
      </c>
      <c r="R111">
        <f>VLOOKUP(Table5[[#This Row],[Product ID]],'Product Master'!$A$1:$E$10,5,FALSE)</f>
        <v>28</v>
      </c>
      <c r="S111" s="15">
        <f>Table5[[#This Row],[standard product cost per unit]]*Table5[[#This Row],[Units Sold]]</f>
        <v>66976</v>
      </c>
      <c r="T111" s="15">
        <f>Table5[[#This Row],[Cost of Sales]]-Table5[[#This Row],[Standard cost]]</f>
        <v>0</v>
      </c>
      <c r="U111" s="15">
        <f>Table5[[#This Row],[Net Sales Revenue]]-Table5[[#This Row],[Cost of Sales]]</f>
        <v>41860</v>
      </c>
      <c r="V111" s="17">
        <f>Table5[[#This Row],[GrossProfit]]/Table5[[#This Row],[Net Sales Revenue]]</f>
        <v>0.38461538461538464</v>
      </c>
    </row>
    <row r="112" spans="1:22" ht="14.25" customHeight="1" x14ac:dyDescent="0.25">
      <c r="A112" s="1" t="s">
        <v>180</v>
      </c>
      <c r="B112" s="1" t="s">
        <v>160</v>
      </c>
      <c r="C112" s="1" t="s">
        <v>48</v>
      </c>
      <c r="D112" s="1" t="s">
        <v>13</v>
      </c>
      <c r="E112" s="1" t="s">
        <v>15</v>
      </c>
      <c r="F112" s="1">
        <v>2204</v>
      </c>
      <c r="G112" s="14">
        <v>28</v>
      </c>
      <c r="H112" s="1">
        <v>0.09</v>
      </c>
      <c r="I112" s="14">
        <v>56157.919999999998</v>
      </c>
      <c r="J112" s="14">
        <v>33060</v>
      </c>
      <c r="K112" s="15">
        <f>Table5[[#This Row],[Selling Price]]*Table5[[#This Row],[Units Sold]]</f>
        <v>61712</v>
      </c>
      <c r="L112" t="str">
        <f t="shared" si="1"/>
        <v>2023-03</v>
      </c>
      <c r="M112" t="str">
        <f>VLOOKUP(Table5[[#This Row],[Store ID]],Table4[[Store ID]:[Store Location]],2)</f>
        <v>London Stratford</v>
      </c>
      <c r="N112" t="str">
        <f>VLOOKUP(Table5[[#This Row],[Store ID]],Table4[[Store ID]:[Region]],3)</f>
        <v>South</v>
      </c>
      <c r="O112" t="str">
        <f>VLOOKUP(Table5[[#This Row],[Product ID]],'Product Master'!$A$2:$D$10,4)</f>
        <v>Supplier C</v>
      </c>
      <c r="P112" s="15">
        <f>Table5[[#This Row],[Total Revenue]]-Table5[[#This Row],[Net Sales Revenue]]</f>
        <v>5554.0800000000017</v>
      </c>
      <c r="Q112" s="15">
        <f>Table5[[#This Row],[Net Sales Revenue]]/Table5[[#This Row],[Units Sold]]</f>
        <v>25.48</v>
      </c>
      <c r="R112">
        <f>VLOOKUP(Table5[[#This Row],[Product ID]],'Product Master'!$A$1:$E$10,5,FALSE)</f>
        <v>15</v>
      </c>
      <c r="S112" s="15">
        <f>Table5[[#This Row],[standard product cost per unit]]*Table5[[#This Row],[Units Sold]]</f>
        <v>33060</v>
      </c>
      <c r="T112" s="15">
        <f>Table5[[#This Row],[Cost of Sales]]-Table5[[#This Row],[Standard cost]]</f>
        <v>0</v>
      </c>
      <c r="U112" s="15">
        <f>Table5[[#This Row],[Net Sales Revenue]]-Table5[[#This Row],[Cost of Sales]]</f>
        <v>23097.919999999998</v>
      </c>
      <c r="V112" s="17">
        <f>Table5[[#This Row],[GrossProfit]]/Table5[[#This Row],[Net Sales Revenue]]</f>
        <v>0.41130298273155413</v>
      </c>
    </row>
    <row r="113" spans="1:22" ht="14.25" customHeight="1" x14ac:dyDescent="0.25">
      <c r="A113" s="1" t="s">
        <v>181</v>
      </c>
      <c r="B113" s="1" t="s">
        <v>160</v>
      </c>
      <c r="C113" s="1" t="s">
        <v>48</v>
      </c>
      <c r="D113" s="1" t="s">
        <v>17</v>
      </c>
      <c r="E113" s="1" t="s">
        <v>15</v>
      </c>
      <c r="F113" s="1">
        <v>2788</v>
      </c>
      <c r="G113" s="14">
        <v>35</v>
      </c>
      <c r="H113" s="1">
        <v>0.06</v>
      </c>
      <c r="I113" s="14">
        <v>91725.2</v>
      </c>
      <c r="J113" s="14">
        <v>50184</v>
      </c>
      <c r="K113" s="15">
        <f>Table5[[#This Row],[Selling Price]]*Table5[[#This Row],[Units Sold]]</f>
        <v>97580</v>
      </c>
      <c r="L113" t="str">
        <f t="shared" si="1"/>
        <v>2023-03</v>
      </c>
      <c r="M113" t="str">
        <f>VLOOKUP(Table5[[#This Row],[Store ID]],Table4[[Store ID]:[Store Location]],2)</f>
        <v>London Stratford</v>
      </c>
      <c r="N113" t="str">
        <f>VLOOKUP(Table5[[#This Row],[Store ID]],Table4[[Store ID]:[Region]],3)</f>
        <v>South</v>
      </c>
      <c r="O113" t="str">
        <f>VLOOKUP(Table5[[#This Row],[Product ID]],'Product Master'!$A$2:$D$10,4)</f>
        <v>Supplier C</v>
      </c>
      <c r="P113" s="15">
        <f>Table5[[#This Row],[Total Revenue]]-Table5[[#This Row],[Net Sales Revenue]]</f>
        <v>5854.8000000000029</v>
      </c>
      <c r="Q113" s="15">
        <f>Table5[[#This Row],[Net Sales Revenue]]/Table5[[#This Row],[Units Sold]]</f>
        <v>32.9</v>
      </c>
      <c r="R113">
        <f>VLOOKUP(Table5[[#This Row],[Product ID]],'Product Master'!$A$1:$E$10,5,FALSE)</f>
        <v>18</v>
      </c>
      <c r="S113" s="15">
        <f>Table5[[#This Row],[standard product cost per unit]]*Table5[[#This Row],[Units Sold]]</f>
        <v>50184</v>
      </c>
      <c r="T113" s="15">
        <f>Table5[[#This Row],[Cost of Sales]]-Table5[[#This Row],[Standard cost]]</f>
        <v>0</v>
      </c>
      <c r="U113" s="15">
        <f>Table5[[#This Row],[Net Sales Revenue]]-Table5[[#This Row],[Cost of Sales]]</f>
        <v>41541.199999999997</v>
      </c>
      <c r="V113" s="17">
        <f>Table5[[#This Row],[GrossProfit]]/Table5[[#This Row],[Net Sales Revenue]]</f>
        <v>0.45288753799392095</v>
      </c>
    </row>
    <row r="114" spans="1:22" ht="14.25" customHeight="1" x14ac:dyDescent="0.25">
      <c r="A114" s="1" t="s">
        <v>182</v>
      </c>
      <c r="B114" s="1" t="s">
        <v>160</v>
      </c>
      <c r="C114" s="1" t="s">
        <v>48</v>
      </c>
      <c r="D114" s="1" t="s">
        <v>19</v>
      </c>
      <c r="E114" s="1" t="s">
        <v>21</v>
      </c>
      <c r="F114" s="1">
        <v>2552</v>
      </c>
      <c r="G114" s="14">
        <v>18</v>
      </c>
      <c r="H114" s="1">
        <v>0.08</v>
      </c>
      <c r="I114" s="14">
        <v>42261.120000000003</v>
      </c>
      <c r="J114" s="14">
        <v>22968</v>
      </c>
      <c r="K114" s="15">
        <f>Table5[[#This Row],[Selling Price]]*Table5[[#This Row],[Units Sold]]</f>
        <v>45936</v>
      </c>
      <c r="L114" t="str">
        <f t="shared" si="1"/>
        <v>2023-03</v>
      </c>
      <c r="M114" t="str">
        <f>VLOOKUP(Table5[[#This Row],[Store ID]],Table4[[Store ID]:[Store Location]],2)</f>
        <v>London Stratford</v>
      </c>
      <c r="N114" t="str">
        <f>VLOOKUP(Table5[[#This Row],[Store ID]],Table4[[Store ID]:[Region]],3)</f>
        <v>South</v>
      </c>
      <c r="O114" t="str">
        <f>VLOOKUP(Table5[[#This Row],[Product ID]],'Product Master'!$A$2:$D$10,4)</f>
        <v>Supplier D</v>
      </c>
      <c r="P114" s="15">
        <f>Table5[[#This Row],[Total Revenue]]-Table5[[#This Row],[Net Sales Revenue]]</f>
        <v>3674.8799999999974</v>
      </c>
      <c r="Q114" s="15">
        <f>Table5[[#This Row],[Net Sales Revenue]]/Table5[[#This Row],[Units Sold]]</f>
        <v>16.560000000000002</v>
      </c>
      <c r="R114">
        <f>VLOOKUP(Table5[[#This Row],[Product ID]],'Product Master'!$A$1:$E$10,5,FALSE)</f>
        <v>9</v>
      </c>
      <c r="S114" s="15">
        <f>Table5[[#This Row],[standard product cost per unit]]*Table5[[#This Row],[Units Sold]]</f>
        <v>22968</v>
      </c>
      <c r="T114" s="15">
        <f>Table5[[#This Row],[Cost of Sales]]-Table5[[#This Row],[Standard cost]]</f>
        <v>0</v>
      </c>
      <c r="U114" s="15">
        <f>Table5[[#This Row],[Net Sales Revenue]]-Table5[[#This Row],[Cost of Sales]]</f>
        <v>19293.120000000003</v>
      </c>
      <c r="V114" s="17">
        <f>Table5[[#This Row],[GrossProfit]]/Table5[[#This Row],[Net Sales Revenue]]</f>
        <v>0.45652173913043481</v>
      </c>
    </row>
    <row r="115" spans="1:22" ht="14.25" customHeight="1" x14ac:dyDescent="0.25">
      <c r="A115" s="1" t="s">
        <v>183</v>
      </c>
      <c r="B115" s="1" t="s">
        <v>160</v>
      </c>
      <c r="C115" s="1" t="s">
        <v>48</v>
      </c>
      <c r="D115" s="1" t="s">
        <v>23</v>
      </c>
      <c r="E115" s="1" t="s">
        <v>21</v>
      </c>
      <c r="F115" s="1">
        <v>2020</v>
      </c>
      <c r="G115" s="14">
        <v>30</v>
      </c>
      <c r="H115" s="1">
        <v>0.06</v>
      </c>
      <c r="I115" s="14">
        <v>56964</v>
      </c>
      <c r="J115" s="14">
        <v>28280</v>
      </c>
      <c r="K115" s="15">
        <f>Table5[[#This Row],[Selling Price]]*Table5[[#This Row],[Units Sold]]</f>
        <v>60600</v>
      </c>
      <c r="L115" t="str">
        <f t="shared" si="1"/>
        <v>2023-03</v>
      </c>
      <c r="M115" t="str">
        <f>VLOOKUP(Table5[[#This Row],[Store ID]],Table4[[Store ID]:[Store Location]],2)</f>
        <v>London Stratford</v>
      </c>
      <c r="N115" t="str">
        <f>VLOOKUP(Table5[[#This Row],[Store ID]],Table4[[Store ID]:[Region]],3)</f>
        <v>South</v>
      </c>
      <c r="O115" t="str">
        <f>VLOOKUP(Table5[[#This Row],[Product ID]],'Product Master'!$A$2:$D$10,4)</f>
        <v>Supplier D</v>
      </c>
      <c r="P115" s="15">
        <f>Table5[[#This Row],[Total Revenue]]-Table5[[#This Row],[Net Sales Revenue]]</f>
        <v>3636</v>
      </c>
      <c r="Q115" s="15">
        <f>Table5[[#This Row],[Net Sales Revenue]]/Table5[[#This Row],[Units Sold]]</f>
        <v>28.2</v>
      </c>
      <c r="R115">
        <f>VLOOKUP(Table5[[#This Row],[Product ID]],'Product Master'!$A$1:$E$10,5,FALSE)</f>
        <v>14</v>
      </c>
      <c r="S115" s="15">
        <f>Table5[[#This Row],[standard product cost per unit]]*Table5[[#This Row],[Units Sold]]</f>
        <v>28280</v>
      </c>
      <c r="T115" s="15">
        <f>Table5[[#This Row],[Cost of Sales]]-Table5[[#This Row],[Standard cost]]</f>
        <v>0</v>
      </c>
      <c r="U115" s="15">
        <f>Table5[[#This Row],[Net Sales Revenue]]-Table5[[#This Row],[Cost of Sales]]</f>
        <v>28684</v>
      </c>
      <c r="V115" s="17">
        <f>Table5[[#This Row],[GrossProfit]]/Table5[[#This Row],[Net Sales Revenue]]</f>
        <v>0.50354609929078009</v>
      </c>
    </row>
    <row r="116" spans="1:22" ht="14.25" customHeight="1" x14ac:dyDescent="0.25">
      <c r="A116" s="1" t="s">
        <v>184</v>
      </c>
      <c r="B116" s="1" t="s">
        <v>160</v>
      </c>
      <c r="C116" s="1" t="s">
        <v>48</v>
      </c>
      <c r="D116" s="1" t="s">
        <v>25</v>
      </c>
      <c r="E116" s="1" t="s">
        <v>27</v>
      </c>
      <c r="F116" s="1">
        <v>1508</v>
      </c>
      <c r="G116" s="14">
        <v>40</v>
      </c>
      <c r="H116" s="1">
        <v>0.06</v>
      </c>
      <c r="I116" s="14">
        <v>56700.800000000003</v>
      </c>
      <c r="J116" s="14">
        <v>30160</v>
      </c>
      <c r="K116" s="15">
        <f>Table5[[#This Row],[Selling Price]]*Table5[[#This Row],[Units Sold]]</f>
        <v>60320</v>
      </c>
      <c r="L116" t="str">
        <f t="shared" si="1"/>
        <v>2023-03</v>
      </c>
      <c r="M116" t="str">
        <f>VLOOKUP(Table5[[#This Row],[Store ID]],Table4[[Store ID]:[Store Location]],2)</f>
        <v>London Stratford</v>
      </c>
      <c r="N116" t="str">
        <f>VLOOKUP(Table5[[#This Row],[Store ID]],Table4[[Store ID]:[Region]],3)</f>
        <v>South</v>
      </c>
      <c r="O116" t="str">
        <f>VLOOKUP(Table5[[#This Row],[Product ID]],'Product Master'!$A$2:$D$10,4)</f>
        <v>Supplier E</v>
      </c>
      <c r="P116" s="15">
        <f>Table5[[#This Row],[Total Revenue]]-Table5[[#This Row],[Net Sales Revenue]]</f>
        <v>3619.1999999999971</v>
      </c>
      <c r="Q116" s="15">
        <f>Table5[[#This Row],[Net Sales Revenue]]/Table5[[#This Row],[Units Sold]]</f>
        <v>37.6</v>
      </c>
      <c r="R116">
        <f>VLOOKUP(Table5[[#This Row],[Product ID]],'Product Master'!$A$1:$E$10,5,FALSE)</f>
        <v>20</v>
      </c>
      <c r="S116" s="15">
        <f>Table5[[#This Row],[standard product cost per unit]]*Table5[[#This Row],[Units Sold]]</f>
        <v>30160</v>
      </c>
      <c r="T116" s="15">
        <f>Table5[[#This Row],[Cost of Sales]]-Table5[[#This Row],[Standard cost]]</f>
        <v>0</v>
      </c>
      <c r="U116" s="15">
        <f>Table5[[#This Row],[Net Sales Revenue]]-Table5[[#This Row],[Cost of Sales]]</f>
        <v>26540.800000000003</v>
      </c>
      <c r="V116" s="17">
        <f>Table5[[#This Row],[GrossProfit]]/Table5[[#This Row],[Net Sales Revenue]]</f>
        <v>0.46808510638297873</v>
      </c>
    </row>
    <row r="117" spans="1:22" ht="14.25" customHeight="1" x14ac:dyDescent="0.25">
      <c r="A117" s="1" t="s">
        <v>185</v>
      </c>
      <c r="B117" s="1" t="s">
        <v>160</v>
      </c>
      <c r="C117" s="1" t="s">
        <v>48</v>
      </c>
      <c r="D117" s="1" t="s">
        <v>29</v>
      </c>
      <c r="E117" s="1" t="s">
        <v>31</v>
      </c>
      <c r="F117" s="1">
        <v>2592</v>
      </c>
      <c r="G117" s="14">
        <v>10</v>
      </c>
      <c r="H117" s="1">
        <v>0.05</v>
      </c>
      <c r="I117" s="14">
        <v>24624</v>
      </c>
      <c r="J117" s="14">
        <v>10368</v>
      </c>
      <c r="K117" s="15">
        <f>Table5[[#This Row],[Selling Price]]*Table5[[#This Row],[Units Sold]]</f>
        <v>25920</v>
      </c>
      <c r="L117" t="str">
        <f t="shared" si="1"/>
        <v>2023-03</v>
      </c>
      <c r="M117" t="str">
        <f>VLOOKUP(Table5[[#This Row],[Store ID]],Table4[[Store ID]:[Store Location]],2)</f>
        <v>London Stratford</v>
      </c>
      <c r="N117" t="str">
        <f>VLOOKUP(Table5[[#This Row],[Store ID]],Table4[[Store ID]:[Region]],3)</f>
        <v>South</v>
      </c>
      <c r="O117" t="str">
        <f>VLOOKUP(Table5[[#This Row],[Product ID]],'Product Master'!$A$2:$D$10,4)</f>
        <v>Supplier F</v>
      </c>
      <c r="P117" s="15">
        <f>Table5[[#This Row],[Total Revenue]]-Table5[[#This Row],[Net Sales Revenue]]</f>
        <v>1296</v>
      </c>
      <c r="Q117" s="15">
        <f>Table5[[#This Row],[Net Sales Revenue]]/Table5[[#This Row],[Units Sold]]</f>
        <v>9.5</v>
      </c>
      <c r="R117">
        <f>VLOOKUP(Table5[[#This Row],[Product ID]],'Product Master'!$A$1:$E$10,5,FALSE)</f>
        <v>4</v>
      </c>
      <c r="S117" s="15">
        <f>Table5[[#This Row],[standard product cost per unit]]*Table5[[#This Row],[Units Sold]]</f>
        <v>10368</v>
      </c>
      <c r="T117" s="15">
        <f>Table5[[#This Row],[Cost of Sales]]-Table5[[#This Row],[Standard cost]]</f>
        <v>0</v>
      </c>
      <c r="U117" s="15">
        <f>Table5[[#This Row],[Net Sales Revenue]]-Table5[[#This Row],[Cost of Sales]]</f>
        <v>14256</v>
      </c>
      <c r="V117" s="17">
        <f>Table5[[#This Row],[GrossProfit]]/Table5[[#This Row],[Net Sales Revenue]]</f>
        <v>0.57894736842105265</v>
      </c>
    </row>
    <row r="118" spans="1:22" ht="14.25" customHeight="1" x14ac:dyDescent="0.25">
      <c r="A118" s="1" t="s">
        <v>186</v>
      </c>
      <c r="B118" s="1" t="s">
        <v>160</v>
      </c>
      <c r="C118" s="1" t="s">
        <v>48</v>
      </c>
      <c r="D118" s="1" t="s">
        <v>33</v>
      </c>
      <c r="E118" s="1" t="s">
        <v>31</v>
      </c>
      <c r="F118" s="1">
        <v>1524</v>
      </c>
      <c r="G118" s="14">
        <v>22</v>
      </c>
      <c r="H118" s="1">
        <v>7.0000000000000007E-2</v>
      </c>
      <c r="I118" s="14">
        <v>31181.040000000001</v>
      </c>
      <c r="J118" s="14">
        <v>15240</v>
      </c>
      <c r="K118" s="15">
        <f>Table5[[#This Row],[Selling Price]]*Table5[[#This Row],[Units Sold]]</f>
        <v>33528</v>
      </c>
      <c r="L118" t="str">
        <f t="shared" si="1"/>
        <v>2023-03</v>
      </c>
      <c r="M118" t="str">
        <f>VLOOKUP(Table5[[#This Row],[Store ID]],Table4[[Store ID]:[Store Location]],2)</f>
        <v>London Stratford</v>
      </c>
      <c r="N118" t="str">
        <f>VLOOKUP(Table5[[#This Row],[Store ID]],Table4[[Store ID]:[Region]],3)</f>
        <v>South</v>
      </c>
      <c r="O118" t="str">
        <f>VLOOKUP(Table5[[#This Row],[Product ID]],'Product Master'!$A$2:$D$10,4)</f>
        <v>Supplier F</v>
      </c>
      <c r="P118" s="15">
        <f>Table5[[#This Row],[Total Revenue]]-Table5[[#This Row],[Net Sales Revenue]]</f>
        <v>2346.9599999999991</v>
      </c>
      <c r="Q118" s="15">
        <f>Table5[[#This Row],[Net Sales Revenue]]/Table5[[#This Row],[Units Sold]]</f>
        <v>20.46</v>
      </c>
      <c r="R118">
        <f>VLOOKUP(Table5[[#This Row],[Product ID]],'Product Master'!$A$1:$E$10,5,FALSE)</f>
        <v>10</v>
      </c>
      <c r="S118" s="15">
        <f>Table5[[#This Row],[standard product cost per unit]]*Table5[[#This Row],[Units Sold]]</f>
        <v>15240</v>
      </c>
      <c r="T118" s="15">
        <f>Table5[[#This Row],[Cost of Sales]]-Table5[[#This Row],[Standard cost]]</f>
        <v>0</v>
      </c>
      <c r="U118" s="15">
        <f>Table5[[#This Row],[Net Sales Revenue]]-Table5[[#This Row],[Cost of Sales]]</f>
        <v>15941.04</v>
      </c>
      <c r="V118" s="17">
        <f>Table5[[#This Row],[GrossProfit]]/Table5[[#This Row],[Net Sales Revenue]]</f>
        <v>0.51124144672531768</v>
      </c>
    </row>
    <row r="119" spans="1:22" ht="14.25" customHeight="1" x14ac:dyDescent="0.25">
      <c r="A119" s="1" t="s">
        <v>187</v>
      </c>
      <c r="B119" s="1" t="s">
        <v>160</v>
      </c>
      <c r="C119" s="1" t="s">
        <v>52</v>
      </c>
      <c r="D119" s="1" t="s">
        <v>6</v>
      </c>
      <c r="E119" s="1" t="s">
        <v>8</v>
      </c>
      <c r="F119" s="1">
        <v>1992</v>
      </c>
      <c r="G119" s="14">
        <v>24</v>
      </c>
      <c r="H119" s="1">
        <v>0.05</v>
      </c>
      <c r="I119" s="14">
        <v>45417.599999999999</v>
      </c>
      <c r="J119" s="14">
        <v>23904</v>
      </c>
      <c r="K119" s="15">
        <f>Table5[[#This Row],[Selling Price]]*Table5[[#This Row],[Units Sold]]</f>
        <v>47808</v>
      </c>
      <c r="L119" t="str">
        <f t="shared" si="1"/>
        <v>2023-03</v>
      </c>
      <c r="M119" t="str">
        <f>VLOOKUP(Table5[[#This Row],[Store ID]],Table4[[Store ID]:[Store Location]],2)</f>
        <v>Glasgow</v>
      </c>
      <c r="N119" t="str">
        <f>VLOOKUP(Table5[[#This Row],[Store ID]],Table4[[Store ID]:[Region]],3)</f>
        <v>Scotland</v>
      </c>
      <c r="O119" t="str">
        <f>VLOOKUP(Table5[[#This Row],[Product ID]],'Product Master'!$A$2:$D$10,4)</f>
        <v>Supplier A</v>
      </c>
      <c r="P119" s="15">
        <f>Table5[[#This Row],[Total Revenue]]-Table5[[#This Row],[Net Sales Revenue]]</f>
        <v>2390.4000000000015</v>
      </c>
      <c r="Q119" s="15">
        <f>Table5[[#This Row],[Net Sales Revenue]]/Table5[[#This Row],[Units Sold]]</f>
        <v>22.8</v>
      </c>
      <c r="R119">
        <f>VLOOKUP(Table5[[#This Row],[Product ID]],'Product Master'!$A$1:$E$10,5,FALSE)</f>
        <v>12</v>
      </c>
      <c r="S119" s="15">
        <f>Table5[[#This Row],[standard product cost per unit]]*Table5[[#This Row],[Units Sold]]</f>
        <v>23904</v>
      </c>
      <c r="T119" s="15">
        <f>Table5[[#This Row],[Cost of Sales]]-Table5[[#This Row],[Standard cost]]</f>
        <v>0</v>
      </c>
      <c r="U119" s="15">
        <f>Table5[[#This Row],[Net Sales Revenue]]-Table5[[#This Row],[Cost of Sales]]</f>
        <v>21513.599999999999</v>
      </c>
      <c r="V119" s="17">
        <f>Table5[[#This Row],[GrossProfit]]/Table5[[#This Row],[Net Sales Revenue]]</f>
        <v>0.47368421052631576</v>
      </c>
    </row>
    <row r="120" spans="1:22" ht="14.25" customHeight="1" x14ac:dyDescent="0.25">
      <c r="A120" s="1" t="s">
        <v>188</v>
      </c>
      <c r="B120" s="1" t="s">
        <v>160</v>
      </c>
      <c r="C120" s="1" t="s">
        <v>52</v>
      </c>
      <c r="D120" s="1" t="s">
        <v>10</v>
      </c>
      <c r="E120" s="1" t="s">
        <v>8</v>
      </c>
      <c r="F120" s="1">
        <v>2120</v>
      </c>
      <c r="G120" s="14">
        <v>50</v>
      </c>
      <c r="H120" s="1">
        <v>0.09</v>
      </c>
      <c r="I120" s="14">
        <v>96460</v>
      </c>
      <c r="J120" s="14">
        <v>59360</v>
      </c>
      <c r="K120" s="15">
        <f>Table5[[#This Row],[Selling Price]]*Table5[[#This Row],[Units Sold]]</f>
        <v>106000</v>
      </c>
      <c r="L120" t="str">
        <f t="shared" si="1"/>
        <v>2023-03</v>
      </c>
      <c r="M120" t="str">
        <f>VLOOKUP(Table5[[#This Row],[Store ID]],Table4[[Store ID]:[Store Location]],2)</f>
        <v>Glasgow</v>
      </c>
      <c r="N120" t="str">
        <f>VLOOKUP(Table5[[#This Row],[Store ID]],Table4[[Store ID]:[Region]],3)</f>
        <v>Scotland</v>
      </c>
      <c r="O120" t="str">
        <f>VLOOKUP(Table5[[#This Row],[Product ID]],'Product Master'!$A$2:$D$10,4)</f>
        <v>Supplier B</v>
      </c>
      <c r="P120" s="15">
        <f>Table5[[#This Row],[Total Revenue]]-Table5[[#This Row],[Net Sales Revenue]]</f>
        <v>9540</v>
      </c>
      <c r="Q120" s="15">
        <f>Table5[[#This Row],[Net Sales Revenue]]/Table5[[#This Row],[Units Sold]]</f>
        <v>45.5</v>
      </c>
      <c r="R120">
        <f>VLOOKUP(Table5[[#This Row],[Product ID]],'Product Master'!$A$1:$E$10,5,FALSE)</f>
        <v>28</v>
      </c>
      <c r="S120" s="15">
        <f>Table5[[#This Row],[standard product cost per unit]]*Table5[[#This Row],[Units Sold]]</f>
        <v>59360</v>
      </c>
      <c r="T120" s="15">
        <f>Table5[[#This Row],[Cost of Sales]]-Table5[[#This Row],[Standard cost]]</f>
        <v>0</v>
      </c>
      <c r="U120" s="15">
        <f>Table5[[#This Row],[Net Sales Revenue]]-Table5[[#This Row],[Cost of Sales]]</f>
        <v>37100</v>
      </c>
      <c r="V120" s="17">
        <f>Table5[[#This Row],[GrossProfit]]/Table5[[#This Row],[Net Sales Revenue]]</f>
        <v>0.38461538461538464</v>
      </c>
    </row>
    <row r="121" spans="1:22" ht="14.25" customHeight="1" x14ac:dyDescent="0.25">
      <c r="A121" s="1" t="s">
        <v>189</v>
      </c>
      <c r="B121" s="1" t="s">
        <v>160</v>
      </c>
      <c r="C121" s="1" t="s">
        <v>52</v>
      </c>
      <c r="D121" s="1" t="s">
        <v>13</v>
      </c>
      <c r="E121" s="1" t="s">
        <v>15</v>
      </c>
      <c r="F121" s="1">
        <v>1316</v>
      </c>
      <c r="G121" s="14">
        <v>28</v>
      </c>
      <c r="H121" s="1">
        <v>0.08</v>
      </c>
      <c r="I121" s="14">
        <v>33900.160000000003</v>
      </c>
      <c r="J121" s="14">
        <v>19740</v>
      </c>
      <c r="K121" s="15">
        <f>Table5[[#This Row],[Selling Price]]*Table5[[#This Row],[Units Sold]]</f>
        <v>36848</v>
      </c>
      <c r="L121" t="str">
        <f t="shared" si="1"/>
        <v>2023-03</v>
      </c>
      <c r="M121" t="str">
        <f>VLOOKUP(Table5[[#This Row],[Store ID]],Table4[[Store ID]:[Store Location]],2)</f>
        <v>Glasgow</v>
      </c>
      <c r="N121" t="str">
        <f>VLOOKUP(Table5[[#This Row],[Store ID]],Table4[[Store ID]:[Region]],3)</f>
        <v>Scotland</v>
      </c>
      <c r="O121" t="str">
        <f>VLOOKUP(Table5[[#This Row],[Product ID]],'Product Master'!$A$2:$D$10,4)</f>
        <v>Supplier C</v>
      </c>
      <c r="P121" s="15">
        <f>Table5[[#This Row],[Total Revenue]]-Table5[[#This Row],[Net Sales Revenue]]</f>
        <v>2947.8399999999965</v>
      </c>
      <c r="Q121" s="15">
        <f>Table5[[#This Row],[Net Sales Revenue]]/Table5[[#This Row],[Units Sold]]</f>
        <v>25.76</v>
      </c>
      <c r="R121">
        <f>VLOOKUP(Table5[[#This Row],[Product ID]],'Product Master'!$A$1:$E$10,5,FALSE)</f>
        <v>15</v>
      </c>
      <c r="S121" s="15">
        <f>Table5[[#This Row],[standard product cost per unit]]*Table5[[#This Row],[Units Sold]]</f>
        <v>19740</v>
      </c>
      <c r="T121" s="15">
        <f>Table5[[#This Row],[Cost of Sales]]-Table5[[#This Row],[Standard cost]]</f>
        <v>0</v>
      </c>
      <c r="U121" s="15">
        <f>Table5[[#This Row],[Net Sales Revenue]]-Table5[[#This Row],[Cost of Sales]]</f>
        <v>14160.160000000003</v>
      </c>
      <c r="V121" s="17">
        <f>Table5[[#This Row],[GrossProfit]]/Table5[[#This Row],[Net Sales Revenue]]</f>
        <v>0.41770186335403731</v>
      </c>
    </row>
    <row r="122" spans="1:22" ht="14.25" customHeight="1" x14ac:dyDescent="0.25">
      <c r="A122" s="1" t="s">
        <v>190</v>
      </c>
      <c r="B122" s="1" t="s">
        <v>160</v>
      </c>
      <c r="C122" s="1" t="s">
        <v>52</v>
      </c>
      <c r="D122" s="1" t="s">
        <v>17</v>
      </c>
      <c r="E122" s="1" t="s">
        <v>15</v>
      </c>
      <c r="F122" s="1">
        <v>2696</v>
      </c>
      <c r="G122" s="14">
        <v>35</v>
      </c>
      <c r="H122" s="1">
        <v>0.05</v>
      </c>
      <c r="I122" s="14">
        <v>89642</v>
      </c>
      <c r="J122" s="14">
        <v>48528</v>
      </c>
      <c r="K122" s="15">
        <f>Table5[[#This Row],[Selling Price]]*Table5[[#This Row],[Units Sold]]</f>
        <v>94360</v>
      </c>
      <c r="L122" t="str">
        <f t="shared" si="1"/>
        <v>2023-03</v>
      </c>
      <c r="M122" t="str">
        <f>VLOOKUP(Table5[[#This Row],[Store ID]],Table4[[Store ID]:[Store Location]],2)</f>
        <v>Glasgow</v>
      </c>
      <c r="N122" t="str">
        <f>VLOOKUP(Table5[[#This Row],[Store ID]],Table4[[Store ID]:[Region]],3)</f>
        <v>Scotland</v>
      </c>
      <c r="O122" t="str">
        <f>VLOOKUP(Table5[[#This Row],[Product ID]],'Product Master'!$A$2:$D$10,4)</f>
        <v>Supplier C</v>
      </c>
      <c r="P122" s="15">
        <f>Table5[[#This Row],[Total Revenue]]-Table5[[#This Row],[Net Sales Revenue]]</f>
        <v>4718</v>
      </c>
      <c r="Q122" s="15">
        <f>Table5[[#This Row],[Net Sales Revenue]]/Table5[[#This Row],[Units Sold]]</f>
        <v>33.25</v>
      </c>
      <c r="R122">
        <f>VLOOKUP(Table5[[#This Row],[Product ID]],'Product Master'!$A$1:$E$10,5,FALSE)</f>
        <v>18</v>
      </c>
      <c r="S122" s="15">
        <f>Table5[[#This Row],[standard product cost per unit]]*Table5[[#This Row],[Units Sold]]</f>
        <v>48528</v>
      </c>
      <c r="T122" s="15">
        <f>Table5[[#This Row],[Cost of Sales]]-Table5[[#This Row],[Standard cost]]</f>
        <v>0</v>
      </c>
      <c r="U122" s="15">
        <f>Table5[[#This Row],[Net Sales Revenue]]-Table5[[#This Row],[Cost of Sales]]</f>
        <v>41114</v>
      </c>
      <c r="V122" s="17">
        <f>Table5[[#This Row],[GrossProfit]]/Table5[[#This Row],[Net Sales Revenue]]</f>
        <v>0.45864661654135336</v>
      </c>
    </row>
    <row r="123" spans="1:22" ht="14.25" customHeight="1" x14ac:dyDescent="0.25">
      <c r="A123" s="1" t="s">
        <v>191</v>
      </c>
      <c r="B123" s="1" t="s">
        <v>160</v>
      </c>
      <c r="C123" s="1" t="s">
        <v>52</v>
      </c>
      <c r="D123" s="1" t="s">
        <v>19</v>
      </c>
      <c r="E123" s="1" t="s">
        <v>21</v>
      </c>
      <c r="F123" s="1">
        <v>2532</v>
      </c>
      <c r="G123" s="14">
        <v>18</v>
      </c>
      <c r="H123" s="1">
        <v>0.08</v>
      </c>
      <c r="I123" s="14">
        <v>41929.919999999998</v>
      </c>
      <c r="J123" s="14">
        <v>22788</v>
      </c>
      <c r="K123" s="15">
        <f>Table5[[#This Row],[Selling Price]]*Table5[[#This Row],[Units Sold]]</f>
        <v>45576</v>
      </c>
      <c r="L123" t="str">
        <f t="shared" si="1"/>
        <v>2023-03</v>
      </c>
      <c r="M123" t="str">
        <f>VLOOKUP(Table5[[#This Row],[Store ID]],Table4[[Store ID]:[Store Location]],2)</f>
        <v>Glasgow</v>
      </c>
      <c r="N123" t="str">
        <f>VLOOKUP(Table5[[#This Row],[Store ID]],Table4[[Store ID]:[Region]],3)</f>
        <v>Scotland</v>
      </c>
      <c r="O123" t="str">
        <f>VLOOKUP(Table5[[#This Row],[Product ID]],'Product Master'!$A$2:$D$10,4)</f>
        <v>Supplier D</v>
      </c>
      <c r="P123" s="15">
        <f>Table5[[#This Row],[Total Revenue]]-Table5[[#This Row],[Net Sales Revenue]]</f>
        <v>3646.0800000000017</v>
      </c>
      <c r="Q123" s="15">
        <f>Table5[[#This Row],[Net Sales Revenue]]/Table5[[#This Row],[Units Sold]]</f>
        <v>16.559999999999999</v>
      </c>
      <c r="R123">
        <f>VLOOKUP(Table5[[#This Row],[Product ID]],'Product Master'!$A$1:$E$10,5,FALSE)</f>
        <v>9</v>
      </c>
      <c r="S123" s="15">
        <f>Table5[[#This Row],[standard product cost per unit]]*Table5[[#This Row],[Units Sold]]</f>
        <v>22788</v>
      </c>
      <c r="T123" s="15">
        <f>Table5[[#This Row],[Cost of Sales]]-Table5[[#This Row],[Standard cost]]</f>
        <v>0</v>
      </c>
      <c r="U123" s="15">
        <f>Table5[[#This Row],[Net Sales Revenue]]-Table5[[#This Row],[Cost of Sales]]</f>
        <v>19141.919999999998</v>
      </c>
      <c r="V123" s="17">
        <f>Table5[[#This Row],[GrossProfit]]/Table5[[#This Row],[Net Sales Revenue]]</f>
        <v>0.45652173913043476</v>
      </c>
    </row>
    <row r="124" spans="1:22" ht="14.25" customHeight="1" x14ac:dyDescent="0.25">
      <c r="A124" s="1" t="s">
        <v>192</v>
      </c>
      <c r="B124" s="1" t="s">
        <v>160</v>
      </c>
      <c r="C124" s="1" t="s">
        <v>52</v>
      </c>
      <c r="D124" s="1" t="s">
        <v>23</v>
      </c>
      <c r="E124" s="1" t="s">
        <v>21</v>
      </c>
      <c r="F124" s="1">
        <v>2008</v>
      </c>
      <c r="G124" s="14">
        <v>30</v>
      </c>
      <c r="H124" s="1">
        <v>0.06</v>
      </c>
      <c r="I124" s="14">
        <v>56625.599999999999</v>
      </c>
      <c r="J124" s="14">
        <v>28112</v>
      </c>
      <c r="K124" s="15">
        <f>Table5[[#This Row],[Selling Price]]*Table5[[#This Row],[Units Sold]]</f>
        <v>60240</v>
      </c>
      <c r="L124" t="str">
        <f t="shared" si="1"/>
        <v>2023-03</v>
      </c>
      <c r="M124" t="str">
        <f>VLOOKUP(Table5[[#This Row],[Store ID]],Table4[[Store ID]:[Store Location]],2)</f>
        <v>Glasgow</v>
      </c>
      <c r="N124" t="str">
        <f>VLOOKUP(Table5[[#This Row],[Store ID]],Table4[[Store ID]:[Region]],3)</f>
        <v>Scotland</v>
      </c>
      <c r="O124" t="str">
        <f>VLOOKUP(Table5[[#This Row],[Product ID]],'Product Master'!$A$2:$D$10,4)</f>
        <v>Supplier D</v>
      </c>
      <c r="P124" s="15">
        <f>Table5[[#This Row],[Total Revenue]]-Table5[[#This Row],[Net Sales Revenue]]</f>
        <v>3614.4000000000015</v>
      </c>
      <c r="Q124" s="15">
        <f>Table5[[#This Row],[Net Sales Revenue]]/Table5[[#This Row],[Units Sold]]</f>
        <v>28.2</v>
      </c>
      <c r="R124">
        <f>VLOOKUP(Table5[[#This Row],[Product ID]],'Product Master'!$A$1:$E$10,5,FALSE)</f>
        <v>14</v>
      </c>
      <c r="S124" s="15">
        <f>Table5[[#This Row],[standard product cost per unit]]*Table5[[#This Row],[Units Sold]]</f>
        <v>28112</v>
      </c>
      <c r="T124" s="15">
        <f>Table5[[#This Row],[Cost of Sales]]-Table5[[#This Row],[Standard cost]]</f>
        <v>0</v>
      </c>
      <c r="U124" s="15">
        <f>Table5[[#This Row],[Net Sales Revenue]]-Table5[[#This Row],[Cost of Sales]]</f>
        <v>28513.599999999999</v>
      </c>
      <c r="V124" s="17">
        <f>Table5[[#This Row],[GrossProfit]]/Table5[[#This Row],[Net Sales Revenue]]</f>
        <v>0.50354609929078009</v>
      </c>
    </row>
    <row r="125" spans="1:22" ht="14.25" customHeight="1" x14ac:dyDescent="0.25">
      <c r="A125" s="1" t="s">
        <v>193</v>
      </c>
      <c r="B125" s="1" t="s">
        <v>160</v>
      </c>
      <c r="C125" s="1" t="s">
        <v>52</v>
      </c>
      <c r="D125" s="1" t="s">
        <v>25</v>
      </c>
      <c r="E125" s="1" t="s">
        <v>27</v>
      </c>
      <c r="F125" s="1">
        <v>1304</v>
      </c>
      <c r="G125" s="14">
        <v>40</v>
      </c>
      <c r="H125" s="1">
        <v>0.1</v>
      </c>
      <c r="I125" s="14">
        <v>46944</v>
      </c>
      <c r="J125" s="14">
        <v>26080</v>
      </c>
      <c r="K125" s="15">
        <f>Table5[[#This Row],[Selling Price]]*Table5[[#This Row],[Units Sold]]</f>
        <v>52160</v>
      </c>
      <c r="L125" t="str">
        <f t="shared" si="1"/>
        <v>2023-03</v>
      </c>
      <c r="M125" t="str">
        <f>VLOOKUP(Table5[[#This Row],[Store ID]],Table4[[Store ID]:[Store Location]],2)</f>
        <v>Glasgow</v>
      </c>
      <c r="N125" t="str">
        <f>VLOOKUP(Table5[[#This Row],[Store ID]],Table4[[Store ID]:[Region]],3)</f>
        <v>Scotland</v>
      </c>
      <c r="O125" t="str">
        <f>VLOOKUP(Table5[[#This Row],[Product ID]],'Product Master'!$A$2:$D$10,4)</f>
        <v>Supplier E</v>
      </c>
      <c r="P125" s="15">
        <f>Table5[[#This Row],[Total Revenue]]-Table5[[#This Row],[Net Sales Revenue]]</f>
        <v>5216</v>
      </c>
      <c r="Q125" s="15">
        <f>Table5[[#This Row],[Net Sales Revenue]]/Table5[[#This Row],[Units Sold]]</f>
        <v>36</v>
      </c>
      <c r="R125">
        <f>VLOOKUP(Table5[[#This Row],[Product ID]],'Product Master'!$A$1:$E$10,5,FALSE)</f>
        <v>20</v>
      </c>
      <c r="S125" s="15">
        <f>Table5[[#This Row],[standard product cost per unit]]*Table5[[#This Row],[Units Sold]]</f>
        <v>26080</v>
      </c>
      <c r="T125" s="15">
        <f>Table5[[#This Row],[Cost of Sales]]-Table5[[#This Row],[Standard cost]]</f>
        <v>0</v>
      </c>
      <c r="U125" s="15">
        <f>Table5[[#This Row],[Net Sales Revenue]]-Table5[[#This Row],[Cost of Sales]]</f>
        <v>20864</v>
      </c>
      <c r="V125" s="17">
        <f>Table5[[#This Row],[GrossProfit]]/Table5[[#This Row],[Net Sales Revenue]]</f>
        <v>0.44444444444444442</v>
      </c>
    </row>
    <row r="126" spans="1:22" ht="14.25" customHeight="1" x14ac:dyDescent="0.25">
      <c r="A126" s="1" t="s">
        <v>194</v>
      </c>
      <c r="B126" s="1" t="s">
        <v>160</v>
      </c>
      <c r="C126" s="1" t="s">
        <v>52</v>
      </c>
      <c r="D126" s="1" t="s">
        <v>29</v>
      </c>
      <c r="E126" s="1" t="s">
        <v>31</v>
      </c>
      <c r="F126" s="1">
        <v>1608</v>
      </c>
      <c r="G126" s="14">
        <v>10</v>
      </c>
      <c r="H126" s="1">
        <v>0.1</v>
      </c>
      <c r="I126" s="14">
        <v>14472</v>
      </c>
      <c r="J126" s="14">
        <v>6432</v>
      </c>
      <c r="K126" s="15">
        <f>Table5[[#This Row],[Selling Price]]*Table5[[#This Row],[Units Sold]]</f>
        <v>16080</v>
      </c>
      <c r="L126" t="str">
        <f t="shared" si="1"/>
        <v>2023-03</v>
      </c>
      <c r="M126" t="str">
        <f>VLOOKUP(Table5[[#This Row],[Store ID]],Table4[[Store ID]:[Store Location]],2)</f>
        <v>Glasgow</v>
      </c>
      <c r="N126" t="str">
        <f>VLOOKUP(Table5[[#This Row],[Store ID]],Table4[[Store ID]:[Region]],3)</f>
        <v>Scotland</v>
      </c>
      <c r="O126" t="str">
        <f>VLOOKUP(Table5[[#This Row],[Product ID]],'Product Master'!$A$2:$D$10,4)</f>
        <v>Supplier F</v>
      </c>
      <c r="P126" s="15">
        <f>Table5[[#This Row],[Total Revenue]]-Table5[[#This Row],[Net Sales Revenue]]</f>
        <v>1608</v>
      </c>
      <c r="Q126" s="15">
        <f>Table5[[#This Row],[Net Sales Revenue]]/Table5[[#This Row],[Units Sold]]</f>
        <v>9</v>
      </c>
      <c r="R126">
        <f>VLOOKUP(Table5[[#This Row],[Product ID]],'Product Master'!$A$1:$E$10,5,FALSE)</f>
        <v>4</v>
      </c>
      <c r="S126" s="15">
        <f>Table5[[#This Row],[standard product cost per unit]]*Table5[[#This Row],[Units Sold]]</f>
        <v>6432</v>
      </c>
      <c r="T126" s="15">
        <f>Table5[[#This Row],[Cost of Sales]]-Table5[[#This Row],[Standard cost]]</f>
        <v>0</v>
      </c>
      <c r="U126" s="15">
        <f>Table5[[#This Row],[Net Sales Revenue]]-Table5[[#This Row],[Cost of Sales]]</f>
        <v>8040</v>
      </c>
      <c r="V126" s="17">
        <f>Table5[[#This Row],[GrossProfit]]/Table5[[#This Row],[Net Sales Revenue]]</f>
        <v>0.55555555555555558</v>
      </c>
    </row>
    <row r="127" spans="1:22" ht="14.25" customHeight="1" x14ac:dyDescent="0.25">
      <c r="A127" s="1" t="s">
        <v>195</v>
      </c>
      <c r="B127" s="1" t="s">
        <v>160</v>
      </c>
      <c r="C127" s="1" t="s">
        <v>52</v>
      </c>
      <c r="D127" s="1" t="s">
        <v>33</v>
      </c>
      <c r="E127" s="1" t="s">
        <v>31</v>
      </c>
      <c r="F127" s="1">
        <v>2104</v>
      </c>
      <c r="G127" s="14">
        <v>22</v>
      </c>
      <c r="H127" s="1">
        <v>0.08</v>
      </c>
      <c r="I127" s="14">
        <v>42584.959999999999</v>
      </c>
      <c r="J127" s="14">
        <v>21040</v>
      </c>
      <c r="K127" s="15">
        <f>Table5[[#This Row],[Selling Price]]*Table5[[#This Row],[Units Sold]]</f>
        <v>46288</v>
      </c>
      <c r="L127" t="str">
        <f t="shared" si="1"/>
        <v>2023-03</v>
      </c>
      <c r="M127" t="str">
        <f>VLOOKUP(Table5[[#This Row],[Store ID]],Table4[[Store ID]:[Store Location]],2)</f>
        <v>Glasgow</v>
      </c>
      <c r="N127" t="str">
        <f>VLOOKUP(Table5[[#This Row],[Store ID]],Table4[[Store ID]:[Region]],3)</f>
        <v>Scotland</v>
      </c>
      <c r="O127" t="str">
        <f>VLOOKUP(Table5[[#This Row],[Product ID]],'Product Master'!$A$2:$D$10,4)</f>
        <v>Supplier F</v>
      </c>
      <c r="P127" s="15">
        <f>Table5[[#This Row],[Total Revenue]]-Table5[[#This Row],[Net Sales Revenue]]</f>
        <v>3703.0400000000009</v>
      </c>
      <c r="Q127" s="15">
        <f>Table5[[#This Row],[Net Sales Revenue]]/Table5[[#This Row],[Units Sold]]</f>
        <v>20.239999999999998</v>
      </c>
      <c r="R127">
        <f>VLOOKUP(Table5[[#This Row],[Product ID]],'Product Master'!$A$1:$E$10,5,FALSE)</f>
        <v>10</v>
      </c>
      <c r="S127" s="15">
        <f>Table5[[#This Row],[standard product cost per unit]]*Table5[[#This Row],[Units Sold]]</f>
        <v>21040</v>
      </c>
      <c r="T127" s="15">
        <f>Table5[[#This Row],[Cost of Sales]]-Table5[[#This Row],[Standard cost]]</f>
        <v>0</v>
      </c>
      <c r="U127" s="15">
        <f>Table5[[#This Row],[Net Sales Revenue]]-Table5[[#This Row],[Cost of Sales]]</f>
        <v>21544.959999999999</v>
      </c>
      <c r="V127" s="17">
        <f>Table5[[#This Row],[GrossProfit]]/Table5[[#This Row],[Net Sales Revenue]]</f>
        <v>0.50592885375494068</v>
      </c>
    </row>
    <row r="128" spans="1:22" ht="14.25" customHeight="1" x14ac:dyDescent="0.25">
      <c r="A128" s="1" t="s">
        <v>196</v>
      </c>
      <c r="B128" s="1" t="s">
        <v>160</v>
      </c>
      <c r="C128" s="1" t="s">
        <v>56</v>
      </c>
      <c r="D128" s="1" t="s">
        <v>6</v>
      </c>
      <c r="E128" s="1" t="s">
        <v>8</v>
      </c>
      <c r="F128" s="1">
        <v>2400</v>
      </c>
      <c r="G128" s="14">
        <v>24</v>
      </c>
      <c r="H128" s="1">
        <v>0.09</v>
      </c>
      <c r="I128" s="14">
        <v>52416</v>
      </c>
      <c r="J128" s="14">
        <v>28800</v>
      </c>
      <c r="K128" s="15">
        <f>Table5[[#This Row],[Selling Price]]*Table5[[#This Row],[Units Sold]]</f>
        <v>57600</v>
      </c>
      <c r="L128" t="str">
        <f t="shared" si="1"/>
        <v>2023-03</v>
      </c>
      <c r="M128" t="str">
        <f>VLOOKUP(Table5[[#This Row],[Store ID]],Table4[[Store ID]:[Store Location]],2)</f>
        <v>Leeds</v>
      </c>
      <c r="N128" t="str">
        <f>VLOOKUP(Table5[[#This Row],[Store ID]],Table4[[Store ID]:[Region]],3)</f>
        <v>North</v>
      </c>
      <c r="O128" t="str">
        <f>VLOOKUP(Table5[[#This Row],[Product ID]],'Product Master'!$A$2:$D$10,4)</f>
        <v>Supplier A</v>
      </c>
      <c r="P128" s="15">
        <f>Table5[[#This Row],[Total Revenue]]-Table5[[#This Row],[Net Sales Revenue]]</f>
        <v>5184</v>
      </c>
      <c r="Q128" s="15">
        <f>Table5[[#This Row],[Net Sales Revenue]]/Table5[[#This Row],[Units Sold]]</f>
        <v>21.84</v>
      </c>
      <c r="R128">
        <f>VLOOKUP(Table5[[#This Row],[Product ID]],'Product Master'!$A$1:$E$10,5,FALSE)</f>
        <v>12</v>
      </c>
      <c r="S128" s="15">
        <f>Table5[[#This Row],[standard product cost per unit]]*Table5[[#This Row],[Units Sold]]</f>
        <v>28800</v>
      </c>
      <c r="T128" s="15">
        <f>Table5[[#This Row],[Cost of Sales]]-Table5[[#This Row],[Standard cost]]</f>
        <v>0</v>
      </c>
      <c r="U128" s="15">
        <f>Table5[[#This Row],[Net Sales Revenue]]-Table5[[#This Row],[Cost of Sales]]</f>
        <v>23616</v>
      </c>
      <c r="V128" s="17">
        <f>Table5[[#This Row],[GrossProfit]]/Table5[[#This Row],[Net Sales Revenue]]</f>
        <v>0.45054945054945056</v>
      </c>
    </row>
    <row r="129" spans="1:22" ht="14.25" customHeight="1" x14ac:dyDescent="0.25">
      <c r="A129" s="1" t="s">
        <v>197</v>
      </c>
      <c r="B129" s="1" t="s">
        <v>160</v>
      </c>
      <c r="C129" s="1" t="s">
        <v>56</v>
      </c>
      <c r="D129" s="1" t="s">
        <v>10</v>
      </c>
      <c r="E129" s="1" t="s">
        <v>8</v>
      </c>
      <c r="F129" s="1">
        <v>1280</v>
      </c>
      <c r="G129" s="14">
        <v>50</v>
      </c>
      <c r="H129" s="1">
        <v>0.08</v>
      </c>
      <c r="I129" s="14">
        <v>58880</v>
      </c>
      <c r="J129" s="14">
        <v>35840</v>
      </c>
      <c r="K129" s="15">
        <f>Table5[[#This Row],[Selling Price]]*Table5[[#This Row],[Units Sold]]</f>
        <v>64000</v>
      </c>
      <c r="L129" t="str">
        <f t="shared" si="1"/>
        <v>2023-03</v>
      </c>
      <c r="M129" t="str">
        <f>VLOOKUP(Table5[[#This Row],[Store ID]],Table4[[Store ID]:[Store Location]],2)</f>
        <v>Leeds</v>
      </c>
      <c r="N129" t="str">
        <f>VLOOKUP(Table5[[#This Row],[Store ID]],Table4[[Store ID]:[Region]],3)</f>
        <v>North</v>
      </c>
      <c r="O129" t="str">
        <f>VLOOKUP(Table5[[#This Row],[Product ID]],'Product Master'!$A$2:$D$10,4)</f>
        <v>Supplier B</v>
      </c>
      <c r="P129" s="15">
        <f>Table5[[#This Row],[Total Revenue]]-Table5[[#This Row],[Net Sales Revenue]]</f>
        <v>5120</v>
      </c>
      <c r="Q129" s="15">
        <f>Table5[[#This Row],[Net Sales Revenue]]/Table5[[#This Row],[Units Sold]]</f>
        <v>46</v>
      </c>
      <c r="R129">
        <f>VLOOKUP(Table5[[#This Row],[Product ID]],'Product Master'!$A$1:$E$10,5,FALSE)</f>
        <v>28</v>
      </c>
      <c r="S129" s="15">
        <f>Table5[[#This Row],[standard product cost per unit]]*Table5[[#This Row],[Units Sold]]</f>
        <v>35840</v>
      </c>
      <c r="T129" s="15">
        <f>Table5[[#This Row],[Cost of Sales]]-Table5[[#This Row],[Standard cost]]</f>
        <v>0</v>
      </c>
      <c r="U129" s="15">
        <f>Table5[[#This Row],[Net Sales Revenue]]-Table5[[#This Row],[Cost of Sales]]</f>
        <v>23040</v>
      </c>
      <c r="V129" s="17">
        <f>Table5[[#This Row],[GrossProfit]]/Table5[[#This Row],[Net Sales Revenue]]</f>
        <v>0.39130434782608697</v>
      </c>
    </row>
    <row r="130" spans="1:22" ht="14.25" customHeight="1" x14ac:dyDescent="0.25">
      <c r="A130" s="1" t="s">
        <v>198</v>
      </c>
      <c r="B130" s="1" t="s">
        <v>160</v>
      </c>
      <c r="C130" s="1" t="s">
        <v>56</v>
      </c>
      <c r="D130" s="1" t="s">
        <v>13</v>
      </c>
      <c r="E130" s="1" t="s">
        <v>15</v>
      </c>
      <c r="F130" s="1">
        <v>2524</v>
      </c>
      <c r="G130" s="14">
        <v>28</v>
      </c>
      <c r="H130" s="1">
        <v>0.08</v>
      </c>
      <c r="I130" s="14">
        <v>65018.239999999998</v>
      </c>
      <c r="J130" s="14">
        <v>37860</v>
      </c>
      <c r="K130" s="15">
        <f>Table5[[#This Row],[Selling Price]]*Table5[[#This Row],[Units Sold]]</f>
        <v>70672</v>
      </c>
      <c r="L130" t="str">
        <f t="shared" ref="L130:L193" si="2">TEXT(B130,"yyyy-mm")</f>
        <v>2023-03</v>
      </c>
      <c r="M130" t="str">
        <f>VLOOKUP(Table5[[#This Row],[Store ID]],Table4[[Store ID]:[Store Location]],2)</f>
        <v>Leeds</v>
      </c>
      <c r="N130" t="str">
        <f>VLOOKUP(Table5[[#This Row],[Store ID]],Table4[[Store ID]:[Region]],3)</f>
        <v>North</v>
      </c>
      <c r="O130" t="str">
        <f>VLOOKUP(Table5[[#This Row],[Product ID]],'Product Master'!$A$2:$D$10,4)</f>
        <v>Supplier C</v>
      </c>
      <c r="P130" s="15">
        <f>Table5[[#This Row],[Total Revenue]]-Table5[[#This Row],[Net Sales Revenue]]</f>
        <v>5653.760000000002</v>
      </c>
      <c r="Q130" s="15">
        <f>Table5[[#This Row],[Net Sales Revenue]]/Table5[[#This Row],[Units Sold]]</f>
        <v>25.759999999999998</v>
      </c>
      <c r="R130">
        <f>VLOOKUP(Table5[[#This Row],[Product ID]],'Product Master'!$A$1:$E$10,5,FALSE)</f>
        <v>15</v>
      </c>
      <c r="S130" s="15">
        <f>Table5[[#This Row],[standard product cost per unit]]*Table5[[#This Row],[Units Sold]]</f>
        <v>37860</v>
      </c>
      <c r="T130" s="15">
        <f>Table5[[#This Row],[Cost of Sales]]-Table5[[#This Row],[Standard cost]]</f>
        <v>0</v>
      </c>
      <c r="U130" s="15">
        <f>Table5[[#This Row],[Net Sales Revenue]]-Table5[[#This Row],[Cost of Sales]]</f>
        <v>27158.239999999998</v>
      </c>
      <c r="V130" s="17">
        <f>Table5[[#This Row],[GrossProfit]]/Table5[[#This Row],[Net Sales Revenue]]</f>
        <v>0.41770186335403725</v>
      </c>
    </row>
    <row r="131" spans="1:22" ht="14.25" customHeight="1" x14ac:dyDescent="0.25">
      <c r="A131" s="1" t="s">
        <v>199</v>
      </c>
      <c r="B131" s="1" t="s">
        <v>160</v>
      </c>
      <c r="C131" s="1" t="s">
        <v>56</v>
      </c>
      <c r="D131" s="1" t="s">
        <v>17</v>
      </c>
      <c r="E131" s="1" t="s">
        <v>15</v>
      </c>
      <c r="F131" s="1">
        <v>2176</v>
      </c>
      <c r="G131" s="14">
        <v>35</v>
      </c>
      <c r="H131" s="1">
        <v>0.05</v>
      </c>
      <c r="I131" s="14">
        <v>72352</v>
      </c>
      <c r="J131" s="14">
        <v>39168</v>
      </c>
      <c r="K131" s="15">
        <f>Table5[[#This Row],[Selling Price]]*Table5[[#This Row],[Units Sold]]</f>
        <v>76160</v>
      </c>
      <c r="L131" t="str">
        <f t="shared" si="2"/>
        <v>2023-03</v>
      </c>
      <c r="M131" t="str">
        <f>VLOOKUP(Table5[[#This Row],[Store ID]],Table4[[Store ID]:[Store Location]],2)</f>
        <v>Leeds</v>
      </c>
      <c r="N131" t="str">
        <f>VLOOKUP(Table5[[#This Row],[Store ID]],Table4[[Store ID]:[Region]],3)</f>
        <v>North</v>
      </c>
      <c r="O131" t="str">
        <f>VLOOKUP(Table5[[#This Row],[Product ID]],'Product Master'!$A$2:$D$10,4)</f>
        <v>Supplier C</v>
      </c>
      <c r="P131" s="15">
        <f>Table5[[#This Row],[Total Revenue]]-Table5[[#This Row],[Net Sales Revenue]]</f>
        <v>3808</v>
      </c>
      <c r="Q131" s="15">
        <f>Table5[[#This Row],[Net Sales Revenue]]/Table5[[#This Row],[Units Sold]]</f>
        <v>33.25</v>
      </c>
      <c r="R131">
        <f>VLOOKUP(Table5[[#This Row],[Product ID]],'Product Master'!$A$1:$E$10,5,FALSE)</f>
        <v>18</v>
      </c>
      <c r="S131" s="15">
        <f>Table5[[#This Row],[standard product cost per unit]]*Table5[[#This Row],[Units Sold]]</f>
        <v>39168</v>
      </c>
      <c r="T131" s="15">
        <f>Table5[[#This Row],[Cost of Sales]]-Table5[[#This Row],[Standard cost]]</f>
        <v>0</v>
      </c>
      <c r="U131" s="15">
        <f>Table5[[#This Row],[Net Sales Revenue]]-Table5[[#This Row],[Cost of Sales]]</f>
        <v>33184</v>
      </c>
      <c r="V131" s="17">
        <f>Table5[[#This Row],[GrossProfit]]/Table5[[#This Row],[Net Sales Revenue]]</f>
        <v>0.45864661654135336</v>
      </c>
    </row>
    <row r="132" spans="1:22" ht="14.25" customHeight="1" x14ac:dyDescent="0.25">
      <c r="A132" s="1" t="s">
        <v>200</v>
      </c>
      <c r="B132" s="1" t="s">
        <v>160</v>
      </c>
      <c r="C132" s="1" t="s">
        <v>56</v>
      </c>
      <c r="D132" s="1" t="s">
        <v>19</v>
      </c>
      <c r="E132" s="1" t="s">
        <v>21</v>
      </c>
      <c r="F132" s="1">
        <v>2268</v>
      </c>
      <c r="G132" s="14">
        <v>18</v>
      </c>
      <c r="H132" s="1">
        <v>7.0000000000000007E-2</v>
      </c>
      <c r="I132" s="14">
        <v>37966.32</v>
      </c>
      <c r="J132" s="14">
        <v>20412</v>
      </c>
      <c r="K132" s="15">
        <f>Table5[[#This Row],[Selling Price]]*Table5[[#This Row],[Units Sold]]</f>
        <v>40824</v>
      </c>
      <c r="L132" t="str">
        <f t="shared" si="2"/>
        <v>2023-03</v>
      </c>
      <c r="M132" t="str">
        <f>VLOOKUP(Table5[[#This Row],[Store ID]],Table4[[Store ID]:[Store Location]],2)</f>
        <v>Leeds</v>
      </c>
      <c r="N132" t="str">
        <f>VLOOKUP(Table5[[#This Row],[Store ID]],Table4[[Store ID]:[Region]],3)</f>
        <v>North</v>
      </c>
      <c r="O132" t="str">
        <f>VLOOKUP(Table5[[#This Row],[Product ID]],'Product Master'!$A$2:$D$10,4)</f>
        <v>Supplier D</v>
      </c>
      <c r="P132" s="15">
        <f>Table5[[#This Row],[Total Revenue]]-Table5[[#This Row],[Net Sales Revenue]]</f>
        <v>2857.6800000000003</v>
      </c>
      <c r="Q132" s="15">
        <f>Table5[[#This Row],[Net Sales Revenue]]/Table5[[#This Row],[Units Sold]]</f>
        <v>16.739999999999998</v>
      </c>
      <c r="R132">
        <f>VLOOKUP(Table5[[#This Row],[Product ID]],'Product Master'!$A$1:$E$10,5,FALSE)</f>
        <v>9</v>
      </c>
      <c r="S132" s="15">
        <f>Table5[[#This Row],[standard product cost per unit]]*Table5[[#This Row],[Units Sold]]</f>
        <v>20412</v>
      </c>
      <c r="T132" s="15">
        <f>Table5[[#This Row],[Cost of Sales]]-Table5[[#This Row],[Standard cost]]</f>
        <v>0</v>
      </c>
      <c r="U132" s="15">
        <f>Table5[[#This Row],[Net Sales Revenue]]-Table5[[#This Row],[Cost of Sales]]</f>
        <v>17554.32</v>
      </c>
      <c r="V132" s="17">
        <f>Table5[[#This Row],[GrossProfit]]/Table5[[#This Row],[Net Sales Revenue]]</f>
        <v>0.46236559139784944</v>
      </c>
    </row>
    <row r="133" spans="1:22" ht="14.25" customHeight="1" x14ac:dyDescent="0.25">
      <c r="A133" s="1" t="s">
        <v>201</v>
      </c>
      <c r="B133" s="1" t="s">
        <v>160</v>
      </c>
      <c r="C133" s="1" t="s">
        <v>56</v>
      </c>
      <c r="D133" s="1" t="s">
        <v>23</v>
      </c>
      <c r="E133" s="1" t="s">
        <v>21</v>
      </c>
      <c r="F133" s="1">
        <v>2336</v>
      </c>
      <c r="G133" s="14">
        <v>30</v>
      </c>
      <c r="H133" s="1">
        <v>0.05</v>
      </c>
      <c r="I133" s="14">
        <v>66576</v>
      </c>
      <c r="J133" s="14">
        <v>32704</v>
      </c>
      <c r="K133" s="15">
        <f>Table5[[#This Row],[Selling Price]]*Table5[[#This Row],[Units Sold]]</f>
        <v>70080</v>
      </c>
      <c r="L133" t="str">
        <f t="shared" si="2"/>
        <v>2023-03</v>
      </c>
      <c r="M133" t="str">
        <f>VLOOKUP(Table5[[#This Row],[Store ID]],Table4[[Store ID]:[Store Location]],2)</f>
        <v>Leeds</v>
      </c>
      <c r="N133" t="str">
        <f>VLOOKUP(Table5[[#This Row],[Store ID]],Table4[[Store ID]:[Region]],3)</f>
        <v>North</v>
      </c>
      <c r="O133" t="str">
        <f>VLOOKUP(Table5[[#This Row],[Product ID]],'Product Master'!$A$2:$D$10,4)</f>
        <v>Supplier D</v>
      </c>
      <c r="P133" s="15">
        <f>Table5[[#This Row],[Total Revenue]]-Table5[[#This Row],[Net Sales Revenue]]</f>
        <v>3504</v>
      </c>
      <c r="Q133" s="15">
        <f>Table5[[#This Row],[Net Sales Revenue]]/Table5[[#This Row],[Units Sold]]</f>
        <v>28.5</v>
      </c>
      <c r="R133">
        <f>VLOOKUP(Table5[[#This Row],[Product ID]],'Product Master'!$A$1:$E$10,5,FALSE)</f>
        <v>14</v>
      </c>
      <c r="S133" s="15">
        <f>Table5[[#This Row],[standard product cost per unit]]*Table5[[#This Row],[Units Sold]]</f>
        <v>32704</v>
      </c>
      <c r="T133" s="15">
        <f>Table5[[#This Row],[Cost of Sales]]-Table5[[#This Row],[Standard cost]]</f>
        <v>0</v>
      </c>
      <c r="U133" s="15">
        <f>Table5[[#This Row],[Net Sales Revenue]]-Table5[[#This Row],[Cost of Sales]]</f>
        <v>33872</v>
      </c>
      <c r="V133" s="17">
        <f>Table5[[#This Row],[GrossProfit]]/Table5[[#This Row],[Net Sales Revenue]]</f>
        <v>0.50877192982456143</v>
      </c>
    </row>
    <row r="134" spans="1:22" ht="14.25" customHeight="1" x14ac:dyDescent="0.25">
      <c r="A134" s="1" t="s">
        <v>202</v>
      </c>
      <c r="B134" s="1" t="s">
        <v>160</v>
      </c>
      <c r="C134" s="1" t="s">
        <v>56</v>
      </c>
      <c r="D134" s="1" t="s">
        <v>25</v>
      </c>
      <c r="E134" s="1" t="s">
        <v>27</v>
      </c>
      <c r="F134" s="1">
        <v>2564</v>
      </c>
      <c r="G134" s="14">
        <v>40</v>
      </c>
      <c r="H134" s="1">
        <v>0.05</v>
      </c>
      <c r="I134" s="14">
        <v>97432</v>
      </c>
      <c r="J134" s="14">
        <v>51280</v>
      </c>
      <c r="K134" s="15">
        <f>Table5[[#This Row],[Selling Price]]*Table5[[#This Row],[Units Sold]]</f>
        <v>102560</v>
      </c>
      <c r="L134" t="str">
        <f t="shared" si="2"/>
        <v>2023-03</v>
      </c>
      <c r="M134" t="str">
        <f>VLOOKUP(Table5[[#This Row],[Store ID]],Table4[[Store ID]:[Store Location]],2)</f>
        <v>Leeds</v>
      </c>
      <c r="N134" t="str">
        <f>VLOOKUP(Table5[[#This Row],[Store ID]],Table4[[Store ID]:[Region]],3)</f>
        <v>North</v>
      </c>
      <c r="O134" t="str">
        <f>VLOOKUP(Table5[[#This Row],[Product ID]],'Product Master'!$A$2:$D$10,4)</f>
        <v>Supplier E</v>
      </c>
      <c r="P134" s="15">
        <f>Table5[[#This Row],[Total Revenue]]-Table5[[#This Row],[Net Sales Revenue]]</f>
        <v>5128</v>
      </c>
      <c r="Q134" s="15">
        <f>Table5[[#This Row],[Net Sales Revenue]]/Table5[[#This Row],[Units Sold]]</f>
        <v>38</v>
      </c>
      <c r="R134">
        <f>VLOOKUP(Table5[[#This Row],[Product ID]],'Product Master'!$A$1:$E$10,5,FALSE)</f>
        <v>20</v>
      </c>
      <c r="S134" s="15">
        <f>Table5[[#This Row],[standard product cost per unit]]*Table5[[#This Row],[Units Sold]]</f>
        <v>51280</v>
      </c>
      <c r="T134" s="15">
        <f>Table5[[#This Row],[Cost of Sales]]-Table5[[#This Row],[Standard cost]]</f>
        <v>0</v>
      </c>
      <c r="U134" s="15">
        <f>Table5[[#This Row],[Net Sales Revenue]]-Table5[[#This Row],[Cost of Sales]]</f>
        <v>46152</v>
      </c>
      <c r="V134" s="17">
        <f>Table5[[#This Row],[GrossProfit]]/Table5[[#This Row],[Net Sales Revenue]]</f>
        <v>0.47368421052631576</v>
      </c>
    </row>
    <row r="135" spans="1:22" ht="14.25" customHeight="1" x14ac:dyDescent="0.25">
      <c r="A135" s="1" t="s">
        <v>203</v>
      </c>
      <c r="B135" s="1" t="s">
        <v>160</v>
      </c>
      <c r="C135" s="1" t="s">
        <v>56</v>
      </c>
      <c r="D135" s="1" t="s">
        <v>29</v>
      </c>
      <c r="E135" s="1" t="s">
        <v>31</v>
      </c>
      <c r="F135" s="1">
        <v>2784</v>
      </c>
      <c r="G135" s="14">
        <v>10</v>
      </c>
      <c r="H135" s="1">
        <v>0.05</v>
      </c>
      <c r="I135" s="14">
        <v>26448</v>
      </c>
      <c r="J135" s="14">
        <v>11136</v>
      </c>
      <c r="K135" s="15">
        <f>Table5[[#This Row],[Selling Price]]*Table5[[#This Row],[Units Sold]]</f>
        <v>27840</v>
      </c>
      <c r="L135" t="str">
        <f t="shared" si="2"/>
        <v>2023-03</v>
      </c>
      <c r="M135" t="str">
        <f>VLOOKUP(Table5[[#This Row],[Store ID]],Table4[[Store ID]:[Store Location]],2)</f>
        <v>Leeds</v>
      </c>
      <c r="N135" t="str">
        <f>VLOOKUP(Table5[[#This Row],[Store ID]],Table4[[Store ID]:[Region]],3)</f>
        <v>North</v>
      </c>
      <c r="O135" t="str">
        <f>VLOOKUP(Table5[[#This Row],[Product ID]],'Product Master'!$A$2:$D$10,4)</f>
        <v>Supplier F</v>
      </c>
      <c r="P135" s="15">
        <f>Table5[[#This Row],[Total Revenue]]-Table5[[#This Row],[Net Sales Revenue]]</f>
        <v>1392</v>
      </c>
      <c r="Q135" s="15">
        <f>Table5[[#This Row],[Net Sales Revenue]]/Table5[[#This Row],[Units Sold]]</f>
        <v>9.5</v>
      </c>
      <c r="R135">
        <f>VLOOKUP(Table5[[#This Row],[Product ID]],'Product Master'!$A$1:$E$10,5,FALSE)</f>
        <v>4</v>
      </c>
      <c r="S135" s="15">
        <f>Table5[[#This Row],[standard product cost per unit]]*Table5[[#This Row],[Units Sold]]</f>
        <v>11136</v>
      </c>
      <c r="T135" s="15">
        <f>Table5[[#This Row],[Cost of Sales]]-Table5[[#This Row],[Standard cost]]</f>
        <v>0</v>
      </c>
      <c r="U135" s="15">
        <f>Table5[[#This Row],[Net Sales Revenue]]-Table5[[#This Row],[Cost of Sales]]</f>
        <v>15312</v>
      </c>
      <c r="V135" s="17">
        <f>Table5[[#This Row],[GrossProfit]]/Table5[[#This Row],[Net Sales Revenue]]</f>
        <v>0.57894736842105265</v>
      </c>
    </row>
    <row r="136" spans="1:22" ht="14.25" customHeight="1" x14ac:dyDescent="0.25">
      <c r="A136" s="1" t="s">
        <v>204</v>
      </c>
      <c r="B136" s="1" t="s">
        <v>160</v>
      </c>
      <c r="C136" s="1" t="s">
        <v>56</v>
      </c>
      <c r="D136" s="1" t="s">
        <v>33</v>
      </c>
      <c r="E136" s="1" t="s">
        <v>31</v>
      </c>
      <c r="F136" s="1">
        <v>1328</v>
      </c>
      <c r="G136" s="14">
        <v>22</v>
      </c>
      <c r="H136" s="1">
        <v>0.09</v>
      </c>
      <c r="I136" s="14">
        <v>26586.560000000001</v>
      </c>
      <c r="J136" s="14">
        <v>13280</v>
      </c>
      <c r="K136" s="15">
        <f>Table5[[#This Row],[Selling Price]]*Table5[[#This Row],[Units Sold]]</f>
        <v>29216</v>
      </c>
      <c r="L136" t="str">
        <f t="shared" si="2"/>
        <v>2023-03</v>
      </c>
      <c r="M136" t="str">
        <f>VLOOKUP(Table5[[#This Row],[Store ID]],Table4[[Store ID]:[Store Location]],2)</f>
        <v>Leeds</v>
      </c>
      <c r="N136" t="str">
        <f>VLOOKUP(Table5[[#This Row],[Store ID]],Table4[[Store ID]:[Region]],3)</f>
        <v>North</v>
      </c>
      <c r="O136" t="str">
        <f>VLOOKUP(Table5[[#This Row],[Product ID]],'Product Master'!$A$2:$D$10,4)</f>
        <v>Supplier F</v>
      </c>
      <c r="P136" s="15">
        <f>Table5[[#This Row],[Total Revenue]]-Table5[[#This Row],[Net Sales Revenue]]</f>
        <v>2629.4399999999987</v>
      </c>
      <c r="Q136" s="15">
        <f>Table5[[#This Row],[Net Sales Revenue]]/Table5[[#This Row],[Units Sold]]</f>
        <v>20.02</v>
      </c>
      <c r="R136">
        <f>VLOOKUP(Table5[[#This Row],[Product ID]],'Product Master'!$A$1:$E$10,5,FALSE)</f>
        <v>10</v>
      </c>
      <c r="S136" s="15">
        <f>Table5[[#This Row],[standard product cost per unit]]*Table5[[#This Row],[Units Sold]]</f>
        <v>13280</v>
      </c>
      <c r="T136" s="15">
        <f>Table5[[#This Row],[Cost of Sales]]-Table5[[#This Row],[Standard cost]]</f>
        <v>0</v>
      </c>
      <c r="U136" s="15">
        <f>Table5[[#This Row],[Net Sales Revenue]]-Table5[[#This Row],[Cost of Sales]]</f>
        <v>13306.560000000001</v>
      </c>
      <c r="V136" s="17">
        <f>Table5[[#This Row],[GrossProfit]]/Table5[[#This Row],[Net Sales Revenue]]</f>
        <v>0.50049950049950054</v>
      </c>
    </row>
    <row r="137" spans="1:22" ht="14.25" customHeight="1" x14ac:dyDescent="0.25">
      <c r="A137" s="1" t="s">
        <v>205</v>
      </c>
      <c r="B137" s="1" t="s">
        <v>206</v>
      </c>
      <c r="C137" s="1" t="s">
        <v>40</v>
      </c>
      <c r="D137" s="1" t="s">
        <v>6</v>
      </c>
      <c r="E137" s="1" t="s">
        <v>8</v>
      </c>
      <c r="F137" s="1">
        <v>2608</v>
      </c>
      <c r="G137" s="14">
        <v>24</v>
      </c>
      <c r="H137" s="1">
        <v>0.06</v>
      </c>
      <c r="I137" s="14">
        <v>58836.480000000003</v>
      </c>
      <c r="J137" s="14">
        <v>31296</v>
      </c>
      <c r="K137" s="15">
        <f>Table5[[#This Row],[Selling Price]]*Table5[[#This Row],[Units Sold]]</f>
        <v>62592</v>
      </c>
      <c r="L137" t="str">
        <f t="shared" si="2"/>
        <v>2023-04</v>
      </c>
      <c r="M137" t="str">
        <f>VLOOKUP(Table5[[#This Row],[Store ID]],Table4[[Store ID]:[Store Location]],2)</f>
        <v>Manchester</v>
      </c>
      <c r="N137" t="str">
        <f>VLOOKUP(Table5[[#This Row],[Store ID]],Table4[[Store ID]:[Region]],3)</f>
        <v>North</v>
      </c>
      <c r="O137" t="str">
        <f>VLOOKUP(Table5[[#This Row],[Product ID]],'Product Master'!$A$2:$D$10,4)</f>
        <v>Supplier A</v>
      </c>
      <c r="P137" s="15">
        <f>Table5[[#This Row],[Total Revenue]]-Table5[[#This Row],[Net Sales Revenue]]</f>
        <v>3755.5199999999968</v>
      </c>
      <c r="Q137" s="15">
        <f>Table5[[#This Row],[Net Sales Revenue]]/Table5[[#This Row],[Units Sold]]</f>
        <v>22.560000000000002</v>
      </c>
      <c r="R137">
        <f>VLOOKUP(Table5[[#This Row],[Product ID]],'Product Master'!$A$1:$E$10,5,FALSE)</f>
        <v>12</v>
      </c>
      <c r="S137" s="15">
        <f>Table5[[#This Row],[standard product cost per unit]]*Table5[[#This Row],[Units Sold]]</f>
        <v>31296</v>
      </c>
      <c r="T137" s="15">
        <f>Table5[[#This Row],[Cost of Sales]]-Table5[[#This Row],[Standard cost]]</f>
        <v>0</v>
      </c>
      <c r="U137" s="15">
        <f>Table5[[#This Row],[Net Sales Revenue]]-Table5[[#This Row],[Cost of Sales]]</f>
        <v>27540.480000000003</v>
      </c>
      <c r="V137" s="17">
        <f>Table5[[#This Row],[GrossProfit]]/Table5[[#This Row],[Net Sales Revenue]]</f>
        <v>0.46808510638297873</v>
      </c>
    </row>
    <row r="138" spans="1:22" ht="14.25" customHeight="1" x14ac:dyDescent="0.25">
      <c r="A138" s="1" t="s">
        <v>207</v>
      </c>
      <c r="B138" s="1" t="s">
        <v>206</v>
      </c>
      <c r="C138" s="1" t="s">
        <v>40</v>
      </c>
      <c r="D138" s="1" t="s">
        <v>10</v>
      </c>
      <c r="E138" s="1" t="s">
        <v>8</v>
      </c>
      <c r="F138" s="1">
        <v>1868</v>
      </c>
      <c r="G138" s="14">
        <v>50</v>
      </c>
      <c r="H138" s="1">
        <v>0.09</v>
      </c>
      <c r="I138" s="14">
        <v>84994</v>
      </c>
      <c r="J138" s="14">
        <v>52304</v>
      </c>
      <c r="K138" s="15">
        <f>Table5[[#This Row],[Selling Price]]*Table5[[#This Row],[Units Sold]]</f>
        <v>93400</v>
      </c>
      <c r="L138" t="str">
        <f t="shared" si="2"/>
        <v>2023-04</v>
      </c>
      <c r="M138" t="str">
        <f>VLOOKUP(Table5[[#This Row],[Store ID]],Table4[[Store ID]:[Store Location]],2)</f>
        <v>Manchester</v>
      </c>
      <c r="N138" t="str">
        <f>VLOOKUP(Table5[[#This Row],[Store ID]],Table4[[Store ID]:[Region]],3)</f>
        <v>North</v>
      </c>
      <c r="O138" t="str">
        <f>VLOOKUP(Table5[[#This Row],[Product ID]],'Product Master'!$A$2:$D$10,4)</f>
        <v>Supplier B</v>
      </c>
      <c r="P138" s="15">
        <f>Table5[[#This Row],[Total Revenue]]-Table5[[#This Row],[Net Sales Revenue]]</f>
        <v>8406</v>
      </c>
      <c r="Q138" s="15">
        <f>Table5[[#This Row],[Net Sales Revenue]]/Table5[[#This Row],[Units Sold]]</f>
        <v>45.5</v>
      </c>
      <c r="R138">
        <f>VLOOKUP(Table5[[#This Row],[Product ID]],'Product Master'!$A$1:$E$10,5,FALSE)</f>
        <v>28</v>
      </c>
      <c r="S138" s="15">
        <f>Table5[[#This Row],[standard product cost per unit]]*Table5[[#This Row],[Units Sold]]</f>
        <v>52304</v>
      </c>
      <c r="T138" s="15">
        <f>Table5[[#This Row],[Cost of Sales]]-Table5[[#This Row],[Standard cost]]</f>
        <v>0</v>
      </c>
      <c r="U138" s="15">
        <f>Table5[[#This Row],[Net Sales Revenue]]-Table5[[#This Row],[Cost of Sales]]</f>
        <v>32690</v>
      </c>
      <c r="V138" s="17">
        <f>Table5[[#This Row],[GrossProfit]]/Table5[[#This Row],[Net Sales Revenue]]</f>
        <v>0.38461538461538464</v>
      </c>
    </row>
    <row r="139" spans="1:22" ht="14.25" customHeight="1" x14ac:dyDescent="0.25">
      <c r="A139" s="1" t="s">
        <v>208</v>
      </c>
      <c r="B139" s="1" t="s">
        <v>206</v>
      </c>
      <c r="C139" s="1" t="s">
        <v>40</v>
      </c>
      <c r="D139" s="1" t="s">
        <v>13</v>
      </c>
      <c r="E139" s="1" t="s">
        <v>15</v>
      </c>
      <c r="F139" s="1">
        <v>1484</v>
      </c>
      <c r="G139" s="14">
        <v>28</v>
      </c>
      <c r="H139" s="1">
        <v>0.09</v>
      </c>
      <c r="I139" s="14">
        <v>37812.32</v>
      </c>
      <c r="J139" s="14">
        <v>22260</v>
      </c>
      <c r="K139" s="15">
        <f>Table5[[#This Row],[Selling Price]]*Table5[[#This Row],[Units Sold]]</f>
        <v>41552</v>
      </c>
      <c r="L139" t="str">
        <f t="shared" si="2"/>
        <v>2023-04</v>
      </c>
      <c r="M139" t="str">
        <f>VLOOKUP(Table5[[#This Row],[Store ID]],Table4[[Store ID]:[Store Location]],2)</f>
        <v>Manchester</v>
      </c>
      <c r="N139" t="str">
        <f>VLOOKUP(Table5[[#This Row],[Store ID]],Table4[[Store ID]:[Region]],3)</f>
        <v>North</v>
      </c>
      <c r="O139" t="str">
        <f>VLOOKUP(Table5[[#This Row],[Product ID]],'Product Master'!$A$2:$D$10,4)</f>
        <v>Supplier C</v>
      </c>
      <c r="P139" s="15">
        <f>Table5[[#This Row],[Total Revenue]]-Table5[[#This Row],[Net Sales Revenue]]</f>
        <v>3739.6800000000003</v>
      </c>
      <c r="Q139" s="15">
        <f>Table5[[#This Row],[Net Sales Revenue]]/Table5[[#This Row],[Units Sold]]</f>
        <v>25.48</v>
      </c>
      <c r="R139">
        <f>VLOOKUP(Table5[[#This Row],[Product ID]],'Product Master'!$A$1:$E$10,5,FALSE)</f>
        <v>15</v>
      </c>
      <c r="S139" s="15">
        <f>Table5[[#This Row],[standard product cost per unit]]*Table5[[#This Row],[Units Sold]]</f>
        <v>22260</v>
      </c>
      <c r="T139" s="15">
        <f>Table5[[#This Row],[Cost of Sales]]-Table5[[#This Row],[Standard cost]]</f>
        <v>0</v>
      </c>
      <c r="U139" s="15">
        <f>Table5[[#This Row],[Net Sales Revenue]]-Table5[[#This Row],[Cost of Sales]]</f>
        <v>15552.32</v>
      </c>
      <c r="V139" s="17">
        <f>Table5[[#This Row],[GrossProfit]]/Table5[[#This Row],[Net Sales Revenue]]</f>
        <v>0.41130298273155413</v>
      </c>
    </row>
    <row r="140" spans="1:22" ht="14.25" customHeight="1" x14ac:dyDescent="0.25">
      <c r="A140" s="1" t="s">
        <v>209</v>
      </c>
      <c r="B140" s="1" t="s">
        <v>206</v>
      </c>
      <c r="C140" s="1" t="s">
        <v>40</v>
      </c>
      <c r="D140" s="1" t="s">
        <v>17</v>
      </c>
      <c r="E140" s="1" t="s">
        <v>15</v>
      </c>
      <c r="F140" s="1">
        <v>1992</v>
      </c>
      <c r="G140" s="14">
        <v>35</v>
      </c>
      <c r="H140" s="1">
        <v>0.05</v>
      </c>
      <c r="I140" s="14">
        <v>66234</v>
      </c>
      <c r="J140" s="14">
        <v>35856</v>
      </c>
      <c r="K140" s="15">
        <f>Table5[[#This Row],[Selling Price]]*Table5[[#This Row],[Units Sold]]</f>
        <v>69720</v>
      </c>
      <c r="L140" t="str">
        <f t="shared" si="2"/>
        <v>2023-04</v>
      </c>
      <c r="M140" t="str">
        <f>VLOOKUP(Table5[[#This Row],[Store ID]],Table4[[Store ID]:[Store Location]],2)</f>
        <v>Manchester</v>
      </c>
      <c r="N140" t="str">
        <f>VLOOKUP(Table5[[#This Row],[Store ID]],Table4[[Store ID]:[Region]],3)</f>
        <v>North</v>
      </c>
      <c r="O140" t="str">
        <f>VLOOKUP(Table5[[#This Row],[Product ID]],'Product Master'!$A$2:$D$10,4)</f>
        <v>Supplier C</v>
      </c>
      <c r="P140" s="15">
        <f>Table5[[#This Row],[Total Revenue]]-Table5[[#This Row],[Net Sales Revenue]]</f>
        <v>3486</v>
      </c>
      <c r="Q140" s="15">
        <f>Table5[[#This Row],[Net Sales Revenue]]/Table5[[#This Row],[Units Sold]]</f>
        <v>33.25</v>
      </c>
      <c r="R140">
        <f>VLOOKUP(Table5[[#This Row],[Product ID]],'Product Master'!$A$1:$E$10,5,FALSE)</f>
        <v>18</v>
      </c>
      <c r="S140" s="15">
        <f>Table5[[#This Row],[standard product cost per unit]]*Table5[[#This Row],[Units Sold]]</f>
        <v>35856</v>
      </c>
      <c r="T140" s="15">
        <f>Table5[[#This Row],[Cost of Sales]]-Table5[[#This Row],[Standard cost]]</f>
        <v>0</v>
      </c>
      <c r="U140" s="15">
        <f>Table5[[#This Row],[Net Sales Revenue]]-Table5[[#This Row],[Cost of Sales]]</f>
        <v>30378</v>
      </c>
      <c r="V140" s="17">
        <f>Table5[[#This Row],[GrossProfit]]/Table5[[#This Row],[Net Sales Revenue]]</f>
        <v>0.45864661654135336</v>
      </c>
    </row>
    <row r="141" spans="1:22" ht="14.25" customHeight="1" x14ac:dyDescent="0.25">
      <c r="A141" s="1" t="s">
        <v>210</v>
      </c>
      <c r="B141" s="1" t="s">
        <v>206</v>
      </c>
      <c r="C141" s="1" t="s">
        <v>40</v>
      </c>
      <c r="D141" s="1" t="s">
        <v>19</v>
      </c>
      <c r="E141" s="1" t="s">
        <v>21</v>
      </c>
      <c r="F141" s="1">
        <v>1896</v>
      </c>
      <c r="G141" s="14">
        <v>18</v>
      </c>
      <c r="H141" s="1">
        <v>0.08</v>
      </c>
      <c r="I141" s="14">
        <v>31397.759999999998</v>
      </c>
      <c r="J141" s="14">
        <v>17064</v>
      </c>
      <c r="K141" s="15">
        <f>Table5[[#This Row],[Selling Price]]*Table5[[#This Row],[Units Sold]]</f>
        <v>34128</v>
      </c>
      <c r="L141" t="str">
        <f t="shared" si="2"/>
        <v>2023-04</v>
      </c>
      <c r="M141" t="str">
        <f>VLOOKUP(Table5[[#This Row],[Store ID]],Table4[[Store ID]:[Store Location]],2)</f>
        <v>Manchester</v>
      </c>
      <c r="N141" t="str">
        <f>VLOOKUP(Table5[[#This Row],[Store ID]],Table4[[Store ID]:[Region]],3)</f>
        <v>North</v>
      </c>
      <c r="O141" t="str">
        <f>VLOOKUP(Table5[[#This Row],[Product ID]],'Product Master'!$A$2:$D$10,4)</f>
        <v>Supplier D</v>
      </c>
      <c r="P141" s="15">
        <f>Table5[[#This Row],[Total Revenue]]-Table5[[#This Row],[Net Sales Revenue]]</f>
        <v>2730.2400000000016</v>
      </c>
      <c r="Q141" s="15">
        <f>Table5[[#This Row],[Net Sales Revenue]]/Table5[[#This Row],[Units Sold]]</f>
        <v>16.559999999999999</v>
      </c>
      <c r="R141">
        <f>VLOOKUP(Table5[[#This Row],[Product ID]],'Product Master'!$A$1:$E$10,5,FALSE)</f>
        <v>9</v>
      </c>
      <c r="S141" s="15">
        <f>Table5[[#This Row],[standard product cost per unit]]*Table5[[#This Row],[Units Sold]]</f>
        <v>17064</v>
      </c>
      <c r="T141" s="15">
        <f>Table5[[#This Row],[Cost of Sales]]-Table5[[#This Row],[Standard cost]]</f>
        <v>0</v>
      </c>
      <c r="U141" s="15">
        <f>Table5[[#This Row],[Net Sales Revenue]]-Table5[[#This Row],[Cost of Sales]]</f>
        <v>14333.759999999998</v>
      </c>
      <c r="V141" s="17">
        <f>Table5[[#This Row],[GrossProfit]]/Table5[[#This Row],[Net Sales Revenue]]</f>
        <v>0.45652173913043476</v>
      </c>
    </row>
    <row r="142" spans="1:22" ht="14.25" customHeight="1" x14ac:dyDescent="0.25">
      <c r="A142" s="1" t="s">
        <v>211</v>
      </c>
      <c r="B142" s="1" t="s">
        <v>206</v>
      </c>
      <c r="C142" s="1" t="s">
        <v>40</v>
      </c>
      <c r="D142" s="1" t="s">
        <v>23</v>
      </c>
      <c r="E142" s="1" t="s">
        <v>21</v>
      </c>
      <c r="F142" s="1">
        <v>1492</v>
      </c>
      <c r="G142" s="14">
        <v>30</v>
      </c>
      <c r="H142" s="1">
        <v>0.06</v>
      </c>
      <c r="I142" s="14">
        <v>42074.400000000001</v>
      </c>
      <c r="J142" s="14">
        <v>20888</v>
      </c>
      <c r="K142" s="15">
        <f>Table5[[#This Row],[Selling Price]]*Table5[[#This Row],[Units Sold]]</f>
        <v>44760</v>
      </c>
      <c r="L142" t="str">
        <f t="shared" si="2"/>
        <v>2023-04</v>
      </c>
      <c r="M142" t="str">
        <f>VLOOKUP(Table5[[#This Row],[Store ID]],Table4[[Store ID]:[Store Location]],2)</f>
        <v>Manchester</v>
      </c>
      <c r="N142" t="str">
        <f>VLOOKUP(Table5[[#This Row],[Store ID]],Table4[[Store ID]:[Region]],3)</f>
        <v>North</v>
      </c>
      <c r="O142" t="str">
        <f>VLOOKUP(Table5[[#This Row],[Product ID]],'Product Master'!$A$2:$D$10,4)</f>
        <v>Supplier D</v>
      </c>
      <c r="P142" s="15">
        <f>Table5[[#This Row],[Total Revenue]]-Table5[[#This Row],[Net Sales Revenue]]</f>
        <v>2685.5999999999985</v>
      </c>
      <c r="Q142" s="15">
        <f>Table5[[#This Row],[Net Sales Revenue]]/Table5[[#This Row],[Units Sold]]</f>
        <v>28.2</v>
      </c>
      <c r="R142">
        <f>VLOOKUP(Table5[[#This Row],[Product ID]],'Product Master'!$A$1:$E$10,5,FALSE)</f>
        <v>14</v>
      </c>
      <c r="S142" s="15">
        <f>Table5[[#This Row],[standard product cost per unit]]*Table5[[#This Row],[Units Sold]]</f>
        <v>20888</v>
      </c>
      <c r="T142" s="15">
        <f>Table5[[#This Row],[Cost of Sales]]-Table5[[#This Row],[Standard cost]]</f>
        <v>0</v>
      </c>
      <c r="U142" s="15">
        <f>Table5[[#This Row],[Net Sales Revenue]]-Table5[[#This Row],[Cost of Sales]]</f>
        <v>21186.400000000001</v>
      </c>
      <c r="V142" s="17">
        <f>Table5[[#This Row],[GrossProfit]]/Table5[[#This Row],[Net Sales Revenue]]</f>
        <v>0.5035460992907802</v>
      </c>
    </row>
    <row r="143" spans="1:22" ht="14.25" customHeight="1" x14ac:dyDescent="0.25">
      <c r="A143" s="1" t="s">
        <v>212</v>
      </c>
      <c r="B143" s="1" t="s">
        <v>206</v>
      </c>
      <c r="C143" s="1" t="s">
        <v>40</v>
      </c>
      <c r="D143" s="1" t="s">
        <v>25</v>
      </c>
      <c r="E143" s="1" t="s">
        <v>27</v>
      </c>
      <c r="F143" s="1">
        <v>1284</v>
      </c>
      <c r="G143" s="14">
        <v>40</v>
      </c>
      <c r="H143" s="1">
        <v>0.08</v>
      </c>
      <c r="I143" s="14">
        <v>47251.199999999997</v>
      </c>
      <c r="J143" s="14">
        <v>25680</v>
      </c>
      <c r="K143" s="15">
        <f>Table5[[#This Row],[Selling Price]]*Table5[[#This Row],[Units Sold]]</f>
        <v>51360</v>
      </c>
      <c r="L143" t="str">
        <f t="shared" si="2"/>
        <v>2023-04</v>
      </c>
      <c r="M143" t="str">
        <f>VLOOKUP(Table5[[#This Row],[Store ID]],Table4[[Store ID]:[Store Location]],2)</f>
        <v>Manchester</v>
      </c>
      <c r="N143" t="str">
        <f>VLOOKUP(Table5[[#This Row],[Store ID]],Table4[[Store ID]:[Region]],3)</f>
        <v>North</v>
      </c>
      <c r="O143" t="str">
        <f>VLOOKUP(Table5[[#This Row],[Product ID]],'Product Master'!$A$2:$D$10,4)</f>
        <v>Supplier E</v>
      </c>
      <c r="P143" s="15">
        <f>Table5[[#This Row],[Total Revenue]]-Table5[[#This Row],[Net Sales Revenue]]</f>
        <v>4108.8000000000029</v>
      </c>
      <c r="Q143" s="15">
        <f>Table5[[#This Row],[Net Sales Revenue]]/Table5[[#This Row],[Units Sold]]</f>
        <v>36.799999999999997</v>
      </c>
      <c r="R143">
        <f>VLOOKUP(Table5[[#This Row],[Product ID]],'Product Master'!$A$1:$E$10,5,FALSE)</f>
        <v>20</v>
      </c>
      <c r="S143" s="15">
        <f>Table5[[#This Row],[standard product cost per unit]]*Table5[[#This Row],[Units Sold]]</f>
        <v>25680</v>
      </c>
      <c r="T143" s="15">
        <f>Table5[[#This Row],[Cost of Sales]]-Table5[[#This Row],[Standard cost]]</f>
        <v>0</v>
      </c>
      <c r="U143" s="15">
        <f>Table5[[#This Row],[Net Sales Revenue]]-Table5[[#This Row],[Cost of Sales]]</f>
        <v>21571.199999999997</v>
      </c>
      <c r="V143" s="17">
        <f>Table5[[#This Row],[GrossProfit]]/Table5[[#This Row],[Net Sales Revenue]]</f>
        <v>0.45652173913043476</v>
      </c>
    </row>
    <row r="144" spans="1:22" ht="14.25" customHeight="1" x14ac:dyDescent="0.25">
      <c r="A144" s="1" t="s">
        <v>213</v>
      </c>
      <c r="B144" s="1" t="s">
        <v>206</v>
      </c>
      <c r="C144" s="1" t="s">
        <v>40</v>
      </c>
      <c r="D144" s="1" t="s">
        <v>29</v>
      </c>
      <c r="E144" s="1" t="s">
        <v>31</v>
      </c>
      <c r="F144" s="1">
        <v>2392</v>
      </c>
      <c r="G144" s="14">
        <v>10</v>
      </c>
      <c r="H144" s="1">
        <v>7.0000000000000007E-2</v>
      </c>
      <c r="I144" s="14">
        <v>22245.599999999999</v>
      </c>
      <c r="J144" s="14">
        <v>9568</v>
      </c>
      <c r="K144" s="15">
        <f>Table5[[#This Row],[Selling Price]]*Table5[[#This Row],[Units Sold]]</f>
        <v>23920</v>
      </c>
      <c r="L144" t="str">
        <f t="shared" si="2"/>
        <v>2023-04</v>
      </c>
      <c r="M144" t="str">
        <f>VLOOKUP(Table5[[#This Row],[Store ID]],Table4[[Store ID]:[Store Location]],2)</f>
        <v>Manchester</v>
      </c>
      <c r="N144" t="str">
        <f>VLOOKUP(Table5[[#This Row],[Store ID]],Table4[[Store ID]:[Region]],3)</f>
        <v>North</v>
      </c>
      <c r="O144" t="str">
        <f>VLOOKUP(Table5[[#This Row],[Product ID]],'Product Master'!$A$2:$D$10,4)</f>
        <v>Supplier F</v>
      </c>
      <c r="P144" s="15">
        <f>Table5[[#This Row],[Total Revenue]]-Table5[[#This Row],[Net Sales Revenue]]</f>
        <v>1674.4000000000015</v>
      </c>
      <c r="Q144" s="15">
        <f>Table5[[#This Row],[Net Sales Revenue]]/Table5[[#This Row],[Units Sold]]</f>
        <v>9.2999999999999989</v>
      </c>
      <c r="R144">
        <f>VLOOKUP(Table5[[#This Row],[Product ID]],'Product Master'!$A$1:$E$10,5,FALSE)</f>
        <v>4</v>
      </c>
      <c r="S144" s="15">
        <f>Table5[[#This Row],[standard product cost per unit]]*Table5[[#This Row],[Units Sold]]</f>
        <v>9568</v>
      </c>
      <c r="T144" s="15">
        <f>Table5[[#This Row],[Cost of Sales]]-Table5[[#This Row],[Standard cost]]</f>
        <v>0</v>
      </c>
      <c r="U144" s="15">
        <f>Table5[[#This Row],[Net Sales Revenue]]-Table5[[#This Row],[Cost of Sales]]</f>
        <v>12677.599999999999</v>
      </c>
      <c r="V144" s="17">
        <f>Table5[[#This Row],[GrossProfit]]/Table5[[#This Row],[Net Sales Revenue]]</f>
        <v>0.56989247311827951</v>
      </c>
    </row>
    <row r="145" spans="1:22" ht="14.25" customHeight="1" x14ac:dyDescent="0.25">
      <c r="A145" s="1" t="s">
        <v>214</v>
      </c>
      <c r="B145" s="1" t="s">
        <v>206</v>
      </c>
      <c r="C145" s="1" t="s">
        <v>40</v>
      </c>
      <c r="D145" s="1" t="s">
        <v>33</v>
      </c>
      <c r="E145" s="1" t="s">
        <v>31</v>
      </c>
      <c r="F145" s="1">
        <v>1736</v>
      </c>
      <c r="G145" s="14">
        <v>22</v>
      </c>
      <c r="H145" s="1">
        <v>7.0000000000000007E-2</v>
      </c>
      <c r="I145" s="14">
        <v>35518.559999999998</v>
      </c>
      <c r="J145" s="14">
        <v>17360</v>
      </c>
      <c r="K145" s="15">
        <f>Table5[[#This Row],[Selling Price]]*Table5[[#This Row],[Units Sold]]</f>
        <v>38192</v>
      </c>
      <c r="L145" t="str">
        <f t="shared" si="2"/>
        <v>2023-04</v>
      </c>
      <c r="M145" t="str">
        <f>VLOOKUP(Table5[[#This Row],[Store ID]],Table4[[Store ID]:[Store Location]],2)</f>
        <v>Manchester</v>
      </c>
      <c r="N145" t="str">
        <f>VLOOKUP(Table5[[#This Row],[Store ID]],Table4[[Store ID]:[Region]],3)</f>
        <v>North</v>
      </c>
      <c r="O145" t="str">
        <f>VLOOKUP(Table5[[#This Row],[Product ID]],'Product Master'!$A$2:$D$10,4)</f>
        <v>Supplier F</v>
      </c>
      <c r="P145" s="15">
        <f>Table5[[#This Row],[Total Revenue]]-Table5[[#This Row],[Net Sales Revenue]]</f>
        <v>2673.4400000000023</v>
      </c>
      <c r="Q145" s="15">
        <f>Table5[[#This Row],[Net Sales Revenue]]/Table5[[#This Row],[Units Sold]]</f>
        <v>20.459999999999997</v>
      </c>
      <c r="R145">
        <f>VLOOKUP(Table5[[#This Row],[Product ID]],'Product Master'!$A$1:$E$10,5,FALSE)</f>
        <v>10</v>
      </c>
      <c r="S145" s="15">
        <f>Table5[[#This Row],[standard product cost per unit]]*Table5[[#This Row],[Units Sold]]</f>
        <v>17360</v>
      </c>
      <c r="T145" s="15">
        <f>Table5[[#This Row],[Cost of Sales]]-Table5[[#This Row],[Standard cost]]</f>
        <v>0</v>
      </c>
      <c r="U145" s="15">
        <f>Table5[[#This Row],[Net Sales Revenue]]-Table5[[#This Row],[Cost of Sales]]</f>
        <v>18158.559999999998</v>
      </c>
      <c r="V145" s="17">
        <f>Table5[[#This Row],[GrossProfit]]/Table5[[#This Row],[Net Sales Revenue]]</f>
        <v>0.51124144672531768</v>
      </c>
    </row>
    <row r="146" spans="1:22" ht="14.25" customHeight="1" x14ac:dyDescent="0.25">
      <c r="A146" s="1" t="s">
        <v>215</v>
      </c>
      <c r="B146" s="1" t="s">
        <v>206</v>
      </c>
      <c r="C146" s="1" t="s">
        <v>44</v>
      </c>
      <c r="D146" s="1" t="s">
        <v>6</v>
      </c>
      <c r="E146" s="1" t="s">
        <v>8</v>
      </c>
      <c r="F146" s="1">
        <v>1888</v>
      </c>
      <c r="G146" s="14">
        <v>24</v>
      </c>
      <c r="H146" s="1">
        <v>0.09</v>
      </c>
      <c r="I146" s="14">
        <v>41233.919999999998</v>
      </c>
      <c r="J146" s="14">
        <v>22656</v>
      </c>
      <c r="K146" s="15">
        <f>Table5[[#This Row],[Selling Price]]*Table5[[#This Row],[Units Sold]]</f>
        <v>45312</v>
      </c>
      <c r="L146" t="str">
        <f t="shared" si="2"/>
        <v>2023-04</v>
      </c>
      <c r="M146" t="str">
        <f>VLOOKUP(Table5[[#This Row],[Store ID]],Table4[[Store ID]:[Store Location]],2)</f>
        <v>Birmingham</v>
      </c>
      <c r="N146" t="str">
        <f>VLOOKUP(Table5[[#This Row],[Store ID]],Table4[[Store ID]:[Region]],3)</f>
        <v>Midlands</v>
      </c>
      <c r="O146" t="str">
        <f>VLOOKUP(Table5[[#This Row],[Product ID]],'Product Master'!$A$2:$D$10,4)</f>
        <v>Supplier A</v>
      </c>
      <c r="P146" s="15">
        <f>Table5[[#This Row],[Total Revenue]]-Table5[[#This Row],[Net Sales Revenue]]</f>
        <v>4078.0800000000017</v>
      </c>
      <c r="Q146" s="15">
        <f>Table5[[#This Row],[Net Sales Revenue]]/Table5[[#This Row],[Units Sold]]</f>
        <v>21.84</v>
      </c>
      <c r="R146">
        <f>VLOOKUP(Table5[[#This Row],[Product ID]],'Product Master'!$A$1:$E$10,5,FALSE)</f>
        <v>12</v>
      </c>
      <c r="S146" s="15">
        <f>Table5[[#This Row],[standard product cost per unit]]*Table5[[#This Row],[Units Sold]]</f>
        <v>22656</v>
      </c>
      <c r="T146" s="15">
        <f>Table5[[#This Row],[Cost of Sales]]-Table5[[#This Row],[Standard cost]]</f>
        <v>0</v>
      </c>
      <c r="U146" s="15">
        <f>Table5[[#This Row],[Net Sales Revenue]]-Table5[[#This Row],[Cost of Sales]]</f>
        <v>18577.919999999998</v>
      </c>
      <c r="V146" s="17">
        <f>Table5[[#This Row],[GrossProfit]]/Table5[[#This Row],[Net Sales Revenue]]</f>
        <v>0.4505494505494505</v>
      </c>
    </row>
    <row r="147" spans="1:22" ht="14.25" customHeight="1" x14ac:dyDescent="0.25">
      <c r="A147" s="1" t="s">
        <v>216</v>
      </c>
      <c r="B147" s="1" t="s">
        <v>206</v>
      </c>
      <c r="C147" s="1" t="s">
        <v>44</v>
      </c>
      <c r="D147" s="1" t="s">
        <v>10</v>
      </c>
      <c r="E147" s="1" t="s">
        <v>8</v>
      </c>
      <c r="F147" s="1">
        <v>2452</v>
      </c>
      <c r="G147" s="14">
        <v>50</v>
      </c>
      <c r="H147" s="1">
        <v>0.09</v>
      </c>
      <c r="I147" s="14">
        <v>111566</v>
      </c>
      <c r="J147" s="14">
        <v>68656</v>
      </c>
      <c r="K147" s="15">
        <f>Table5[[#This Row],[Selling Price]]*Table5[[#This Row],[Units Sold]]</f>
        <v>122600</v>
      </c>
      <c r="L147" t="str">
        <f t="shared" si="2"/>
        <v>2023-04</v>
      </c>
      <c r="M147" t="str">
        <f>VLOOKUP(Table5[[#This Row],[Store ID]],Table4[[Store ID]:[Store Location]],2)</f>
        <v>Birmingham</v>
      </c>
      <c r="N147" t="str">
        <f>VLOOKUP(Table5[[#This Row],[Store ID]],Table4[[Store ID]:[Region]],3)</f>
        <v>Midlands</v>
      </c>
      <c r="O147" t="str">
        <f>VLOOKUP(Table5[[#This Row],[Product ID]],'Product Master'!$A$2:$D$10,4)</f>
        <v>Supplier B</v>
      </c>
      <c r="P147" s="15">
        <f>Table5[[#This Row],[Total Revenue]]-Table5[[#This Row],[Net Sales Revenue]]</f>
        <v>11034</v>
      </c>
      <c r="Q147" s="15">
        <f>Table5[[#This Row],[Net Sales Revenue]]/Table5[[#This Row],[Units Sold]]</f>
        <v>45.5</v>
      </c>
      <c r="R147">
        <f>VLOOKUP(Table5[[#This Row],[Product ID]],'Product Master'!$A$1:$E$10,5,FALSE)</f>
        <v>28</v>
      </c>
      <c r="S147" s="15">
        <f>Table5[[#This Row],[standard product cost per unit]]*Table5[[#This Row],[Units Sold]]</f>
        <v>68656</v>
      </c>
      <c r="T147" s="15">
        <f>Table5[[#This Row],[Cost of Sales]]-Table5[[#This Row],[Standard cost]]</f>
        <v>0</v>
      </c>
      <c r="U147" s="15">
        <f>Table5[[#This Row],[Net Sales Revenue]]-Table5[[#This Row],[Cost of Sales]]</f>
        <v>42910</v>
      </c>
      <c r="V147" s="17">
        <f>Table5[[#This Row],[GrossProfit]]/Table5[[#This Row],[Net Sales Revenue]]</f>
        <v>0.38461538461538464</v>
      </c>
    </row>
    <row r="148" spans="1:22" ht="14.25" customHeight="1" x14ac:dyDescent="0.25">
      <c r="A148" s="1" t="s">
        <v>217</v>
      </c>
      <c r="B148" s="1" t="s">
        <v>206</v>
      </c>
      <c r="C148" s="1" t="s">
        <v>44</v>
      </c>
      <c r="D148" s="1" t="s">
        <v>13</v>
      </c>
      <c r="E148" s="1" t="s">
        <v>15</v>
      </c>
      <c r="F148" s="1">
        <v>1996</v>
      </c>
      <c r="G148" s="14">
        <v>28</v>
      </c>
      <c r="H148" s="1">
        <v>0.08</v>
      </c>
      <c r="I148" s="14">
        <v>51416.959999999999</v>
      </c>
      <c r="J148" s="14">
        <v>29940</v>
      </c>
      <c r="K148" s="15">
        <f>Table5[[#This Row],[Selling Price]]*Table5[[#This Row],[Units Sold]]</f>
        <v>55888</v>
      </c>
      <c r="L148" t="str">
        <f t="shared" si="2"/>
        <v>2023-04</v>
      </c>
      <c r="M148" t="str">
        <f>VLOOKUP(Table5[[#This Row],[Store ID]],Table4[[Store ID]:[Store Location]],2)</f>
        <v>Birmingham</v>
      </c>
      <c r="N148" t="str">
        <f>VLOOKUP(Table5[[#This Row],[Store ID]],Table4[[Store ID]:[Region]],3)</f>
        <v>Midlands</v>
      </c>
      <c r="O148" t="str">
        <f>VLOOKUP(Table5[[#This Row],[Product ID]],'Product Master'!$A$2:$D$10,4)</f>
        <v>Supplier C</v>
      </c>
      <c r="P148" s="15">
        <f>Table5[[#This Row],[Total Revenue]]-Table5[[#This Row],[Net Sales Revenue]]</f>
        <v>4471.0400000000009</v>
      </c>
      <c r="Q148" s="15">
        <f>Table5[[#This Row],[Net Sales Revenue]]/Table5[[#This Row],[Units Sold]]</f>
        <v>25.759999999999998</v>
      </c>
      <c r="R148">
        <f>VLOOKUP(Table5[[#This Row],[Product ID]],'Product Master'!$A$1:$E$10,5,FALSE)</f>
        <v>15</v>
      </c>
      <c r="S148" s="15">
        <f>Table5[[#This Row],[standard product cost per unit]]*Table5[[#This Row],[Units Sold]]</f>
        <v>29940</v>
      </c>
      <c r="T148" s="15">
        <f>Table5[[#This Row],[Cost of Sales]]-Table5[[#This Row],[Standard cost]]</f>
        <v>0</v>
      </c>
      <c r="U148" s="15">
        <f>Table5[[#This Row],[Net Sales Revenue]]-Table5[[#This Row],[Cost of Sales]]</f>
        <v>21476.959999999999</v>
      </c>
      <c r="V148" s="17">
        <f>Table5[[#This Row],[GrossProfit]]/Table5[[#This Row],[Net Sales Revenue]]</f>
        <v>0.41770186335403725</v>
      </c>
    </row>
    <row r="149" spans="1:22" ht="14.25" customHeight="1" x14ac:dyDescent="0.25">
      <c r="A149" s="1" t="s">
        <v>218</v>
      </c>
      <c r="B149" s="1" t="s">
        <v>206</v>
      </c>
      <c r="C149" s="1" t="s">
        <v>44</v>
      </c>
      <c r="D149" s="1" t="s">
        <v>17</v>
      </c>
      <c r="E149" s="1" t="s">
        <v>15</v>
      </c>
      <c r="F149" s="1">
        <v>1316</v>
      </c>
      <c r="G149" s="14">
        <v>35</v>
      </c>
      <c r="H149" s="1">
        <v>7.0000000000000007E-2</v>
      </c>
      <c r="I149" s="14">
        <v>42835.8</v>
      </c>
      <c r="J149" s="14">
        <v>23688</v>
      </c>
      <c r="K149" s="15">
        <f>Table5[[#This Row],[Selling Price]]*Table5[[#This Row],[Units Sold]]</f>
        <v>46060</v>
      </c>
      <c r="L149" t="str">
        <f t="shared" si="2"/>
        <v>2023-04</v>
      </c>
      <c r="M149" t="str">
        <f>VLOOKUP(Table5[[#This Row],[Store ID]],Table4[[Store ID]:[Store Location]],2)</f>
        <v>Birmingham</v>
      </c>
      <c r="N149" t="str">
        <f>VLOOKUP(Table5[[#This Row],[Store ID]],Table4[[Store ID]:[Region]],3)</f>
        <v>Midlands</v>
      </c>
      <c r="O149" t="str">
        <f>VLOOKUP(Table5[[#This Row],[Product ID]],'Product Master'!$A$2:$D$10,4)</f>
        <v>Supplier C</v>
      </c>
      <c r="P149" s="15">
        <f>Table5[[#This Row],[Total Revenue]]-Table5[[#This Row],[Net Sales Revenue]]</f>
        <v>3224.1999999999971</v>
      </c>
      <c r="Q149" s="15">
        <f>Table5[[#This Row],[Net Sales Revenue]]/Table5[[#This Row],[Units Sold]]</f>
        <v>32.550000000000004</v>
      </c>
      <c r="R149">
        <f>VLOOKUP(Table5[[#This Row],[Product ID]],'Product Master'!$A$1:$E$10,5,FALSE)</f>
        <v>18</v>
      </c>
      <c r="S149" s="15">
        <f>Table5[[#This Row],[standard product cost per unit]]*Table5[[#This Row],[Units Sold]]</f>
        <v>23688</v>
      </c>
      <c r="T149" s="15">
        <f>Table5[[#This Row],[Cost of Sales]]-Table5[[#This Row],[Standard cost]]</f>
        <v>0</v>
      </c>
      <c r="U149" s="15">
        <f>Table5[[#This Row],[Net Sales Revenue]]-Table5[[#This Row],[Cost of Sales]]</f>
        <v>19147.800000000003</v>
      </c>
      <c r="V149" s="17">
        <f>Table5[[#This Row],[GrossProfit]]/Table5[[#This Row],[Net Sales Revenue]]</f>
        <v>0.44700460829493094</v>
      </c>
    </row>
    <row r="150" spans="1:22" ht="14.25" customHeight="1" x14ac:dyDescent="0.25">
      <c r="A150" s="1" t="s">
        <v>219</v>
      </c>
      <c r="B150" s="1" t="s">
        <v>206</v>
      </c>
      <c r="C150" s="1" t="s">
        <v>44</v>
      </c>
      <c r="D150" s="1" t="s">
        <v>19</v>
      </c>
      <c r="E150" s="1" t="s">
        <v>21</v>
      </c>
      <c r="F150" s="1">
        <v>2688</v>
      </c>
      <c r="G150" s="14">
        <v>18</v>
      </c>
      <c r="H150" s="1">
        <v>0.1</v>
      </c>
      <c r="I150" s="14">
        <v>43545.599999999999</v>
      </c>
      <c r="J150" s="14">
        <v>24192</v>
      </c>
      <c r="K150" s="15">
        <f>Table5[[#This Row],[Selling Price]]*Table5[[#This Row],[Units Sold]]</f>
        <v>48384</v>
      </c>
      <c r="L150" t="str">
        <f t="shared" si="2"/>
        <v>2023-04</v>
      </c>
      <c r="M150" t="str">
        <f>VLOOKUP(Table5[[#This Row],[Store ID]],Table4[[Store ID]:[Store Location]],2)</f>
        <v>Birmingham</v>
      </c>
      <c r="N150" t="str">
        <f>VLOOKUP(Table5[[#This Row],[Store ID]],Table4[[Store ID]:[Region]],3)</f>
        <v>Midlands</v>
      </c>
      <c r="O150" t="str">
        <f>VLOOKUP(Table5[[#This Row],[Product ID]],'Product Master'!$A$2:$D$10,4)</f>
        <v>Supplier D</v>
      </c>
      <c r="P150" s="15">
        <f>Table5[[#This Row],[Total Revenue]]-Table5[[#This Row],[Net Sales Revenue]]</f>
        <v>4838.4000000000015</v>
      </c>
      <c r="Q150" s="15">
        <f>Table5[[#This Row],[Net Sales Revenue]]/Table5[[#This Row],[Units Sold]]</f>
        <v>16.2</v>
      </c>
      <c r="R150">
        <f>VLOOKUP(Table5[[#This Row],[Product ID]],'Product Master'!$A$1:$E$10,5,FALSE)</f>
        <v>9</v>
      </c>
      <c r="S150" s="15">
        <f>Table5[[#This Row],[standard product cost per unit]]*Table5[[#This Row],[Units Sold]]</f>
        <v>24192</v>
      </c>
      <c r="T150" s="15">
        <f>Table5[[#This Row],[Cost of Sales]]-Table5[[#This Row],[Standard cost]]</f>
        <v>0</v>
      </c>
      <c r="U150" s="15">
        <f>Table5[[#This Row],[Net Sales Revenue]]-Table5[[#This Row],[Cost of Sales]]</f>
        <v>19353.599999999999</v>
      </c>
      <c r="V150" s="17">
        <f>Table5[[#This Row],[GrossProfit]]/Table5[[#This Row],[Net Sales Revenue]]</f>
        <v>0.44444444444444442</v>
      </c>
    </row>
    <row r="151" spans="1:22" ht="14.25" customHeight="1" x14ac:dyDescent="0.25">
      <c r="A151" s="1" t="s">
        <v>220</v>
      </c>
      <c r="B151" s="1" t="s">
        <v>206</v>
      </c>
      <c r="C151" s="1" t="s">
        <v>44</v>
      </c>
      <c r="D151" s="1" t="s">
        <v>23</v>
      </c>
      <c r="E151" s="1" t="s">
        <v>21</v>
      </c>
      <c r="F151" s="1">
        <v>1332</v>
      </c>
      <c r="G151" s="14">
        <v>30</v>
      </c>
      <c r="H151" s="1">
        <v>0.06</v>
      </c>
      <c r="I151" s="14">
        <v>37562.400000000001</v>
      </c>
      <c r="J151" s="14">
        <v>18648</v>
      </c>
      <c r="K151" s="15">
        <f>Table5[[#This Row],[Selling Price]]*Table5[[#This Row],[Units Sold]]</f>
        <v>39960</v>
      </c>
      <c r="L151" t="str">
        <f t="shared" si="2"/>
        <v>2023-04</v>
      </c>
      <c r="M151" t="str">
        <f>VLOOKUP(Table5[[#This Row],[Store ID]],Table4[[Store ID]:[Store Location]],2)</f>
        <v>Birmingham</v>
      </c>
      <c r="N151" t="str">
        <f>VLOOKUP(Table5[[#This Row],[Store ID]],Table4[[Store ID]:[Region]],3)</f>
        <v>Midlands</v>
      </c>
      <c r="O151" t="str">
        <f>VLOOKUP(Table5[[#This Row],[Product ID]],'Product Master'!$A$2:$D$10,4)</f>
        <v>Supplier D</v>
      </c>
      <c r="P151" s="15">
        <f>Table5[[#This Row],[Total Revenue]]-Table5[[#This Row],[Net Sales Revenue]]</f>
        <v>2397.5999999999985</v>
      </c>
      <c r="Q151" s="15">
        <f>Table5[[#This Row],[Net Sales Revenue]]/Table5[[#This Row],[Units Sold]]</f>
        <v>28.200000000000003</v>
      </c>
      <c r="R151">
        <f>VLOOKUP(Table5[[#This Row],[Product ID]],'Product Master'!$A$1:$E$10,5,FALSE)</f>
        <v>14</v>
      </c>
      <c r="S151" s="15">
        <f>Table5[[#This Row],[standard product cost per unit]]*Table5[[#This Row],[Units Sold]]</f>
        <v>18648</v>
      </c>
      <c r="T151" s="15">
        <f>Table5[[#This Row],[Cost of Sales]]-Table5[[#This Row],[Standard cost]]</f>
        <v>0</v>
      </c>
      <c r="U151" s="15">
        <f>Table5[[#This Row],[Net Sales Revenue]]-Table5[[#This Row],[Cost of Sales]]</f>
        <v>18914.400000000001</v>
      </c>
      <c r="V151" s="17">
        <f>Table5[[#This Row],[GrossProfit]]/Table5[[#This Row],[Net Sales Revenue]]</f>
        <v>0.5035460992907802</v>
      </c>
    </row>
    <row r="152" spans="1:22" ht="14.25" customHeight="1" x14ac:dyDescent="0.25">
      <c r="A152" s="1" t="s">
        <v>221</v>
      </c>
      <c r="B152" s="1" t="s">
        <v>206</v>
      </c>
      <c r="C152" s="1" t="s">
        <v>44</v>
      </c>
      <c r="D152" s="1" t="s">
        <v>25</v>
      </c>
      <c r="E152" s="1" t="s">
        <v>27</v>
      </c>
      <c r="F152" s="1">
        <v>2680</v>
      </c>
      <c r="G152" s="14">
        <v>40</v>
      </c>
      <c r="H152" s="1">
        <v>0.06</v>
      </c>
      <c r="I152" s="14">
        <v>100768</v>
      </c>
      <c r="J152" s="14">
        <v>53600</v>
      </c>
      <c r="K152" s="15">
        <f>Table5[[#This Row],[Selling Price]]*Table5[[#This Row],[Units Sold]]</f>
        <v>107200</v>
      </c>
      <c r="L152" t="str">
        <f t="shared" si="2"/>
        <v>2023-04</v>
      </c>
      <c r="M152" t="str">
        <f>VLOOKUP(Table5[[#This Row],[Store ID]],Table4[[Store ID]:[Store Location]],2)</f>
        <v>Birmingham</v>
      </c>
      <c r="N152" t="str">
        <f>VLOOKUP(Table5[[#This Row],[Store ID]],Table4[[Store ID]:[Region]],3)</f>
        <v>Midlands</v>
      </c>
      <c r="O152" t="str">
        <f>VLOOKUP(Table5[[#This Row],[Product ID]],'Product Master'!$A$2:$D$10,4)</f>
        <v>Supplier E</v>
      </c>
      <c r="P152" s="15">
        <f>Table5[[#This Row],[Total Revenue]]-Table5[[#This Row],[Net Sales Revenue]]</f>
        <v>6432</v>
      </c>
      <c r="Q152" s="15">
        <f>Table5[[#This Row],[Net Sales Revenue]]/Table5[[#This Row],[Units Sold]]</f>
        <v>37.6</v>
      </c>
      <c r="R152">
        <f>VLOOKUP(Table5[[#This Row],[Product ID]],'Product Master'!$A$1:$E$10,5,FALSE)</f>
        <v>20</v>
      </c>
      <c r="S152" s="15">
        <f>Table5[[#This Row],[standard product cost per unit]]*Table5[[#This Row],[Units Sold]]</f>
        <v>53600</v>
      </c>
      <c r="T152" s="15">
        <f>Table5[[#This Row],[Cost of Sales]]-Table5[[#This Row],[Standard cost]]</f>
        <v>0</v>
      </c>
      <c r="U152" s="15">
        <f>Table5[[#This Row],[Net Sales Revenue]]-Table5[[#This Row],[Cost of Sales]]</f>
        <v>47168</v>
      </c>
      <c r="V152" s="17">
        <f>Table5[[#This Row],[GrossProfit]]/Table5[[#This Row],[Net Sales Revenue]]</f>
        <v>0.46808510638297873</v>
      </c>
    </row>
    <row r="153" spans="1:22" ht="14.25" customHeight="1" x14ac:dyDescent="0.25">
      <c r="A153" s="1" t="s">
        <v>222</v>
      </c>
      <c r="B153" s="1" t="s">
        <v>206</v>
      </c>
      <c r="C153" s="1" t="s">
        <v>44</v>
      </c>
      <c r="D153" s="1" t="s">
        <v>29</v>
      </c>
      <c r="E153" s="1" t="s">
        <v>31</v>
      </c>
      <c r="F153" s="1">
        <v>1628</v>
      </c>
      <c r="G153" s="14">
        <v>10</v>
      </c>
      <c r="H153" s="1">
        <v>0.06</v>
      </c>
      <c r="I153" s="14">
        <v>15303.2</v>
      </c>
      <c r="J153" s="14">
        <v>6512</v>
      </c>
      <c r="K153" s="15">
        <f>Table5[[#This Row],[Selling Price]]*Table5[[#This Row],[Units Sold]]</f>
        <v>16280</v>
      </c>
      <c r="L153" t="str">
        <f t="shared" si="2"/>
        <v>2023-04</v>
      </c>
      <c r="M153" t="str">
        <f>VLOOKUP(Table5[[#This Row],[Store ID]],Table4[[Store ID]:[Store Location]],2)</f>
        <v>Birmingham</v>
      </c>
      <c r="N153" t="str">
        <f>VLOOKUP(Table5[[#This Row],[Store ID]],Table4[[Store ID]:[Region]],3)</f>
        <v>Midlands</v>
      </c>
      <c r="O153" t="str">
        <f>VLOOKUP(Table5[[#This Row],[Product ID]],'Product Master'!$A$2:$D$10,4)</f>
        <v>Supplier F</v>
      </c>
      <c r="P153" s="15">
        <f>Table5[[#This Row],[Total Revenue]]-Table5[[#This Row],[Net Sales Revenue]]</f>
        <v>976.79999999999927</v>
      </c>
      <c r="Q153" s="15">
        <f>Table5[[#This Row],[Net Sales Revenue]]/Table5[[#This Row],[Units Sold]]</f>
        <v>9.4</v>
      </c>
      <c r="R153">
        <f>VLOOKUP(Table5[[#This Row],[Product ID]],'Product Master'!$A$1:$E$10,5,FALSE)</f>
        <v>4</v>
      </c>
      <c r="S153" s="15">
        <f>Table5[[#This Row],[standard product cost per unit]]*Table5[[#This Row],[Units Sold]]</f>
        <v>6512</v>
      </c>
      <c r="T153" s="15">
        <f>Table5[[#This Row],[Cost of Sales]]-Table5[[#This Row],[Standard cost]]</f>
        <v>0</v>
      </c>
      <c r="U153" s="15">
        <f>Table5[[#This Row],[Net Sales Revenue]]-Table5[[#This Row],[Cost of Sales]]</f>
        <v>8791.2000000000007</v>
      </c>
      <c r="V153" s="17">
        <f>Table5[[#This Row],[GrossProfit]]/Table5[[#This Row],[Net Sales Revenue]]</f>
        <v>0.57446808510638303</v>
      </c>
    </row>
    <row r="154" spans="1:22" ht="14.25" customHeight="1" x14ac:dyDescent="0.25">
      <c r="A154" s="1" t="s">
        <v>223</v>
      </c>
      <c r="B154" s="1" t="s">
        <v>206</v>
      </c>
      <c r="C154" s="1" t="s">
        <v>44</v>
      </c>
      <c r="D154" s="1" t="s">
        <v>33</v>
      </c>
      <c r="E154" s="1" t="s">
        <v>31</v>
      </c>
      <c r="F154" s="1">
        <v>2672</v>
      </c>
      <c r="G154" s="14">
        <v>22</v>
      </c>
      <c r="H154" s="1">
        <v>0.06</v>
      </c>
      <c r="I154" s="14">
        <v>55256.959999999999</v>
      </c>
      <c r="J154" s="14">
        <v>26720</v>
      </c>
      <c r="K154" s="15">
        <f>Table5[[#This Row],[Selling Price]]*Table5[[#This Row],[Units Sold]]</f>
        <v>58784</v>
      </c>
      <c r="L154" t="str">
        <f t="shared" si="2"/>
        <v>2023-04</v>
      </c>
      <c r="M154" t="str">
        <f>VLOOKUP(Table5[[#This Row],[Store ID]],Table4[[Store ID]:[Store Location]],2)</f>
        <v>Birmingham</v>
      </c>
      <c r="N154" t="str">
        <f>VLOOKUP(Table5[[#This Row],[Store ID]],Table4[[Store ID]:[Region]],3)</f>
        <v>Midlands</v>
      </c>
      <c r="O154" t="str">
        <f>VLOOKUP(Table5[[#This Row],[Product ID]],'Product Master'!$A$2:$D$10,4)</f>
        <v>Supplier F</v>
      </c>
      <c r="P154" s="15">
        <f>Table5[[#This Row],[Total Revenue]]-Table5[[#This Row],[Net Sales Revenue]]</f>
        <v>3527.0400000000009</v>
      </c>
      <c r="Q154" s="15">
        <f>Table5[[#This Row],[Net Sales Revenue]]/Table5[[#This Row],[Units Sold]]</f>
        <v>20.68</v>
      </c>
      <c r="R154">
        <f>VLOOKUP(Table5[[#This Row],[Product ID]],'Product Master'!$A$1:$E$10,5,FALSE)</f>
        <v>10</v>
      </c>
      <c r="S154" s="15">
        <f>Table5[[#This Row],[standard product cost per unit]]*Table5[[#This Row],[Units Sold]]</f>
        <v>26720</v>
      </c>
      <c r="T154" s="15">
        <f>Table5[[#This Row],[Cost of Sales]]-Table5[[#This Row],[Standard cost]]</f>
        <v>0</v>
      </c>
      <c r="U154" s="15">
        <f>Table5[[#This Row],[Net Sales Revenue]]-Table5[[#This Row],[Cost of Sales]]</f>
        <v>28536.959999999999</v>
      </c>
      <c r="V154" s="17">
        <f>Table5[[#This Row],[GrossProfit]]/Table5[[#This Row],[Net Sales Revenue]]</f>
        <v>0.51644100580270791</v>
      </c>
    </row>
    <row r="155" spans="1:22" ht="14.25" customHeight="1" x14ac:dyDescent="0.25">
      <c r="A155" s="1" t="s">
        <v>224</v>
      </c>
      <c r="B155" s="1" t="s">
        <v>206</v>
      </c>
      <c r="C155" s="1" t="s">
        <v>48</v>
      </c>
      <c r="D155" s="1" t="s">
        <v>6</v>
      </c>
      <c r="E155" s="1" t="s">
        <v>8</v>
      </c>
      <c r="F155" s="1">
        <v>2492</v>
      </c>
      <c r="G155" s="14">
        <v>24</v>
      </c>
      <c r="H155" s="1">
        <v>0.08</v>
      </c>
      <c r="I155" s="14">
        <v>55023.360000000001</v>
      </c>
      <c r="J155" s="14">
        <v>29904</v>
      </c>
      <c r="K155" s="15">
        <f>Table5[[#This Row],[Selling Price]]*Table5[[#This Row],[Units Sold]]</f>
        <v>59808</v>
      </c>
      <c r="L155" t="str">
        <f t="shared" si="2"/>
        <v>2023-04</v>
      </c>
      <c r="M155" t="str">
        <f>VLOOKUP(Table5[[#This Row],[Store ID]],Table4[[Store ID]:[Store Location]],2)</f>
        <v>London Stratford</v>
      </c>
      <c r="N155" t="str">
        <f>VLOOKUP(Table5[[#This Row],[Store ID]],Table4[[Store ID]:[Region]],3)</f>
        <v>South</v>
      </c>
      <c r="O155" t="str">
        <f>VLOOKUP(Table5[[#This Row],[Product ID]],'Product Master'!$A$2:$D$10,4)</f>
        <v>Supplier A</v>
      </c>
      <c r="P155" s="15">
        <f>Table5[[#This Row],[Total Revenue]]-Table5[[#This Row],[Net Sales Revenue]]</f>
        <v>4784.6399999999994</v>
      </c>
      <c r="Q155" s="15">
        <f>Table5[[#This Row],[Net Sales Revenue]]/Table5[[#This Row],[Units Sold]]</f>
        <v>22.080000000000002</v>
      </c>
      <c r="R155">
        <f>VLOOKUP(Table5[[#This Row],[Product ID]],'Product Master'!$A$1:$E$10,5,FALSE)</f>
        <v>12</v>
      </c>
      <c r="S155" s="15">
        <f>Table5[[#This Row],[standard product cost per unit]]*Table5[[#This Row],[Units Sold]]</f>
        <v>29904</v>
      </c>
      <c r="T155" s="15">
        <f>Table5[[#This Row],[Cost of Sales]]-Table5[[#This Row],[Standard cost]]</f>
        <v>0</v>
      </c>
      <c r="U155" s="15">
        <f>Table5[[#This Row],[Net Sales Revenue]]-Table5[[#This Row],[Cost of Sales]]</f>
        <v>25119.360000000001</v>
      </c>
      <c r="V155" s="17">
        <f>Table5[[#This Row],[GrossProfit]]/Table5[[#This Row],[Net Sales Revenue]]</f>
        <v>0.45652173913043481</v>
      </c>
    </row>
    <row r="156" spans="1:22" ht="14.25" customHeight="1" x14ac:dyDescent="0.25">
      <c r="A156" s="1" t="s">
        <v>225</v>
      </c>
      <c r="B156" s="1" t="s">
        <v>206</v>
      </c>
      <c r="C156" s="1" t="s">
        <v>48</v>
      </c>
      <c r="D156" s="1" t="s">
        <v>10</v>
      </c>
      <c r="E156" s="1" t="s">
        <v>8</v>
      </c>
      <c r="F156" s="1">
        <v>2048</v>
      </c>
      <c r="G156" s="14">
        <v>50</v>
      </c>
      <c r="H156" s="1">
        <v>0.09</v>
      </c>
      <c r="I156" s="14">
        <v>93184</v>
      </c>
      <c r="J156" s="14">
        <v>57344</v>
      </c>
      <c r="K156" s="15">
        <f>Table5[[#This Row],[Selling Price]]*Table5[[#This Row],[Units Sold]]</f>
        <v>102400</v>
      </c>
      <c r="L156" t="str">
        <f t="shared" si="2"/>
        <v>2023-04</v>
      </c>
      <c r="M156" t="str">
        <f>VLOOKUP(Table5[[#This Row],[Store ID]],Table4[[Store ID]:[Store Location]],2)</f>
        <v>London Stratford</v>
      </c>
      <c r="N156" t="str">
        <f>VLOOKUP(Table5[[#This Row],[Store ID]],Table4[[Store ID]:[Region]],3)</f>
        <v>South</v>
      </c>
      <c r="O156" t="str">
        <f>VLOOKUP(Table5[[#This Row],[Product ID]],'Product Master'!$A$2:$D$10,4)</f>
        <v>Supplier B</v>
      </c>
      <c r="P156" s="15">
        <f>Table5[[#This Row],[Total Revenue]]-Table5[[#This Row],[Net Sales Revenue]]</f>
        <v>9216</v>
      </c>
      <c r="Q156" s="15">
        <f>Table5[[#This Row],[Net Sales Revenue]]/Table5[[#This Row],[Units Sold]]</f>
        <v>45.5</v>
      </c>
      <c r="R156">
        <f>VLOOKUP(Table5[[#This Row],[Product ID]],'Product Master'!$A$1:$E$10,5,FALSE)</f>
        <v>28</v>
      </c>
      <c r="S156" s="15">
        <f>Table5[[#This Row],[standard product cost per unit]]*Table5[[#This Row],[Units Sold]]</f>
        <v>57344</v>
      </c>
      <c r="T156" s="15">
        <f>Table5[[#This Row],[Cost of Sales]]-Table5[[#This Row],[Standard cost]]</f>
        <v>0</v>
      </c>
      <c r="U156" s="15">
        <f>Table5[[#This Row],[Net Sales Revenue]]-Table5[[#This Row],[Cost of Sales]]</f>
        <v>35840</v>
      </c>
      <c r="V156" s="17">
        <f>Table5[[#This Row],[GrossProfit]]/Table5[[#This Row],[Net Sales Revenue]]</f>
        <v>0.38461538461538464</v>
      </c>
    </row>
    <row r="157" spans="1:22" ht="14.25" customHeight="1" x14ac:dyDescent="0.25">
      <c r="A157" s="1" t="s">
        <v>226</v>
      </c>
      <c r="B157" s="1" t="s">
        <v>206</v>
      </c>
      <c r="C157" s="1" t="s">
        <v>48</v>
      </c>
      <c r="D157" s="1" t="s">
        <v>13</v>
      </c>
      <c r="E157" s="1" t="s">
        <v>15</v>
      </c>
      <c r="F157" s="1">
        <v>1272</v>
      </c>
      <c r="G157" s="14">
        <v>28</v>
      </c>
      <c r="H157" s="1">
        <v>0.08</v>
      </c>
      <c r="I157" s="14">
        <v>32766.720000000001</v>
      </c>
      <c r="J157" s="14">
        <v>19080</v>
      </c>
      <c r="K157" s="15">
        <f>Table5[[#This Row],[Selling Price]]*Table5[[#This Row],[Units Sold]]</f>
        <v>35616</v>
      </c>
      <c r="L157" t="str">
        <f t="shared" si="2"/>
        <v>2023-04</v>
      </c>
      <c r="M157" t="str">
        <f>VLOOKUP(Table5[[#This Row],[Store ID]],Table4[[Store ID]:[Store Location]],2)</f>
        <v>London Stratford</v>
      </c>
      <c r="N157" t="str">
        <f>VLOOKUP(Table5[[#This Row],[Store ID]],Table4[[Store ID]:[Region]],3)</f>
        <v>South</v>
      </c>
      <c r="O157" t="str">
        <f>VLOOKUP(Table5[[#This Row],[Product ID]],'Product Master'!$A$2:$D$10,4)</f>
        <v>Supplier C</v>
      </c>
      <c r="P157" s="15">
        <f>Table5[[#This Row],[Total Revenue]]-Table5[[#This Row],[Net Sales Revenue]]</f>
        <v>2849.2799999999988</v>
      </c>
      <c r="Q157" s="15">
        <f>Table5[[#This Row],[Net Sales Revenue]]/Table5[[#This Row],[Units Sold]]</f>
        <v>25.76</v>
      </c>
      <c r="R157">
        <f>VLOOKUP(Table5[[#This Row],[Product ID]],'Product Master'!$A$1:$E$10,5,FALSE)</f>
        <v>15</v>
      </c>
      <c r="S157" s="15">
        <f>Table5[[#This Row],[standard product cost per unit]]*Table5[[#This Row],[Units Sold]]</f>
        <v>19080</v>
      </c>
      <c r="T157" s="15">
        <f>Table5[[#This Row],[Cost of Sales]]-Table5[[#This Row],[Standard cost]]</f>
        <v>0</v>
      </c>
      <c r="U157" s="15">
        <f>Table5[[#This Row],[Net Sales Revenue]]-Table5[[#This Row],[Cost of Sales]]</f>
        <v>13686.720000000001</v>
      </c>
      <c r="V157" s="17">
        <f>Table5[[#This Row],[GrossProfit]]/Table5[[#This Row],[Net Sales Revenue]]</f>
        <v>0.41770186335403731</v>
      </c>
    </row>
    <row r="158" spans="1:22" ht="14.25" customHeight="1" x14ac:dyDescent="0.25">
      <c r="A158" s="1" t="s">
        <v>227</v>
      </c>
      <c r="B158" s="1" t="s">
        <v>206</v>
      </c>
      <c r="C158" s="1" t="s">
        <v>48</v>
      </c>
      <c r="D158" s="1" t="s">
        <v>17</v>
      </c>
      <c r="E158" s="1" t="s">
        <v>15</v>
      </c>
      <c r="F158" s="1">
        <v>2116</v>
      </c>
      <c r="G158" s="14">
        <v>35</v>
      </c>
      <c r="H158" s="1">
        <v>0.08</v>
      </c>
      <c r="I158" s="14">
        <v>68135.199999999997</v>
      </c>
      <c r="J158" s="14">
        <v>38088</v>
      </c>
      <c r="K158" s="15">
        <f>Table5[[#This Row],[Selling Price]]*Table5[[#This Row],[Units Sold]]</f>
        <v>74060</v>
      </c>
      <c r="L158" t="str">
        <f t="shared" si="2"/>
        <v>2023-04</v>
      </c>
      <c r="M158" t="str">
        <f>VLOOKUP(Table5[[#This Row],[Store ID]],Table4[[Store ID]:[Store Location]],2)</f>
        <v>London Stratford</v>
      </c>
      <c r="N158" t="str">
        <f>VLOOKUP(Table5[[#This Row],[Store ID]],Table4[[Store ID]:[Region]],3)</f>
        <v>South</v>
      </c>
      <c r="O158" t="str">
        <f>VLOOKUP(Table5[[#This Row],[Product ID]],'Product Master'!$A$2:$D$10,4)</f>
        <v>Supplier C</v>
      </c>
      <c r="P158" s="15">
        <f>Table5[[#This Row],[Total Revenue]]-Table5[[#This Row],[Net Sales Revenue]]</f>
        <v>5924.8000000000029</v>
      </c>
      <c r="Q158" s="15">
        <f>Table5[[#This Row],[Net Sales Revenue]]/Table5[[#This Row],[Units Sold]]</f>
        <v>32.199999999999996</v>
      </c>
      <c r="R158">
        <f>VLOOKUP(Table5[[#This Row],[Product ID]],'Product Master'!$A$1:$E$10,5,FALSE)</f>
        <v>18</v>
      </c>
      <c r="S158" s="15">
        <f>Table5[[#This Row],[standard product cost per unit]]*Table5[[#This Row],[Units Sold]]</f>
        <v>38088</v>
      </c>
      <c r="T158" s="15">
        <f>Table5[[#This Row],[Cost of Sales]]-Table5[[#This Row],[Standard cost]]</f>
        <v>0</v>
      </c>
      <c r="U158" s="15">
        <f>Table5[[#This Row],[Net Sales Revenue]]-Table5[[#This Row],[Cost of Sales]]</f>
        <v>30047.199999999997</v>
      </c>
      <c r="V158" s="17">
        <f>Table5[[#This Row],[GrossProfit]]/Table5[[#This Row],[Net Sales Revenue]]</f>
        <v>0.44099378881987578</v>
      </c>
    </row>
    <row r="159" spans="1:22" ht="14.25" customHeight="1" x14ac:dyDescent="0.25">
      <c r="A159" s="1" t="s">
        <v>228</v>
      </c>
      <c r="B159" s="1" t="s">
        <v>206</v>
      </c>
      <c r="C159" s="1" t="s">
        <v>48</v>
      </c>
      <c r="D159" s="1" t="s">
        <v>19</v>
      </c>
      <c r="E159" s="1" t="s">
        <v>21</v>
      </c>
      <c r="F159" s="1">
        <v>1892</v>
      </c>
      <c r="G159" s="14">
        <v>18</v>
      </c>
      <c r="H159" s="1">
        <v>0.06</v>
      </c>
      <c r="I159" s="14">
        <v>32012.639999999999</v>
      </c>
      <c r="J159" s="14">
        <v>17028</v>
      </c>
      <c r="K159" s="15">
        <f>Table5[[#This Row],[Selling Price]]*Table5[[#This Row],[Units Sold]]</f>
        <v>34056</v>
      </c>
      <c r="L159" t="str">
        <f t="shared" si="2"/>
        <v>2023-04</v>
      </c>
      <c r="M159" t="str">
        <f>VLOOKUP(Table5[[#This Row],[Store ID]],Table4[[Store ID]:[Store Location]],2)</f>
        <v>London Stratford</v>
      </c>
      <c r="N159" t="str">
        <f>VLOOKUP(Table5[[#This Row],[Store ID]],Table4[[Store ID]:[Region]],3)</f>
        <v>South</v>
      </c>
      <c r="O159" t="str">
        <f>VLOOKUP(Table5[[#This Row],[Product ID]],'Product Master'!$A$2:$D$10,4)</f>
        <v>Supplier D</v>
      </c>
      <c r="P159" s="15">
        <f>Table5[[#This Row],[Total Revenue]]-Table5[[#This Row],[Net Sales Revenue]]</f>
        <v>2043.3600000000006</v>
      </c>
      <c r="Q159" s="15">
        <f>Table5[[#This Row],[Net Sales Revenue]]/Table5[[#This Row],[Units Sold]]</f>
        <v>16.919999999999998</v>
      </c>
      <c r="R159">
        <f>VLOOKUP(Table5[[#This Row],[Product ID]],'Product Master'!$A$1:$E$10,5,FALSE)</f>
        <v>9</v>
      </c>
      <c r="S159" s="15">
        <f>Table5[[#This Row],[standard product cost per unit]]*Table5[[#This Row],[Units Sold]]</f>
        <v>17028</v>
      </c>
      <c r="T159" s="15">
        <f>Table5[[#This Row],[Cost of Sales]]-Table5[[#This Row],[Standard cost]]</f>
        <v>0</v>
      </c>
      <c r="U159" s="15">
        <f>Table5[[#This Row],[Net Sales Revenue]]-Table5[[#This Row],[Cost of Sales]]</f>
        <v>14984.64</v>
      </c>
      <c r="V159" s="17">
        <f>Table5[[#This Row],[GrossProfit]]/Table5[[#This Row],[Net Sales Revenue]]</f>
        <v>0.46808510638297873</v>
      </c>
    </row>
    <row r="160" spans="1:22" ht="14.25" customHeight="1" x14ac:dyDescent="0.25">
      <c r="A160" s="1" t="s">
        <v>229</v>
      </c>
      <c r="B160" s="1" t="s">
        <v>206</v>
      </c>
      <c r="C160" s="1" t="s">
        <v>48</v>
      </c>
      <c r="D160" s="1" t="s">
        <v>23</v>
      </c>
      <c r="E160" s="1" t="s">
        <v>21</v>
      </c>
      <c r="F160" s="1">
        <v>2248</v>
      </c>
      <c r="G160" s="14">
        <v>30</v>
      </c>
      <c r="H160" s="1">
        <v>0.09</v>
      </c>
      <c r="I160" s="14">
        <v>61370.400000000001</v>
      </c>
      <c r="J160" s="14">
        <v>31472</v>
      </c>
      <c r="K160" s="15">
        <f>Table5[[#This Row],[Selling Price]]*Table5[[#This Row],[Units Sold]]</f>
        <v>67440</v>
      </c>
      <c r="L160" t="str">
        <f t="shared" si="2"/>
        <v>2023-04</v>
      </c>
      <c r="M160" t="str">
        <f>VLOOKUP(Table5[[#This Row],[Store ID]],Table4[[Store ID]:[Store Location]],2)</f>
        <v>London Stratford</v>
      </c>
      <c r="N160" t="str">
        <f>VLOOKUP(Table5[[#This Row],[Store ID]],Table4[[Store ID]:[Region]],3)</f>
        <v>South</v>
      </c>
      <c r="O160" t="str">
        <f>VLOOKUP(Table5[[#This Row],[Product ID]],'Product Master'!$A$2:$D$10,4)</f>
        <v>Supplier D</v>
      </c>
      <c r="P160" s="15">
        <f>Table5[[#This Row],[Total Revenue]]-Table5[[#This Row],[Net Sales Revenue]]</f>
        <v>6069.5999999999985</v>
      </c>
      <c r="Q160" s="15">
        <f>Table5[[#This Row],[Net Sales Revenue]]/Table5[[#This Row],[Units Sold]]</f>
        <v>27.3</v>
      </c>
      <c r="R160">
        <f>VLOOKUP(Table5[[#This Row],[Product ID]],'Product Master'!$A$1:$E$10,5,FALSE)</f>
        <v>14</v>
      </c>
      <c r="S160" s="15">
        <f>Table5[[#This Row],[standard product cost per unit]]*Table5[[#This Row],[Units Sold]]</f>
        <v>31472</v>
      </c>
      <c r="T160" s="15">
        <f>Table5[[#This Row],[Cost of Sales]]-Table5[[#This Row],[Standard cost]]</f>
        <v>0</v>
      </c>
      <c r="U160" s="15">
        <f>Table5[[#This Row],[Net Sales Revenue]]-Table5[[#This Row],[Cost of Sales]]</f>
        <v>29898.400000000001</v>
      </c>
      <c r="V160" s="17">
        <f>Table5[[#This Row],[GrossProfit]]/Table5[[#This Row],[Net Sales Revenue]]</f>
        <v>0.48717948717948717</v>
      </c>
    </row>
    <row r="161" spans="1:22" ht="14.25" customHeight="1" x14ac:dyDescent="0.25">
      <c r="A161" s="1" t="s">
        <v>230</v>
      </c>
      <c r="B161" s="1" t="s">
        <v>206</v>
      </c>
      <c r="C161" s="1" t="s">
        <v>48</v>
      </c>
      <c r="D161" s="1" t="s">
        <v>25</v>
      </c>
      <c r="E161" s="1" t="s">
        <v>27</v>
      </c>
      <c r="F161" s="1">
        <v>2500</v>
      </c>
      <c r="G161" s="14">
        <v>40</v>
      </c>
      <c r="H161" s="1">
        <v>7.0000000000000007E-2</v>
      </c>
      <c r="I161" s="14">
        <v>93000</v>
      </c>
      <c r="J161" s="14">
        <v>50000</v>
      </c>
      <c r="K161" s="15">
        <f>Table5[[#This Row],[Selling Price]]*Table5[[#This Row],[Units Sold]]</f>
        <v>100000</v>
      </c>
      <c r="L161" t="str">
        <f t="shared" si="2"/>
        <v>2023-04</v>
      </c>
      <c r="M161" t="str">
        <f>VLOOKUP(Table5[[#This Row],[Store ID]],Table4[[Store ID]:[Store Location]],2)</f>
        <v>London Stratford</v>
      </c>
      <c r="N161" t="str">
        <f>VLOOKUP(Table5[[#This Row],[Store ID]],Table4[[Store ID]:[Region]],3)</f>
        <v>South</v>
      </c>
      <c r="O161" t="str">
        <f>VLOOKUP(Table5[[#This Row],[Product ID]],'Product Master'!$A$2:$D$10,4)</f>
        <v>Supplier E</v>
      </c>
      <c r="P161" s="15">
        <f>Table5[[#This Row],[Total Revenue]]-Table5[[#This Row],[Net Sales Revenue]]</f>
        <v>7000</v>
      </c>
      <c r="Q161" s="15">
        <f>Table5[[#This Row],[Net Sales Revenue]]/Table5[[#This Row],[Units Sold]]</f>
        <v>37.200000000000003</v>
      </c>
      <c r="R161">
        <f>VLOOKUP(Table5[[#This Row],[Product ID]],'Product Master'!$A$1:$E$10,5,FALSE)</f>
        <v>20</v>
      </c>
      <c r="S161" s="15">
        <f>Table5[[#This Row],[standard product cost per unit]]*Table5[[#This Row],[Units Sold]]</f>
        <v>50000</v>
      </c>
      <c r="T161" s="15">
        <f>Table5[[#This Row],[Cost of Sales]]-Table5[[#This Row],[Standard cost]]</f>
        <v>0</v>
      </c>
      <c r="U161" s="15">
        <f>Table5[[#This Row],[Net Sales Revenue]]-Table5[[#This Row],[Cost of Sales]]</f>
        <v>43000</v>
      </c>
      <c r="V161" s="17">
        <f>Table5[[#This Row],[GrossProfit]]/Table5[[#This Row],[Net Sales Revenue]]</f>
        <v>0.46236559139784944</v>
      </c>
    </row>
    <row r="162" spans="1:22" ht="14.25" customHeight="1" x14ac:dyDescent="0.25">
      <c r="A162" s="1" t="s">
        <v>231</v>
      </c>
      <c r="B162" s="1" t="s">
        <v>206</v>
      </c>
      <c r="C162" s="1" t="s">
        <v>48</v>
      </c>
      <c r="D162" s="1" t="s">
        <v>29</v>
      </c>
      <c r="E162" s="1" t="s">
        <v>31</v>
      </c>
      <c r="F162" s="1">
        <v>1836</v>
      </c>
      <c r="G162" s="14">
        <v>10</v>
      </c>
      <c r="H162" s="1">
        <v>0.08</v>
      </c>
      <c r="I162" s="14">
        <v>16891.2</v>
      </c>
      <c r="J162" s="14">
        <v>7344</v>
      </c>
      <c r="K162" s="15">
        <f>Table5[[#This Row],[Selling Price]]*Table5[[#This Row],[Units Sold]]</f>
        <v>18360</v>
      </c>
      <c r="L162" t="str">
        <f t="shared" si="2"/>
        <v>2023-04</v>
      </c>
      <c r="M162" t="str">
        <f>VLOOKUP(Table5[[#This Row],[Store ID]],Table4[[Store ID]:[Store Location]],2)</f>
        <v>London Stratford</v>
      </c>
      <c r="N162" t="str">
        <f>VLOOKUP(Table5[[#This Row],[Store ID]],Table4[[Store ID]:[Region]],3)</f>
        <v>South</v>
      </c>
      <c r="O162" t="str">
        <f>VLOOKUP(Table5[[#This Row],[Product ID]],'Product Master'!$A$2:$D$10,4)</f>
        <v>Supplier F</v>
      </c>
      <c r="P162" s="15">
        <f>Table5[[#This Row],[Total Revenue]]-Table5[[#This Row],[Net Sales Revenue]]</f>
        <v>1468.7999999999993</v>
      </c>
      <c r="Q162" s="15">
        <f>Table5[[#This Row],[Net Sales Revenue]]/Table5[[#This Row],[Units Sold]]</f>
        <v>9.2000000000000011</v>
      </c>
      <c r="R162">
        <f>VLOOKUP(Table5[[#This Row],[Product ID]],'Product Master'!$A$1:$E$10,5,FALSE)</f>
        <v>4</v>
      </c>
      <c r="S162" s="15">
        <f>Table5[[#This Row],[standard product cost per unit]]*Table5[[#This Row],[Units Sold]]</f>
        <v>7344</v>
      </c>
      <c r="T162" s="15">
        <f>Table5[[#This Row],[Cost of Sales]]-Table5[[#This Row],[Standard cost]]</f>
        <v>0</v>
      </c>
      <c r="U162" s="15">
        <f>Table5[[#This Row],[Net Sales Revenue]]-Table5[[#This Row],[Cost of Sales]]</f>
        <v>9547.2000000000007</v>
      </c>
      <c r="V162" s="17">
        <f>Table5[[#This Row],[GrossProfit]]/Table5[[#This Row],[Net Sales Revenue]]</f>
        <v>0.56521739130434789</v>
      </c>
    </row>
    <row r="163" spans="1:22" ht="14.25" customHeight="1" x14ac:dyDescent="0.25">
      <c r="A163" s="1" t="s">
        <v>232</v>
      </c>
      <c r="B163" s="1" t="s">
        <v>206</v>
      </c>
      <c r="C163" s="1" t="s">
        <v>48</v>
      </c>
      <c r="D163" s="1" t="s">
        <v>33</v>
      </c>
      <c r="E163" s="1" t="s">
        <v>31</v>
      </c>
      <c r="F163" s="1">
        <v>2436</v>
      </c>
      <c r="G163" s="14">
        <v>22</v>
      </c>
      <c r="H163" s="1">
        <v>0.08</v>
      </c>
      <c r="I163" s="14">
        <v>49304.639999999999</v>
      </c>
      <c r="J163" s="14">
        <v>24360</v>
      </c>
      <c r="K163" s="15">
        <f>Table5[[#This Row],[Selling Price]]*Table5[[#This Row],[Units Sold]]</f>
        <v>53592</v>
      </c>
      <c r="L163" t="str">
        <f t="shared" si="2"/>
        <v>2023-04</v>
      </c>
      <c r="M163" t="str">
        <f>VLOOKUP(Table5[[#This Row],[Store ID]],Table4[[Store ID]:[Store Location]],2)</f>
        <v>London Stratford</v>
      </c>
      <c r="N163" t="str">
        <f>VLOOKUP(Table5[[#This Row],[Store ID]],Table4[[Store ID]:[Region]],3)</f>
        <v>South</v>
      </c>
      <c r="O163" t="str">
        <f>VLOOKUP(Table5[[#This Row],[Product ID]],'Product Master'!$A$2:$D$10,4)</f>
        <v>Supplier F</v>
      </c>
      <c r="P163" s="15">
        <f>Table5[[#This Row],[Total Revenue]]-Table5[[#This Row],[Net Sales Revenue]]</f>
        <v>4287.3600000000006</v>
      </c>
      <c r="Q163" s="15">
        <f>Table5[[#This Row],[Net Sales Revenue]]/Table5[[#This Row],[Units Sold]]</f>
        <v>20.239999999999998</v>
      </c>
      <c r="R163">
        <f>VLOOKUP(Table5[[#This Row],[Product ID]],'Product Master'!$A$1:$E$10,5,FALSE)</f>
        <v>10</v>
      </c>
      <c r="S163" s="15">
        <f>Table5[[#This Row],[standard product cost per unit]]*Table5[[#This Row],[Units Sold]]</f>
        <v>24360</v>
      </c>
      <c r="T163" s="15">
        <f>Table5[[#This Row],[Cost of Sales]]-Table5[[#This Row],[Standard cost]]</f>
        <v>0</v>
      </c>
      <c r="U163" s="15">
        <f>Table5[[#This Row],[Net Sales Revenue]]-Table5[[#This Row],[Cost of Sales]]</f>
        <v>24944.639999999999</v>
      </c>
      <c r="V163" s="17">
        <f>Table5[[#This Row],[GrossProfit]]/Table5[[#This Row],[Net Sales Revenue]]</f>
        <v>0.50592885375494068</v>
      </c>
    </row>
    <row r="164" spans="1:22" ht="14.25" customHeight="1" x14ac:dyDescent="0.25">
      <c r="A164" s="1" t="s">
        <v>233</v>
      </c>
      <c r="B164" s="1" t="s">
        <v>206</v>
      </c>
      <c r="C164" s="1" t="s">
        <v>52</v>
      </c>
      <c r="D164" s="1" t="s">
        <v>6</v>
      </c>
      <c r="E164" s="1" t="s">
        <v>8</v>
      </c>
      <c r="F164" s="1">
        <v>1936</v>
      </c>
      <c r="G164" s="14">
        <v>24</v>
      </c>
      <c r="H164" s="1">
        <v>0.08</v>
      </c>
      <c r="I164" s="14">
        <v>42746.879999999997</v>
      </c>
      <c r="J164" s="14">
        <v>23232</v>
      </c>
      <c r="K164" s="15">
        <f>Table5[[#This Row],[Selling Price]]*Table5[[#This Row],[Units Sold]]</f>
        <v>46464</v>
      </c>
      <c r="L164" t="str">
        <f t="shared" si="2"/>
        <v>2023-04</v>
      </c>
      <c r="M164" t="str">
        <f>VLOOKUP(Table5[[#This Row],[Store ID]],Table4[[Store ID]:[Store Location]],2)</f>
        <v>Glasgow</v>
      </c>
      <c r="N164" t="str">
        <f>VLOOKUP(Table5[[#This Row],[Store ID]],Table4[[Store ID]:[Region]],3)</f>
        <v>Scotland</v>
      </c>
      <c r="O164" t="str">
        <f>VLOOKUP(Table5[[#This Row],[Product ID]],'Product Master'!$A$2:$D$10,4)</f>
        <v>Supplier A</v>
      </c>
      <c r="P164" s="15">
        <f>Table5[[#This Row],[Total Revenue]]-Table5[[#This Row],[Net Sales Revenue]]</f>
        <v>3717.1200000000026</v>
      </c>
      <c r="Q164" s="15">
        <f>Table5[[#This Row],[Net Sales Revenue]]/Table5[[#This Row],[Units Sold]]</f>
        <v>22.08</v>
      </c>
      <c r="R164">
        <f>VLOOKUP(Table5[[#This Row],[Product ID]],'Product Master'!$A$1:$E$10,5,FALSE)</f>
        <v>12</v>
      </c>
      <c r="S164" s="15">
        <f>Table5[[#This Row],[standard product cost per unit]]*Table5[[#This Row],[Units Sold]]</f>
        <v>23232</v>
      </c>
      <c r="T164" s="15">
        <f>Table5[[#This Row],[Cost of Sales]]-Table5[[#This Row],[Standard cost]]</f>
        <v>0</v>
      </c>
      <c r="U164" s="15">
        <f>Table5[[#This Row],[Net Sales Revenue]]-Table5[[#This Row],[Cost of Sales]]</f>
        <v>19514.879999999997</v>
      </c>
      <c r="V164" s="17">
        <f>Table5[[#This Row],[GrossProfit]]/Table5[[#This Row],[Net Sales Revenue]]</f>
        <v>0.45652173913043476</v>
      </c>
    </row>
    <row r="165" spans="1:22" ht="14.25" customHeight="1" x14ac:dyDescent="0.25">
      <c r="A165" s="1" t="s">
        <v>234</v>
      </c>
      <c r="B165" s="1" t="s">
        <v>206</v>
      </c>
      <c r="C165" s="1" t="s">
        <v>52</v>
      </c>
      <c r="D165" s="1" t="s">
        <v>10</v>
      </c>
      <c r="E165" s="1" t="s">
        <v>8</v>
      </c>
      <c r="F165" s="1">
        <v>1372</v>
      </c>
      <c r="G165" s="14">
        <v>50</v>
      </c>
      <c r="H165" s="1">
        <v>0.08</v>
      </c>
      <c r="I165" s="14">
        <v>63112</v>
      </c>
      <c r="J165" s="14">
        <v>38416</v>
      </c>
      <c r="K165" s="15">
        <f>Table5[[#This Row],[Selling Price]]*Table5[[#This Row],[Units Sold]]</f>
        <v>68600</v>
      </c>
      <c r="L165" t="str">
        <f t="shared" si="2"/>
        <v>2023-04</v>
      </c>
      <c r="M165" t="str">
        <f>VLOOKUP(Table5[[#This Row],[Store ID]],Table4[[Store ID]:[Store Location]],2)</f>
        <v>Glasgow</v>
      </c>
      <c r="N165" t="str">
        <f>VLOOKUP(Table5[[#This Row],[Store ID]],Table4[[Store ID]:[Region]],3)</f>
        <v>Scotland</v>
      </c>
      <c r="O165" t="str">
        <f>VLOOKUP(Table5[[#This Row],[Product ID]],'Product Master'!$A$2:$D$10,4)</f>
        <v>Supplier B</v>
      </c>
      <c r="P165" s="15">
        <f>Table5[[#This Row],[Total Revenue]]-Table5[[#This Row],[Net Sales Revenue]]</f>
        <v>5488</v>
      </c>
      <c r="Q165" s="15">
        <f>Table5[[#This Row],[Net Sales Revenue]]/Table5[[#This Row],[Units Sold]]</f>
        <v>46</v>
      </c>
      <c r="R165">
        <f>VLOOKUP(Table5[[#This Row],[Product ID]],'Product Master'!$A$1:$E$10,5,FALSE)</f>
        <v>28</v>
      </c>
      <c r="S165" s="15">
        <f>Table5[[#This Row],[standard product cost per unit]]*Table5[[#This Row],[Units Sold]]</f>
        <v>38416</v>
      </c>
      <c r="T165" s="15">
        <f>Table5[[#This Row],[Cost of Sales]]-Table5[[#This Row],[Standard cost]]</f>
        <v>0</v>
      </c>
      <c r="U165" s="15">
        <f>Table5[[#This Row],[Net Sales Revenue]]-Table5[[#This Row],[Cost of Sales]]</f>
        <v>24696</v>
      </c>
      <c r="V165" s="17">
        <f>Table5[[#This Row],[GrossProfit]]/Table5[[#This Row],[Net Sales Revenue]]</f>
        <v>0.39130434782608697</v>
      </c>
    </row>
    <row r="166" spans="1:22" ht="14.25" customHeight="1" x14ac:dyDescent="0.25">
      <c r="A166" s="1" t="s">
        <v>235</v>
      </c>
      <c r="B166" s="1" t="s">
        <v>206</v>
      </c>
      <c r="C166" s="1" t="s">
        <v>52</v>
      </c>
      <c r="D166" s="1" t="s">
        <v>13</v>
      </c>
      <c r="E166" s="1" t="s">
        <v>15</v>
      </c>
      <c r="F166" s="1">
        <v>2052</v>
      </c>
      <c r="G166" s="14">
        <v>28</v>
      </c>
      <c r="H166" s="1">
        <v>0.06</v>
      </c>
      <c r="I166" s="14">
        <v>54008.639999999999</v>
      </c>
      <c r="J166" s="14">
        <v>30780</v>
      </c>
      <c r="K166" s="15">
        <f>Table5[[#This Row],[Selling Price]]*Table5[[#This Row],[Units Sold]]</f>
        <v>57456</v>
      </c>
      <c r="L166" t="str">
        <f t="shared" si="2"/>
        <v>2023-04</v>
      </c>
      <c r="M166" t="str">
        <f>VLOOKUP(Table5[[#This Row],[Store ID]],Table4[[Store ID]:[Store Location]],2)</f>
        <v>Glasgow</v>
      </c>
      <c r="N166" t="str">
        <f>VLOOKUP(Table5[[#This Row],[Store ID]],Table4[[Store ID]:[Region]],3)</f>
        <v>Scotland</v>
      </c>
      <c r="O166" t="str">
        <f>VLOOKUP(Table5[[#This Row],[Product ID]],'Product Master'!$A$2:$D$10,4)</f>
        <v>Supplier C</v>
      </c>
      <c r="P166" s="15">
        <f>Table5[[#This Row],[Total Revenue]]-Table5[[#This Row],[Net Sales Revenue]]</f>
        <v>3447.3600000000006</v>
      </c>
      <c r="Q166" s="15">
        <f>Table5[[#This Row],[Net Sales Revenue]]/Table5[[#This Row],[Units Sold]]</f>
        <v>26.32</v>
      </c>
      <c r="R166">
        <f>VLOOKUP(Table5[[#This Row],[Product ID]],'Product Master'!$A$1:$E$10,5,FALSE)</f>
        <v>15</v>
      </c>
      <c r="S166" s="15">
        <f>Table5[[#This Row],[standard product cost per unit]]*Table5[[#This Row],[Units Sold]]</f>
        <v>30780</v>
      </c>
      <c r="T166" s="15">
        <f>Table5[[#This Row],[Cost of Sales]]-Table5[[#This Row],[Standard cost]]</f>
        <v>0</v>
      </c>
      <c r="U166" s="15">
        <f>Table5[[#This Row],[Net Sales Revenue]]-Table5[[#This Row],[Cost of Sales]]</f>
        <v>23228.639999999999</v>
      </c>
      <c r="V166" s="17">
        <f>Table5[[#This Row],[GrossProfit]]/Table5[[#This Row],[Net Sales Revenue]]</f>
        <v>0.43009118541033436</v>
      </c>
    </row>
    <row r="167" spans="1:22" ht="14.25" customHeight="1" x14ac:dyDescent="0.25">
      <c r="A167" s="1" t="s">
        <v>236</v>
      </c>
      <c r="B167" s="1" t="s">
        <v>206</v>
      </c>
      <c r="C167" s="1" t="s">
        <v>52</v>
      </c>
      <c r="D167" s="1" t="s">
        <v>17</v>
      </c>
      <c r="E167" s="1" t="s">
        <v>15</v>
      </c>
      <c r="F167" s="1">
        <v>2220</v>
      </c>
      <c r="G167" s="14">
        <v>35</v>
      </c>
      <c r="H167" s="1">
        <v>7.0000000000000007E-2</v>
      </c>
      <c r="I167" s="14">
        <v>72261</v>
      </c>
      <c r="J167" s="14">
        <v>39960</v>
      </c>
      <c r="K167" s="15">
        <f>Table5[[#This Row],[Selling Price]]*Table5[[#This Row],[Units Sold]]</f>
        <v>77700</v>
      </c>
      <c r="L167" t="str">
        <f t="shared" si="2"/>
        <v>2023-04</v>
      </c>
      <c r="M167" t="str">
        <f>VLOOKUP(Table5[[#This Row],[Store ID]],Table4[[Store ID]:[Store Location]],2)</f>
        <v>Glasgow</v>
      </c>
      <c r="N167" t="str">
        <f>VLOOKUP(Table5[[#This Row],[Store ID]],Table4[[Store ID]:[Region]],3)</f>
        <v>Scotland</v>
      </c>
      <c r="O167" t="str">
        <f>VLOOKUP(Table5[[#This Row],[Product ID]],'Product Master'!$A$2:$D$10,4)</f>
        <v>Supplier C</v>
      </c>
      <c r="P167" s="15">
        <f>Table5[[#This Row],[Total Revenue]]-Table5[[#This Row],[Net Sales Revenue]]</f>
        <v>5439</v>
      </c>
      <c r="Q167" s="15">
        <f>Table5[[#This Row],[Net Sales Revenue]]/Table5[[#This Row],[Units Sold]]</f>
        <v>32.549999999999997</v>
      </c>
      <c r="R167">
        <f>VLOOKUP(Table5[[#This Row],[Product ID]],'Product Master'!$A$1:$E$10,5,FALSE)</f>
        <v>18</v>
      </c>
      <c r="S167" s="15">
        <f>Table5[[#This Row],[standard product cost per unit]]*Table5[[#This Row],[Units Sold]]</f>
        <v>39960</v>
      </c>
      <c r="T167" s="15">
        <f>Table5[[#This Row],[Cost of Sales]]-Table5[[#This Row],[Standard cost]]</f>
        <v>0</v>
      </c>
      <c r="U167" s="15">
        <f>Table5[[#This Row],[Net Sales Revenue]]-Table5[[#This Row],[Cost of Sales]]</f>
        <v>32301</v>
      </c>
      <c r="V167" s="17">
        <f>Table5[[#This Row],[GrossProfit]]/Table5[[#This Row],[Net Sales Revenue]]</f>
        <v>0.44700460829493088</v>
      </c>
    </row>
    <row r="168" spans="1:22" ht="14.25" customHeight="1" x14ac:dyDescent="0.25">
      <c r="A168" s="1" t="s">
        <v>237</v>
      </c>
      <c r="B168" s="1" t="s">
        <v>206</v>
      </c>
      <c r="C168" s="1" t="s">
        <v>52</v>
      </c>
      <c r="D168" s="1" t="s">
        <v>19</v>
      </c>
      <c r="E168" s="1" t="s">
        <v>21</v>
      </c>
      <c r="F168" s="1">
        <v>1776</v>
      </c>
      <c r="G168" s="14">
        <v>18</v>
      </c>
      <c r="H168" s="1">
        <v>0.05</v>
      </c>
      <c r="I168" s="14">
        <v>30369.599999999999</v>
      </c>
      <c r="J168" s="14">
        <v>15984</v>
      </c>
      <c r="K168" s="15">
        <f>Table5[[#This Row],[Selling Price]]*Table5[[#This Row],[Units Sold]]</f>
        <v>31968</v>
      </c>
      <c r="L168" t="str">
        <f t="shared" si="2"/>
        <v>2023-04</v>
      </c>
      <c r="M168" t="str">
        <f>VLOOKUP(Table5[[#This Row],[Store ID]],Table4[[Store ID]:[Store Location]],2)</f>
        <v>Glasgow</v>
      </c>
      <c r="N168" t="str">
        <f>VLOOKUP(Table5[[#This Row],[Store ID]],Table4[[Store ID]:[Region]],3)</f>
        <v>Scotland</v>
      </c>
      <c r="O168" t="str">
        <f>VLOOKUP(Table5[[#This Row],[Product ID]],'Product Master'!$A$2:$D$10,4)</f>
        <v>Supplier D</v>
      </c>
      <c r="P168" s="15">
        <f>Table5[[#This Row],[Total Revenue]]-Table5[[#This Row],[Net Sales Revenue]]</f>
        <v>1598.4000000000015</v>
      </c>
      <c r="Q168" s="15">
        <f>Table5[[#This Row],[Net Sales Revenue]]/Table5[[#This Row],[Units Sold]]</f>
        <v>17.099999999999998</v>
      </c>
      <c r="R168">
        <f>VLOOKUP(Table5[[#This Row],[Product ID]],'Product Master'!$A$1:$E$10,5,FALSE)</f>
        <v>9</v>
      </c>
      <c r="S168" s="15">
        <f>Table5[[#This Row],[standard product cost per unit]]*Table5[[#This Row],[Units Sold]]</f>
        <v>15984</v>
      </c>
      <c r="T168" s="15">
        <f>Table5[[#This Row],[Cost of Sales]]-Table5[[#This Row],[Standard cost]]</f>
        <v>0</v>
      </c>
      <c r="U168" s="15">
        <f>Table5[[#This Row],[Net Sales Revenue]]-Table5[[#This Row],[Cost of Sales]]</f>
        <v>14385.599999999999</v>
      </c>
      <c r="V168" s="17">
        <f>Table5[[#This Row],[GrossProfit]]/Table5[[#This Row],[Net Sales Revenue]]</f>
        <v>0.47368421052631576</v>
      </c>
    </row>
    <row r="169" spans="1:22" ht="14.25" customHeight="1" x14ac:dyDescent="0.25">
      <c r="A169" s="1" t="s">
        <v>238</v>
      </c>
      <c r="B169" s="1" t="s">
        <v>206</v>
      </c>
      <c r="C169" s="1" t="s">
        <v>52</v>
      </c>
      <c r="D169" s="1" t="s">
        <v>23</v>
      </c>
      <c r="E169" s="1" t="s">
        <v>21</v>
      </c>
      <c r="F169" s="1">
        <v>2368</v>
      </c>
      <c r="G169" s="14">
        <v>30</v>
      </c>
      <c r="H169" s="1">
        <v>0.06</v>
      </c>
      <c r="I169" s="14">
        <v>66777.600000000006</v>
      </c>
      <c r="J169" s="14">
        <v>33152</v>
      </c>
      <c r="K169" s="15">
        <f>Table5[[#This Row],[Selling Price]]*Table5[[#This Row],[Units Sold]]</f>
        <v>71040</v>
      </c>
      <c r="L169" t="str">
        <f t="shared" si="2"/>
        <v>2023-04</v>
      </c>
      <c r="M169" t="str">
        <f>VLOOKUP(Table5[[#This Row],[Store ID]],Table4[[Store ID]:[Store Location]],2)</f>
        <v>Glasgow</v>
      </c>
      <c r="N169" t="str">
        <f>VLOOKUP(Table5[[#This Row],[Store ID]],Table4[[Store ID]:[Region]],3)</f>
        <v>Scotland</v>
      </c>
      <c r="O169" t="str">
        <f>VLOOKUP(Table5[[#This Row],[Product ID]],'Product Master'!$A$2:$D$10,4)</f>
        <v>Supplier D</v>
      </c>
      <c r="P169" s="15">
        <f>Table5[[#This Row],[Total Revenue]]-Table5[[#This Row],[Net Sales Revenue]]</f>
        <v>4262.3999999999942</v>
      </c>
      <c r="Q169" s="15">
        <f>Table5[[#This Row],[Net Sales Revenue]]/Table5[[#This Row],[Units Sold]]</f>
        <v>28.200000000000003</v>
      </c>
      <c r="R169">
        <f>VLOOKUP(Table5[[#This Row],[Product ID]],'Product Master'!$A$1:$E$10,5,FALSE)</f>
        <v>14</v>
      </c>
      <c r="S169" s="15">
        <f>Table5[[#This Row],[standard product cost per unit]]*Table5[[#This Row],[Units Sold]]</f>
        <v>33152</v>
      </c>
      <c r="T169" s="15">
        <f>Table5[[#This Row],[Cost of Sales]]-Table5[[#This Row],[Standard cost]]</f>
        <v>0</v>
      </c>
      <c r="U169" s="15">
        <f>Table5[[#This Row],[Net Sales Revenue]]-Table5[[#This Row],[Cost of Sales]]</f>
        <v>33625.600000000006</v>
      </c>
      <c r="V169" s="17">
        <f>Table5[[#This Row],[GrossProfit]]/Table5[[#This Row],[Net Sales Revenue]]</f>
        <v>0.5035460992907802</v>
      </c>
    </row>
    <row r="170" spans="1:22" ht="14.25" customHeight="1" x14ac:dyDescent="0.25">
      <c r="A170" s="1" t="s">
        <v>239</v>
      </c>
      <c r="B170" s="1" t="s">
        <v>206</v>
      </c>
      <c r="C170" s="1" t="s">
        <v>52</v>
      </c>
      <c r="D170" s="1" t="s">
        <v>25</v>
      </c>
      <c r="E170" s="1" t="s">
        <v>27</v>
      </c>
      <c r="F170" s="1">
        <v>2160</v>
      </c>
      <c r="G170" s="14">
        <v>40</v>
      </c>
      <c r="H170" s="1">
        <v>0.09</v>
      </c>
      <c r="I170" s="14">
        <v>78624</v>
      </c>
      <c r="J170" s="14">
        <v>43200</v>
      </c>
      <c r="K170" s="15">
        <f>Table5[[#This Row],[Selling Price]]*Table5[[#This Row],[Units Sold]]</f>
        <v>86400</v>
      </c>
      <c r="L170" t="str">
        <f t="shared" si="2"/>
        <v>2023-04</v>
      </c>
      <c r="M170" t="str">
        <f>VLOOKUP(Table5[[#This Row],[Store ID]],Table4[[Store ID]:[Store Location]],2)</f>
        <v>Glasgow</v>
      </c>
      <c r="N170" t="str">
        <f>VLOOKUP(Table5[[#This Row],[Store ID]],Table4[[Store ID]:[Region]],3)</f>
        <v>Scotland</v>
      </c>
      <c r="O170" t="str">
        <f>VLOOKUP(Table5[[#This Row],[Product ID]],'Product Master'!$A$2:$D$10,4)</f>
        <v>Supplier E</v>
      </c>
      <c r="P170" s="15">
        <f>Table5[[#This Row],[Total Revenue]]-Table5[[#This Row],[Net Sales Revenue]]</f>
        <v>7776</v>
      </c>
      <c r="Q170" s="15">
        <f>Table5[[#This Row],[Net Sales Revenue]]/Table5[[#This Row],[Units Sold]]</f>
        <v>36.4</v>
      </c>
      <c r="R170">
        <f>VLOOKUP(Table5[[#This Row],[Product ID]],'Product Master'!$A$1:$E$10,5,FALSE)</f>
        <v>20</v>
      </c>
      <c r="S170" s="15">
        <f>Table5[[#This Row],[standard product cost per unit]]*Table5[[#This Row],[Units Sold]]</f>
        <v>43200</v>
      </c>
      <c r="T170" s="15">
        <f>Table5[[#This Row],[Cost of Sales]]-Table5[[#This Row],[Standard cost]]</f>
        <v>0</v>
      </c>
      <c r="U170" s="15">
        <f>Table5[[#This Row],[Net Sales Revenue]]-Table5[[#This Row],[Cost of Sales]]</f>
        <v>35424</v>
      </c>
      <c r="V170" s="17">
        <f>Table5[[#This Row],[GrossProfit]]/Table5[[#This Row],[Net Sales Revenue]]</f>
        <v>0.45054945054945056</v>
      </c>
    </row>
    <row r="171" spans="1:22" ht="14.25" customHeight="1" x14ac:dyDescent="0.25">
      <c r="A171" s="1" t="s">
        <v>240</v>
      </c>
      <c r="B171" s="1" t="s">
        <v>206</v>
      </c>
      <c r="C171" s="1" t="s">
        <v>52</v>
      </c>
      <c r="D171" s="1" t="s">
        <v>29</v>
      </c>
      <c r="E171" s="1" t="s">
        <v>31</v>
      </c>
      <c r="F171" s="1">
        <v>1900</v>
      </c>
      <c r="G171" s="14">
        <v>10</v>
      </c>
      <c r="H171" s="1">
        <v>0.1</v>
      </c>
      <c r="I171" s="14">
        <v>17100</v>
      </c>
      <c r="J171" s="14">
        <v>7600</v>
      </c>
      <c r="K171" s="15">
        <f>Table5[[#This Row],[Selling Price]]*Table5[[#This Row],[Units Sold]]</f>
        <v>19000</v>
      </c>
      <c r="L171" t="str">
        <f t="shared" si="2"/>
        <v>2023-04</v>
      </c>
      <c r="M171" t="str">
        <f>VLOOKUP(Table5[[#This Row],[Store ID]],Table4[[Store ID]:[Store Location]],2)</f>
        <v>Glasgow</v>
      </c>
      <c r="N171" t="str">
        <f>VLOOKUP(Table5[[#This Row],[Store ID]],Table4[[Store ID]:[Region]],3)</f>
        <v>Scotland</v>
      </c>
      <c r="O171" t="str">
        <f>VLOOKUP(Table5[[#This Row],[Product ID]],'Product Master'!$A$2:$D$10,4)</f>
        <v>Supplier F</v>
      </c>
      <c r="P171" s="15">
        <f>Table5[[#This Row],[Total Revenue]]-Table5[[#This Row],[Net Sales Revenue]]</f>
        <v>1900</v>
      </c>
      <c r="Q171" s="15">
        <f>Table5[[#This Row],[Net Sales Revenue]]/Table5[[#This Row],[Units Sold]]</f>
        <v>9</v>
      </c>
      <c r="R171">
        <f>VLOOKUP(Table5[[#This Row],[Product ID]],'Product Master'!$A$1:$E$10,5,FALSE)</f>
        <v>4</v>
      </c>
      <c r="S171" s="15">
        <f>Table5[[#This Row],[standard product cost per unit]]*Table5[[#This Row],[Units Sold]]</f>
        <v>7600</v>
      </c>
      <c r="T171" s="15">
        <f>Table5[[#This Row],[Cost of Sales]]-Table5[[#This Row],[Standard cost]]</f>
        <v>0</v>
      </c>
      <c r="U171" s="15">
        <f>Table5[[#This Row],[Net Sales Revenue]]-Table5[[#This Row],[Cost of Sales]]</f>
        <v>9500</v>
      </c>
      <c r="V171" s="17">
        <f>Table5[[#This Row],[GrossProfit]]/Table5[[#This Row],[Net Sales Revenue]]</f>
        <v>0.55555555555555558</v>
      </c>
    </row>
    <row r="172" spans="1:22" ht="14.25" customHeight="1" x14ac:dyDescent="0.25">
      <c r="A172" s="1" t="s">
        <v>241</v>
      </c>
      <c r="B172" s="1" t="s">
        <v>206</v>
      </c>
      <c r="C172" s="1" t="s">
        <v>52</v>
      </c>
      <c r="D172" s="1" t="s">
        <v>33</v>
      </c>
      <c r="E172" s="1" t="s">
        <v>31</v>
      </c>
      <c r="F172" s="1">
        <v>1880</v>
      </c>
      <c r="G172" s="14">
        <v>22</v>
      </c>
      <c r="H172" s="1">
        <v>0.06</v>
      </c>
      <c r="I172" s="14">
        <v>38878.400000000001</v>
      </c>
      <c r="J172" s="14">
        <v>18800</v>
      </c>
      <c r="K172" s="15">
        <f>Table5[[#This Row],[Selling Price]]*Table5[[#This Row],[Units Sold]]</f>
        <v>41360</v>
      </c>
      <c r="L172" t="str">
        <f t="shared" si="2"/>
        <v>2023-04</v>
      </c>
      <c r="M172" t="str">
        <f>VLOOKUP(Table5[[#This Row],[Store ID]],Table4[[Store ID]:[Store Location]],2)</f>
        <v>Glasgow</v>
      </c>
      <c r="N172" t="str">
        <f>VLOOKUP(Table5[[#This Row],[Store ID]],Table4[[Store ID]:[Region]],3)</f>
        <v>Scotland</v>
      </c>
      <c r="O172" t="str">
        <f>VLOOKUP(Table5[[#This Row],[Product ID]],'Product Master'!$A$2:$D$10,4)</f>
        <v>Supplier F</v>
      </c>
      <c r="P172" s="15">
        <f>Table5[[#This Row],[Total Revenue]]-Table5[[#This Row],[Net Sales Revenue]]</f>
        <v>2481.5999999999985</v>
      </c>
      <c r="Q172" s="15">
        <f>Table5[[#This Row],[Net Sales Revenue]]/Table5[[#This Row],[Units Sold]]</f>
        <v>20.68</v>
      </c>
      <c r="R172">
        <f>VLOOKUP(Table5[[#This Row],[Product ID]],'Product Master'!$A$1:$E$10,5,FALSE)</f>
        <v>10</v>
      </c>
      <c r="S172" s="15">
        <f>Table5[[#This Row],[standard product cost per unit]]*Table5[[#This Row],[Units Sold]]</f>
        <v>18800</v>
      </c>
      <c r="T172" s="15">
        <f>Table5[[#This Row],[Cost of Sales]]-Table5[[#This Row],[Standard cost]]</f>
        <v>0</v>
      </c>
      <c r="U172" s="15">
        <f>Table5[[#This Row],[Net Sales Revenue]]-Table5[[#This Row],[Cost of Sales]]</f>
        <v>20078.400000000001</v>
      </c>
      <c r="V172" s="17">
        <f>Table5[[#This Row],[GrossProfit]]/Table5[[#This Row],[Net Sales Revenue]]</f>
        <v>0.51644100580270791</v>
      </c>
    </row>
    <row r="173" spans="1:22" ht="14.25" customHeight="1" x14ac:dyDescent="0.25">
      <c r="A173" s="1" t="s">
        <v>242</v>
      </c>
      <c r="B173" s="1" t="s">
        <v>206</v>
      </c>
      <c r="C173" s="1" t="s">
        <v>56</v>
      </c>
      <c r="D173" s="1" t="s">
        <v>6</v>
      </c>
      <c r="E173" s="1" t="s">
        <v>8</v>
      </c>
      <c r="F173" s="1">
        <v>1792</v>
      </c>
      <c r="G173" s="14">
        <v>24</v>
      </c>
      <c r="H173" s="1">
        <v>0.08</v>
      </c>
      <c r="I173" s="14">
        <v>39567.360000000001</v>
      </c>
      <c r="J173" s="14">
        <v>21504</v>
      </c>
      <c r="K173" s="15">
        <f>Table5[[#This Row],[Selling Price]]*Table5[[#This Row],[Units Sold]]</f>
        <v>43008</v>
      </c>
      <c r="L173" t="str">
        <f t="shared" si="2"/>
        <v>2023-04</v>
      </c>
      <c r="M173" t="str">
        <f>VLOOKUP(Table5[[#This Row],[Store ID]],Table4[[Store ID]:[Store Location]],2)</f>
        <v>Leeds</v>
      </c>
      <c r="N173" t="str">
        <f>VLOOKUP(Table5[[#This Row],[Store ID]],Table4[[Store ID]:[Region]],3)</f>
        <v>North</v>
      </c>
      <c r="O173" t="str">
        <f>VLOOKUP(Table5[[#This Row],[Product ID]],'Product Master'!$A$2:$D$10,4)</f>
        <v>Supplier A</v>
      </c>
      <c r="P173" s="15">
        <f>Table5[[#This Row],[Total Revenue]]-Table5[[#This Row],[Net Sales Revenue]]</f>
        <v>3440.6399999999994</v>
      </c>
      <c r="Q173" s="15">
        <f>Table5[[#This Row],[Net Sales Revenue]]/Table5[[#This Row],[Units Sold]]</f>
        <v>22.080000000000002</v>
      </c>
      <c r="R173">
        <f>VLOOKUP(Table5[[#This Row],[Product ID]],'Product Master'!$A$1:$E$10,5,FALSE)</f>
        <v>12</v>
      </c>
      <c r="S173" s="15">
        <f>Table5[[#This Row],[standard product cost per unit]]*Table5[[#This Row],[Units Sold]]</f>
        <v>21504</v>
      </c>
      <c r="T173" s="15">
        <f>Table5[[#This Row],[Cost of Sales]]-Table5[[#This Row],[Standard cost]]</f>
        <v>0</v>
      </c>
      <c r="U173" s="15">
        <f>Table5[[#This Row],[Net Sales Revenue]]-Table5[[#This Row],[Cost of Sales]]</f>
        <v>18063.36</v>
      </c>
      <c r="V173" s="17">
        <f>Table5[[#This Row],[GrossProfit]]/Table5[[#This Row],[Net Sales Revenue]]</f>
        <v>0.45652173913043481</v>
      </c>
    </row>
    <row r="174" spans="1:22" ht="14.25" customHeight="1" x14ac:dyDescent="0.25">
      <c r="A174" s="1" t="s">
        <v>243</v>
      </c>
      <c r="B174" s="1" t="s">
        <v>206</v>
      </c>
      <c r="C174" s="1" t="s">
        <v>56</v>
      </c>
      <c r="D174" s="1" t="s">
        <v>10</v>
      </c>
      <c r="E174" s="1" t="s">
        <v>8</v>
      </c>
      <c r="F174" s="1">
        <v>2700</v>
      </c>
      <c r="G174" s="14">
        <v>50</v>
      </c>
      <c r="H174" s="1">
        <v>0.06</v>
      </c>
      <c r="I174" s="14">
        <v>126900</v>
      </c>
      <c r="J174" s="14">
        <v>75600</v>
      </c>
      <c r="K174" s="15">
        <f>Table5[[#This Row],[Selling Price]]*Table5[[#This Row],[Units Sold]]</f>
        <v>135000</v>
      </c>
      <c r="L174" t="str">
        <f t="shared" si="2"/>
        <v>2023-04</v>
      </c>
      <c r="M174" t="str">
        <f>VLOOKUP(Table5[[#This Row],[Store ID]],Table4[[Store ID]:[Store Location]],2)</f>
        <v>Leeds</v>
      </c>
      <c r="N174" t="str">
        <f>VLOOKUP(Table5[[#This Row],[Store ID]],Table4[[Store ID]:[Region]],3)</f>
        <v>North</v>
      </c>
      <c r="O174" t="str">
        <f>VLOOKUP(Table5[[#This Row],[Product ID]],'Product Master'!$A$2:$D$10,4)</f>
        <v>Supplier B</v>
      </c>
      <c r="P174" s="15">
        <f>Table5[[#This Row],[Total Revenue]]-Table5[[#This Row],[Net Sales Revenue]]</f>
        <v>8100</v>
      </c>
      <c r="Q174" s="15">
        <f>Table5[[#This Row],[Net Sales Revenue]]/Table5[[#This Row],[Units Sold]]</f>
        <v>47</v>
      </c>
      <c r="R174">
        <f>VLOOKUP(Table5[[#This Row],[Product ID]],'Product Master'!$A$1:$E$10,5,FALSE)</f>
        <v>28</v>
      </c>
      <c r="S174" s="15">
        <f>Table5[[#This Row],[standard product cost per unit]]*Table5[[#This Row],[Units Sold]]</f>
        <v>75600</v>
      </c>
      <c r="T174" s="15">
        <f>Table5[[#This Row],[Cost of Sales]]-Table5[[#This Row],[Standard cost]]</f>
        <v>0</v>
      </c>
      <c r="U174" s="15">
        <f>Table5[[#This Row],[Net Sales Revenue]]-Table5[[#This Row],[Cost of Sales]]</f>
        <v>51300</v>
      </c>
      <c r="V174" s="17">
        <f>Table5[[#This Row],[GrossProfit]]/Table5[[#This Row],[Net Sales Revenue]]</f>
        <v>0.40425531914893614</v>
      </c>
    </row>
    <row r="175" spans="1:22" ht="14.25" customHeight="1" x14ac:dyDescent="0.25">
      <c r="A175" s="1" t="s">
        <v>244</v>
      </c>
      <c r="B175" s="1" t="s">
        <v>206</v>
      </c>
      <c r="C175" s="1" t="s">
        <v>56</v>
      </c>
      <c r="D175" s="1" t="s">
        <v>13</v>
      </c>
      <c r="E175" s="1" t="s">
        <v>15</v>
      </c>
      <c r="F175" s="1">
        <v>2320</v>
      </c>
      <c r="G175" s="14">
        <v>28</v>
      </c>
      <c r="H175" s="1">
        <v>0.1</v>
      </c>
      <c r="I175" s="14">
        <v>58464</v>
      </c>
      <c r="J175" s="14">
        <v>34800</v>
      </c>
      <c r="K175" s="15">
        <f>Table5[[#This Row],[Selling Price]]*Table5[[#This Row],[Units Sold]]</f>
        <v>64960</v>
      </c>
      <c r="L175" t="str">
        <f t="shared" si="2"/>
        <v>2023-04</v>
      </c>
      <c r="M175" t="str">
        <f>VLOOKUP(Table5[[#This Row],[Store ID]],Table4[[Store ID]:[Store Location]],2)</f>
        <v>Leeds</v>
      </c>
      <c r="N175" t="str">
        <f>VLOOKUP(Table5[[#This Row],[Store ID]],Table4[[Store ID]:[Region]],3)</f>
        <v>North</v>
      </c>
      <c r="O175" t="str">
        <f>VLOOKUP(Table5[[#This Row],[Product ID]],'Product Master'!$A$2:$D$10,4)</f>
        <v>Supplier C</v>
      </c>
      <c r="P175" s="15">
        <f>Table5[[#This Row],[Total Revenue]]-Table5[[#This Row],[Net Sales Revenue]]</f>
        <v>6496</v>
      </c>
      <c r="Q175" s="15">
        <f>Table5[[#This Row],[Net Sales Revenue]]/Table5[[#This Row],[Units Sold]]</f>
        <v>25.2</v>
      </c>
      <c r="R175">
        <f>VLOOKUP(Table5[[#This Row],[Product ID]],'Product Master'!$A$1:$E$10,5,FALSE)</f>
        <v>15</v>
      </c>
      <c r="S175" s="15">
        <f>Table5[[#This Row],[standard product cost per unit]]*Table5[[#This Row],[Units Sold]]</f>
        <v>34800</v>
      </c>
      <c r="T175" s="15">
        <f>Table5[[#This Row],[Cost of Sales]]-Table5[[#This Row],[Standard cost]]</f>
        <v>0</v>
      </c>
      <c r="U175" s="15">
        <f>Table5[[#This Row],[Net Sales Revenue]]-Table5[[#This Row],[Cost of Sales]]</f>
        <v>23664</v>
      </c>
      <c r="V175" s="17">
        <f>Table5[[#This Row],[GrossProfit]]/Table5[[#This Row],[Net Sales Revenue]]</f>
        <v>0.40476190476190477</v>
      </c>
    </row>
    <row r="176" spans="1:22" ht="14.25" customHeight="1" x14ac:dyDescent="0.25">
      <c r="A176" s="1" t="s">
        <v>245</v>
      </c>
      <c r="B176" s="1" t="s">
        <v>206</v>
      </c>
      <c r="C176" s="1" t="s">
        <v>56</v>
      </c>
      <c r="D176" s="1" t="s">
        <v>17</v>
      </c>
      <c r="E176" s="1" t="s">
        <v>15</v>
      </c>
      <c r="F176" s="1">
        <v>2688</v>
      </c>
      <c r="G176" s="14">
        <v>35</v>
      </c>
      <c r="H176" s="1">
        <v>0.09</v>
      </c>
      <c r="I176" s="14">
        <v>85612.800000000003</v>
      </c>
      <c r="J176" s="14">
        <v>48384</v>
      </c>
      <c r="K176" s="15">
        <f>Table5[[#This Row],[Selling Price]]*Table5[[#This Row],[Units Sold]]</f>
        <v>94080</v>
      </c>
      <c r="L176" t="str">
        <f t="shared" si="2"/>
        <v>2023-04</v>
      </c>
      <c r="M176" t="str">
        <f>VLOOKUP(Table5[[#This Row],[Store ID]],Table4[[Store ID]:[Store Location]],2)</f>
        <v>Leeds</v>
      </c>
      <c r="N176" t="str">
        <f>VLOOKUP(Table5[[#This Row],[Store ID]],Table4[[Store ID]:[Region]],3)</f>
        <v>North</v>
      </c>
      <c r="O176" t="str">
        <f>VLOOKUP(Table5[[#This Row],[Product ID]],'Product Master'!$A$2:$D$10,4)</f>
        <v>Supplier C</v>
      </c>
      <c r="P176" s="15">
        <f>Table5[[#This Row],[Total Revenue]]-Table5[[#This Row],[Net Sales Revenue]]</f>
        <v>8467.1999999999971</v>
      </c>
      <c r="Q176" s="15">
        <f>Table5[[#This Row],[Net Sales Revenue]]/Table5[[#This Row],[Units Sold]]</f>
        <v>31.85</v>
      </c>
      <c r="R176">
        <f>VLOOKUP(Table5[[#This Row],[Product ID]],'Product Master'!$A$1:$E$10,5,FALSE)</f>
        <v>18</v>
      </c>
      <c r="S176" s="15">
        <f>Table5[[#This Row],[standard product cost per unit]]*Table5[[#This Row],[Units Sold]]</f>
        <v>48384</v>
      </c>
      <c r="T176" s="15">
        <f>Table5[[#This Row],[Cost of Sales]]-Table5[[#This Row],[Standard cost]]</f>
        <v>0</v>
      </c>
      <c r="U176" s="15">
        <f>Table5[[#This Row],[Net Sales Revenue]]-Table5[[#This Row],[Cost of Sales]]</f>
        <v>37228.800000000003</v>
      </c>
      <c r="V176" s="17">
        <f>Table5[[#This Row],[GrossProfit]]/Table5[[#This Row],[Net Sales Revenue]]</f>
        <v>0.43485086342229201</v>
      </c>
    </row>
    <row r="177" spans="1:22" ht="14.25" customHeight="1" x14ac:dyDescent="0.25">
      <c r="A177" s="1" t="s">
        <v>246</v>
      </c>
      <c r="B177" s="1" t="s">
        <v>206</v>
      </c>
      <c r="C177" s="1" t="s">
        <v>56</v>
      </c>
      <c r="D177" s="1" t="s">
        <v>19</v>
      </c>
      <c r="E177" s="1" t="s">
        <v>21</v>
      </c>
      <c r="F177" s="1">
        <v>2648</v>
      </c>
      <c r="G177" s="14">
        <v>18</v>
      </c>
      <c r="H177" s="1">
        <v>0.08</v>
      </c>
      <c r="I177" s="14">
        <v>43850.879999999997</v>
      </c>
      <c r="J177" s="14">
        <v>23832</v>
      </c>
      <c r="K177" s="15">
        <f>Table5[[#This Row],[Selling Price]]*Table5[[#This Row],[Units Sold]]</f>
        <v>47664</v>
      </c>
      <c r="L177" t="str">
        <f t="shared" si="2"/>
        <v>2023-04</v>
      </c>
      <c r="M177" t="str">
        <f>VLOOKUP(Table5[[#This Row],[Store ID]],Table4[[Store ID]:[Store Location]],2)</f>
        <v>Leeds</v>
      </c>
      <c r="N177" t="str">
        <f>VLOOKUP(Table5[[#This Row],[Store ID]],Table4[[Store ID]:[Region]],3)</f>
        <v>North</v>
      </c>
      <c r="O177" t="str">
        <f>VLOOKUP(Table5[[#This Row],[Product ID]],'Product Master'!$A$2:$D$10,4)</f>
        <v>Supplier D</v>
      </c>
      <c r="P177" s="15">
        <f>Table5[[#This Row],[Total Revenue]]-Table5[[#This Row],[Net Sales Revenue]]</f>
        <v>3813.1200000000026</v>
      </c>
      <c r="Q177" s="15">
        <f>Table5[[#This Row],[Net Sales Revenue]]/Table5[[#This Row],[Units Sold]]</f>
        <v>16.559999999999999</v>
      </c>
      <c r="R177">
        <f>VLOOKUP(Table5[[#This Row],[Product ID]],'Product Master'!$A$1:$E$10,5,FALSE)</f>
        <v>9</v>
      </c>
      <c r="S177" s="15">
        <f>Table5[[#This Row],[standard product cost per unit]]*Table5[[#This Row],[Units Sold]]</f>
        <v>23832</v>
      </c>
      <c r="T177" s="15">
        <f>Table5[[#This Row],[Cost of Sales]]-Table5[[#This Row],[Standard cost]]</f>
        <v>0</v>
      </c>
      <c r="U177" s="15">
        <f>Table5[[#This Row],[Net Sales Revenue]]-Table5[[#This Row],[Cost of Sales]]</f>
        <v>20018.879999999997</v>
      </c>
      <c r="V177" s="17">
        <f>Table5[[#This Row],[GrossProfit]]/Table5[[#This Row],[Net Sales Revenue]]</f>
        <v>0.45652173913043476</v>
      </c>
    </row>
    <row r="178" spans="1:22" ht="14.25" customHeight="1" x14ac:dyDescent="0.25">
      <c r="A178" s="1" t="s">
        <v>247</v>
      </c>
      <c r="B178" s="1" t="s">
        <v>206</v>
      </c>
      <c r="C178" s="1" t="s">
        <v>56</v>
      </c>
      <c r="D178" s="1" t="s">
        <v>23</v>
      </c>
      <c r="E178" s="1" t="s">
        <v>21</v>
      </c>
      <c r="F178" s="1">
        <v>2176</v>
      </c>
      <c r="G178" s="14">
        <v>30</v>
      </c>
      <c r="H178" s="1">
        <v>0.06</v>
      </c>
      <c r="I178" s="14">
        <v>61363.199999999997</v>
      </c>
      <c r="J178" s="14">
        <v>30464</v>
      </c>
      <c r="K178" s="15">
        <f>Table5[[#This Row],[Selling Price]]*Table5[[#This Row],[Units Sold]]</f>
        <v>65280</v>
      </c>
      <c r="L178" t="str">
        <f t="shared" si="2"/>
        <v>2023-04</v>
      </c>
      <c r="M178" t="str">
        <f>VLOOKUP(Table5[[#This Row],[Store ID]],Table4[[Store ID]:[Store Location]],2)</f>
        <v>Leeds</v>
      </c>
      <c r="N178" t="str">
        <f>VLOOKUP(Table5[[#This Row],[Store ID]],Table4[[Store ID]:[Region]],3)</f>
        <v>North</v>
      </c>
      <c r="O178" t="str">
        <f>VLOOKUP(Table5[[#This Row],[Product ID]],'Product Master'!$A$2:$D$10,4)</f>
        <v>Supplier D</v>
      </c>
      <c r="P178" s="15">
        <f>Table5[[#This Row],[Total Revenue]]-Table5[[#This Row],[Net Sales Revenue]]</f>
        <v>3916.8000000000029</v>
      </c>
      <c r="Q178" s="15">
        <f>Table5[[#This Row],[Net Sales Revenue]]/Table5[[#This Row],[Units Sold]]</f>
        <v>28.2</v>
      </c>
      <c r="R178">
        <f>VLOOKUP(Table5[[#This Row],[Product ID]],'Product Master'!$A$1:$E$10,5,FALSE)</f>
        <v>14</v>
      </c>
      <c r="S178" s="15">
        <f>Table5[[#This Row],[standard product cost per unit]]*Table5[[#This Row],[Units Sold]]</f>
        <v>30464</v>
      </c>
      <c r="T178" s="15">
        <f>Table5[[#This Row],[Cost of Sales]]-Table5[[#This Row],[Standard cost]]</f>
        <v>0</v>
      </c>
      <c r="U178" s="15">
        <f>Table5[[#This Row],[Net Sales Revenue]]-Table5[[#This Row],[Cost of Sales]]</f>
        <v>30899.199999999997</v>
      </c>
      <c r="V178" s="17">
        <f>Table5[[#This Row],[GrossProfit]]/Table5[[#This Row],[Net Sales Revenue]]</f>
        <v>0.50354609929078009</v>
      </c>
    </row>
    <row r="179" spans="1:22" ht="14.25" customHeight="1" x14ac:dyDescent="0.25">
      <c r="A179" s="1" t="s">
        <v>248</v>
      </c>
      <c r="B179" s="1" t="s">
        <v>206</v>
      </c>
      <c r="C179" s="1" t="s">
        <v>56</v>
      </c>
      <c r="D179" s="1" t="s">
        <v>25</v>
      </c>
      <c r="E179" s="1" t="s">
        <v>27</v>
      </c>
      <c r="F179" s="1">
        <v>2060</v>
      </c>
      <c r="G179" s="14">
        <v>40</v>
      </c>
      <c r="H179" s="1">
        <v>0.09</v>
      </c>
      <c r="I179" s="14">
        <v>74984</v>
      </c>
      <c r="J179" s="14">
        <v>41200</v>
      </c>
      <c r="K179" s="15">
        <f>Table5[[#This Row],[Selling Price]]*Table5[[#This Row],[Units Sold]]</f>
        <v>82400</v>
      </c>
      <c r="L179" t="str">
        <f t="shared" si="2"/>
        <v>2023-04</v>
      </c>
      <c r="M179" t="str">
        <f>VLOOKUP(Table5[[#This Row],[Store ID]],Table4[[Store ID]:[Store Location]],2)</f>
        <v>Leeds</v>
      </c>
      <c r="N179" t="str">
        <f>VLOOKUP(Table5[[#This Row],[Store ID]],Table4[[Store ID]:[Region]],3)</f>
        <v>North</v>
      </c>
      <c r="O179" t="str">
        <f>VLOOKUP(Table5[[#This Row],[Product ID]],'Product Master'!$A$2:$D$10,4)</f>
        <v>Supplier E</v>
      </c>
      <c r="P179" s="15">
        <f>Table5[[#This Row],[Total Revenue]]-Table5[[#This Row],[Net Sales Revenue]]</f>
        <v>7416</v>
      </c>
      <c r="Q179" s="15">
        <f>Table5[[#This Row],[Net Sales Revenue]]/Table5[[#This Row],[Units Sold]]</f>
        <v>36.4</v>
      </c>
      <c r="R179">
        <f>VLOOKUP(Table5[[#This Row],[Product ID]],'Product Master'!$A$1:$E$10,5,FALSE)</f>
        <v>20</v>
      </c>
      <c r="S179" s="15">
        <f>Table5[[#This Row],[standard product cost per unit]]*Table5[[#This Row],[Units Sold]]</f>
        <v>41200</v>
      </c>
      <c r="T179" s="15">
        <f>Table5[[#This Row],[Cost of Sales]]-Table5[[#This Row],[Standard cost]]</f>
        <v>0</v>
      </c>
      <c r="U179" s="15">
        <f>Table5[[#This Row],[Net Sales Revenue]]-Table5[[#This Row],[Cost of Sales]]</f>
        <v>33784</v>
      </c>
      <c r="V179" s="17">
        <f>Table5[[#This Row],[GrossProfit]]/Table5[[#This Row],[Net Sales Revenue]]</f>
        <v>0.45054945054945056</v>
      </c>
    </row>
    <row r="180" spans="1:22" ht="14.25" customHeight="1" x14ac:dyDescent="0.25">
      <c r="A180" s="1" t="s">
        <v>249</v>
      </c>
      <c r="B180" s="1" t="s">
        <v>206</v>
      </c>
      <c r="C180" s="1" t="s">
        <v>56</v>
      </c>
      <c r="D180" s="1" t="s">
        <v>29</v>
      </c>
      <c r="E180" s="1" t="s">
        <v>31</v>
      </c>
      <c r="F180" s="1">
        <v>1968</v>
      </c>
      <c r="G180" s="14">
        <v>10</v>
      </c>
      <c r="H180" s="1">
        <v>0.06</v>
      </c>
      <c r="I180" s="14">
        <v>18499.2</v>
      </c>
      <c r="J180" s="14">
        <v>7872</v>
      </c>
      <c r="K180" s="15">
        <f>Table5[[#This Row],[Selling Price]]*Table5[[#This Row],[Units Sold]]</f>
        <v>19680</v>
      </c>
      <c r="L180" t="str">
        <f t="shared" si="2"/>
        <v>2023-04</v>
      </c>
      <c r="M180" t="str">
        <f>VLOOKUP(Table5[[#This Row],[Store ID]],Table4[[Store ID]:[Store Location]],2)</f>
        <v>Leeds</v>
      </c>
      <c r="N180" t="str">
        <f>VLOOKUP(Table5[[#This Row],[Store ID]],Table4[[Store ID]:[Region]],3)</f>
        <v>North</v>
      </c>
      <c r="O180" t="str">
        <f>VLOOKUP(Table5[[#This Row],[Product ID]],'Product Master'!$A$2:$D$10,4)</f>
        <v>Supplier F</v>
      </c>
      <c r="P180" s="15">
        <f>Table5[[#This Row],[Total Revenue]]-Table5[[#This Row],[Net Sales Revenue]]</f>
        <v>1180.7999999999993</v>
      </c>
      <c r="Q180" s="15">
        <f>Table5[[#This Row],[Net Sales Revenue]]/Table5[[#This Row],[Units Sold]]</f>
        <v>9.4</v>
      </c>
      <c r="R180">
        <f>VLOOKUP(Table5[[#This Row],[Product ID]],'Product Master'!$A$1:$E$10,5,FALSE)</f>
        <v>4</v>
      </c>
      <c r="S180" s="15">
        <f>Table5[[#This Row],[standard product cost per unit]]*Table5[[#This Row],[Units Sold]]</f>
        <v>7872</v>
      </c>
      <c r="T180" s="15">
        <f>Table5[[#This Row],[Cost of Sales]]-Table5[[#This Row],[Standard cost]]</f>
        <v>0</v>
      </c>
      <c r="U180" s="15">
        <f>Table5[[#This Row],[Net Sales Revenue]]-Table5[[#This Row],[Cost of Sales]]</f>
        <v>10627.2</v>
      </c>
      <c r="V180" s="17">
        <f>Table5[[#This Row],[GrossProfit]]/Table5[[#This Row],[Net Sales Revenue]]</f>
        <v>0.57446808510638303</v>
      </c>
    </row>
    <row r="181" spans="1:22" ht="14.25" customHeight="1" x14ac:dyDescent="0.25">
      <c r="A181" s="1" t="s">
        <v>250</v>
      </c>
      <c r="B181" s="1" t="s">
        <v>206</v>
      </c>
      <c r="C181" s="1" t="s">
        <v>56</v>
      </c>
      <c r="D181" s="1" t="s">
        <v>33</v>
      </c>
      <c r="E181" s="1" t="s">
        <v>31</v>
      </c>
      <c r="F181" s="1">
        <v>1784</v>
      </c>
      <c r="G181" s="14">
        <v>22</v>
      </c>
      <c r="H181" s="1">
        <v>0.09</v>
      </c>
      <c r="I181" s="14">
        <v>35715.68</v>
      </c>
      <c r="J181" s="14">
        <v>17840</v>
      </c>
      <c r="K181" s="15">
        <f>Table5[[#This Row],[Selling Price]]*Table5[[#This Row],[Units Sold]]</f>
        <v>39248</v>
      </c>
      <c r="L181" t="str">
        <f t="shared" si="2"/>
        <v>2023-04</v>
      </c>
      <c r="M181" t="str">
        <f>VLOOKUP(Table5[[#This Row],[Store ID]],Table4[[Store ID]:[Store Location]],2)</f>
        <v>Leeds</v>
      </c>
      <c r="N181" t="str">
        <f>VLOOKUP(Table5[[#This Row],[Store ID]],Table4[[Store ID]:[Region]],3)</f>
        <v>North</v>
      </c>
      <c r="O181" t="str">
        <f>VLOOKUP(Table5[[#This Row],[Product ID]],'Product Master'!$A$2:$D$10,4)</f>
        <v>Supplier F</v>
      </c>
      <c r="P181" s="15">
        <f>Table5[[#This Row],[Total Revenue]]-Table5[[#This Row],[Net Sales Revenue]]</f>
        <v>3532.3199999999997</v>
      </c>
      <c r="Q181" s="15">
        <f>Table5[[#This Row],[Net Sales Revenue]]/Table5[[#This Row],[Units Sold]]</f>
        <v>20.02</v>
      </c>
      <c r="R181">
        <f>VLOOKUP(Table5[[#This Row],[Product ID]],'Product Master'!$A$1:$E$10,5,FALSE)</f>
        <v>10</v>
      </c>
      <c r="S181" s="15">
        <f>Table5[[#This Row],[standard product cost per unit]]*Table5[[#This Row],[Units Sold]]</f>
        <v>17840</v>
      </c>
      <c r="T181" s="15">
        <f>Table5[[#This Row],[Cost of Sales]]-Table5[[#This Row],[Standard cost]]</f>
        <v>0</v>
      </c>
      <c r="U181" s="15">
        <f>Table5[[#This Row],[Net Sales Revenue]]-Table5[[#This Row],[Cost of Sales]]</f>
        <v>17875.68</v>
      </c>
      <c r="V181" s="17">
        <f>Table5[[#This Row],[GrossProfit]]/Table5[[#This Row],[Net Sales Revenue]]</f>
        <v>0.50049950049950054</v>
      </c>
    </row>
    <row r="182" spans="1:22" ht="14.25" customHeight="1" x14ac:dyDescent="0.25">
      <c r="A182" s="1" t="s">
        <v>251</v>
      </c>
      <c r="B182" s="1" t="s">
        <v>252</v>
      </c>
      <c r="C182" s="1" t="s">
        <v>40</v>
      </c>
      <c r="D182" s="1" t="s">
        <v>6</v>
      </c>
      <c r="E182" s="1" t="s">
        <v>8</v>
      </c>
      <c r="F182" s="1">
        <v>2700</v>
      </c>
      <c r="G182" s="14">
        <v>24</v>
      </c>
      <c r="H182" s="1">
        <v>7.0000000000000007E-2</v>
      </c>
      <c r="I182" s="14">
        <v>60264</v>
      </c>
      <c r="J182" s="14">
        <v>32400</v>
      </c>
      <c r="K182" s="15">
        <f>Table5[[#This Row],[Selling Price]]*Table5[[#This Row],[Units Sold]]</f>
        <v>64800</v>
      </c>
      <c r="L182" t="str">
        <f t="shared" si="2"/>
        <v>2023-05</v>
      </c>
      <c r="M182" t="str">
        <f>VLOOKUP(Table5[[#This Row],[Store ID]],Table4[[Store ID]:[Store Location]],2)</f>
        <v>Manchester</v>
      </c>
      <c r="N182" t="str">
        <f>VLOOKUP(Table5[[#This Row],[Store ID]],Table4[[Store ID]:[Region]],3)</f>
        <v>North</v>
      </c>
      <c r="O182" t="str">
        <f>VLOOKUP(Table5[[#This Row],[Product ID]],'Product Master'!$A$2:$D$10,4)</f>
        <v>Supplier A</v>
      </c>
      <c r="P182" s="15">
        <f>Table5[[#This Row],[Total Revenue]]-Table5[[#This Row],[Net Sales Revenue]]</f>
        <v>4536</v>
      </c>
      <c r="Q182" s="15">
        <f>Table5[[#This Row],[Net Sales Revenue]]/Table5[[#This Row],[Units Sold]]</f>
        <v>22.32</v>
      </c>
      <c r="R182">
        <f>VLOOKUP(Table5[[#This Row],[Product ID]],'Product Master'!$A$1:$E$10,5,FALSE)</f>
        <v>12</v>
      </c>
      <c r="S182" s="15">
        <f>Table5[[#This Row],[standard product cost per unit]]*Table5[[#This Row],[Units Sold]]</f>
        <v>32400</v>
      </c>
      <c r="T182" s="15">
        <f>Table5[[#This Row],[Cost of Sales]]-Table5[[#This Row],[Standard cost]]</f>
        <v>0</v>
      </c>
      <c r="U182" s="15">
        <f>Table5[[#This Row],[Net Sales Revenue]]-Table5[[#This Row],[Cost of Sales]]</f>
        <v>27864</v>
      </c>
      <c r="V182" s="17">
        <f>Table5[[#This Row],[GrossProfit]]/Table5[[#This Row],[Net Sales Revenue]]</f>
        <v>0.46236559139784944</v>
      </c>
    </row>
    <row r="183" spans="1:22" ht="14.25" customHeight="1" x14ac:dyDescent="0.25">
      <c r="A183" s="1" t="s">
        <v>253</v>
      </c>
      <c r="B183" s="1" t="s">
        <v>252</v>
      </c>
      <c r="C183" s="1" t="s">
        <v>40</v>
      </c>
      <c r="D183" s="1" t="s">
        <v>10</v>
      </c>
      <c r="E183" s="1" t="s">
        <v>8</v>
      </c>
      <c r="F183" s="1">
        <v>2312</v>
      </c>
      <c r="G183" s="14">
        <v>50</v>
      </c>
      <c r="H183" s="1">
        <v>0.09</v>
      </c>
      <c r="I183" s="14">
        <v>105196</v>
      </c>
      <c r="J183" s="14">
        <v>64736</v>
      </c>
      <c r="K183" s="15">
        <f>Table5[[#This Row],[Selling Price]]*Table5[[#This Row],[Units Sold]]</f>
        <v>115600</v>
      </c>
      <c r="L183" t="str">
        <f t="shared" si="2"/>
        <v>2023-05</v>
      </c>
      <c r="M183" t="str">
        <f>VLOOKUP(Table5[[#This Row],[Store ID]],Table4[[Store ID]:[Store Location]],2)</f>
        <v>Manchester</v>
      </c>
      <c r="N183" t="str">
        <f>VLOOKUP(Table5[[#This Row],[Store ID]],Table4[[Store ID]:[Region]],3)</f>
        <v>North</v>
      </c>
      <c r="O183" t="str">
        <f>VLOOKUP(Table5[[#This Row],[Product ID]],'Product Master'!$A$2:$D$10,4)</f>
        <v>Supplier B</v>
      </c>
      <c r="P183" s="15">
        <f>Table5[[#This Row],[Total Revenue]]-Table5[[#This Row],[Net Sales Revenue]]</f>
        <v>10404</v>
      </c>
      <c r="Q183" s="15">
        <f>Table5[[#This Row],[Net Sales Revenue]]/Table5[[#This Row],[Units Sold]]</f>
        <v>45.5</v>
      </c>
      <c r="R183">
        <f>VLOOKUP(Table5[[#This Row],[Product ID]],'Product Master'!$A$1:$E$10,5,FALSE)</f>
        <v>28</v>
      </c>
      <c r="S183" s="15">
        <f>Table5[[#This Row],[standard product cost per unit]]*Table5[[#This Row],[Units Sold]]</f>
        <v>64736</v>
      </c>
      <c r="T183" s="15">
        <f>Table5[[#This Row],[Cost of Sales]]-Table5[[#This Row],[Standard cost]]</f>
        <v>0</v>
      </c>
      <c r="U183" s="15">
        <f>Table5[[#This Row],[Net Sales Revenue]]-Table5[[#This Row],[Cost of Sales]]</f>
        <v>40460</v>
      </c>
      <c r="V183" s="17">
        <f>Table5[[#This Row],[GrossProfit]]/Table5[[#This Row],[Net Sales Revenue]]</f>
        <v>0.38461538461538464</v>
      </c>
    </row>
    <row r="184" spans="1:22" ht="14.25" customHeight="1" x14ac:dyDescent="0.25">
      <c r="A184" s="1" t="s">
        <v>254</v>
      </c>
      <c r="B184" s="1" t="s">
        <v>252</v>
      </c>
      <c r="C184" s="1" t="s">
        <v>40</v>
      </c>
      <c r="D184" s="1" t="s">
        <v>13</v>
      </c>
      <c r="E184" s="1" t="s">
        <v>15</v>
      </c>
      <c r="F184" s="1">
        <v>1440</v>
      </c>
      <c r="G184" s="14">
        <v>28</v>
      </c>
      <c r="H184" s="1">
        <v>0.1</v>
      </c>
      <c r="I184" s="14">
        <v>36288</v>
      </c>
      <c r="J184" s="14">
        <v>21600</v>
      </c>
      <c r="K184" s="15">
        <f>Table5[[#This Row],[Selling Price]]*Table5[[#This Row],[Units Sold]]</f>
        <v>40320</v>
      </c>
      <c r="L184" t="str">
        <f t="shared" si="2"/>
        <v>2023-05</v>
      </c>
      <c r="M184" t="str">
        <f>VLOOKUP(Table5[[#This Row],[Store ID]],Table4[[Store ID]:[Store Location]],2)</f>
        <v>Manchester</v>
      </c>
      <c r="N184" t="str">
        <f>VLOOKUP(Table5[[#This Row],[Store ID]],Table4[[Store ID]:[Region]],3)</f>
        <v>North</v>
      </c>
      <c r="O184" t="str">
        <f>VLOOKUP(Table5[[#This Row],[Product ID]],'Product Master'!$A$2:$D$10,4)</f>
        <v>Supplier C</v>
      </c>
      <c r="P184" s="15">
        <f>Table5[[#This Row],[Total Revenue]]-Table5[[#This Row],[Net Sales Revenue]]</f>
        <v>4032</v>
      </c>
      <c r="Q184" s="15">
        <f>Table5[[#This Row],[Net Sales Revenue]]/Table5[[#This Row],[Units Sold]]</f>
        <v>25.2</v>
      </c>
      <c r="R184">
        <f>VLOOKUP(Table5[[#This Row],[Product ID]],'Product Master'!$A$1:$E$10,5,FALSE)</f>
        <v>15</v>
      </c>
      <c r="S184" s="15">
        <f>Table5[[#This Row],[standard product cost per unit]]*Table5[[#This Row],[Units Sold]]</f>
        <v>21600</v>
      </c>
      <c r="T184" s="15">
        <f>Table5[[#This Row],[Cost of Sales]]-Table5[[#This Row],[Standard cost]]</f>
        <v>0</v>
      </c>
      <c r="U184" s="15">
        <f>Table5[[#This Row],[Net Sales Revenue]]-Table5[[#This Row],[Cost of Sales]]</f>
        <v>14688</v>
      </c>
      <c r="V184" s="17">
        <f>Table5[[#This Row],[GrossProfit]]/Table5[[#This Row],[Net Sales Revenue]]</f>
        <v>0.40476190476190477</v>
      </c>
    </row>
    <row r="185" spans="1:22" ht="14.25" customHeight="1" x14ac:dyDescent="0.25">
      <c r="A185" s="1" t="s">
        <v>255</v>
      </c>
      <c r="B185" s="1" t="s">
        <v>252</v>
      </c>
      <c r="C185" s="1" t="s">
        <v>40</v>
      </c>
      <c r="D185" s="1" t="s">
        <v>17</v>
      </c>
      <c r="E185" s="1" t="s">
        <v>15</v>
      </c>
      <c r="F185" s="1">
        <v>1920</v>
      </c>
      <c r="G185" s="14">
        <v>35</v>
      </c>
      <c r="H185" s="1">
        <v>0.09</v>
      </c>
      <c r="I185" s="14">
        <v>61152</v>
      </c>
      <c r="J185" s="14">
        <v>34560</v>
      </c>
      <c r="K185" s="15">
        <f>Table5[[#This Row],[Selling Price]]*Table5[[#This Row],[Units Sold]]</f>
        <v>67200</v>
      </c>
      <c r="L185" t="str">
        <f t="shared" si="2"/>
        <v>2023-05</v>
      </c>
      <c r="M185" t="str">
        <f>VLOOKUP(Table5[[#This Row],[Store ID]],Table4[[Store ID]:[Store Location]],2)</f>
        <v>Manchester</v>
      </c>
      <c r="N185" t="str">
        <f>VLOOKUP(Table5[[#This Row],[Store ID]],Table4[[Store ID]:[Region]],3)</f>
        <v>North</v>
      </c>
      <c r="O185" t="str">
        <f>VLOOKUP(Table5[[#This Row],[Product ID]],'Product Master'!$A$2:$D$10,4)</f>
        <v>Supplier C</v>
      </c>
      <c r="P185" s="15">
        <f>Table5[[#This Row],[Total Revenue]]-Table5[[#This Row],[Net Sales Revenue]]</f>
        <v>6048</v>
      </c>
      <c r="Q185" s="15">
        <f>Table5[[#This Row],[Net Sales Revenue]]/Table5[[#This Row],[Units Sold]]</f>
        <v>31.85</v>
      </c>
      <c r="R185">
        <f>VLOOKUP(Table5[[#This Row],[Product ID]],'Product Master'!$A$1:$E$10,5,FALSE)</f>
        <v>18</v>
      </c>
      <c r="S185" s="15">
        <f>Table5[[#This Row],[standard product cost per unit]]*Table5[[#This Row],[Units Sold]]</f>
        <v>34560</v>
      </c>
      <c r="T185" s="15">
        <f>Table5[[#This Row],[Cost of Sales]]-Table5[[#This Row],[Standard cost]]</f>
        <v>0</v>
      </c>
      <c r="U185" s="15">
        <f>Table5[[#This Row],[Net Sales Revenue]]-Table5[[#This Row],[Cost of Sales]]</f>
        <v>26592</v>
      </c>
      <c r="V185" s="17">
        <f>Table5[[#This Row],[GrossProfit]]/Table5[[#This Row],[Net Sales Revenue]]</f>
        <v>0.43485086342229201</v>
      </c>
    </row>
    <row r="186" spans="1:22" ht="14.25" customHeight="1" x14ac:dyDescent="0.25">
      <c r="A186" s="1" t="s">
        <v>256</v>
      </c>
      <c r="B186" s="1" t="s">
        <v>252</v>
      </c>
      <c r="C186" s="1" t="s">
        <v>40</v>
      </c>
      <c r="D186" s="1" t="s">
        <v>19</v>
      </c>
      <c r="E186" s="1" t="s">
        <v>21</v>
      </c>
      <c r="F186" s="1">
        <v>2008</v>
      </c>
      <c r="G186" s="14">
        <v>18</v>
      </c>
      <c r="H186" s="1">
        <v>0.08</v>
      </c>
      <c r="I186" s="14">
        <v>33252.480000000003</v>
      </c>
      <c r="J186" s="14">
        <v>18072</v>
      </c>
      <c r="K186" s="15">
        <f>Table5[[#This Row],[Selling Price]]*Table5[[#This Row],[Units Sold]]</f>
        <v>36144</v>
      </c>
      <c r="L186" t="str">
        <f t="shared" si="2"/>
        <v>2023-05</v>
      </c>
      <c r="M186" t="str">
        <f>VLOOKUP(Table5[[#This Row],[Store ID]],Table4[[Store ID]:[Store Location]],2)</f>
        <v>Manchester</v>
      </c>
      <c r="N186" t="str">
        <f>VLOOKUP(Table5[[#This Row],[Store ID]],Table4[[Store ID]:[Region]],3)</f>
        <v>North</v>
      </c>
      <c r="O186" t="str">
        <f>VLOOKUP(Table5[[#This Row],[Product ID]],'Product Master'!$A$2:$D$10,4)</f>
        <v>Supplier D</v>
      </c>
      <c r="P186" s="15">
        <f>Table5[[#This Row],[Total Revenue]]-Table5[[#This Row],[Net Sales Revenue]]</f>
        <v>2891.5199999999968</v>
      </c>
      <c r="Q186" s="15">
        <f>Table5[[#This Row],[Net Sales Revenue]]/Table5[[#This Row],[Units Sold]]</f>
        <v>16.560000000000002</v>
      </c>
      <c r="R186">
        <f>VLOOKUP(Table5[[#This Row],[Product ID]],'Product Master'!$A$1:$E$10,5,FALSE)</f>
        <v>9</v>
      </c>
      <c r="S186" s="15">
        <f>Table5[[#This Row],[standard product cost per unit]]*Table5[[#This Row],[Units Sold]]</f>
        <v>18072</v>
      </c>
      <c r="T186" s="15">
        <f>Table5[[#This Row],[Cost of Sales]]-Table5[[#This Row],[Standard cost]]</f>
        <v>0</v>
      </c>
      <c r="U186" s="15">
        <f>Table5[[#This Row],[Net Sales Revenue]]-Table5[[#This Row],[Cost of Sales]]</f>
        <v>15180.480000000003</v>
      </c>
      <c r="V186" s="17">
        <f>Table5[[#This Row],[GrossProfit]]/Table5[[#This Row],[Net Sales Revenue]]</f>
        <v>0.45652173913043481</v>
      </c>
    </row>
    <row r="187" spans="1:22" ht="14.25" customHeight="1" x14ac:dyDescent="0.25">
      <c r="A187" s="1" t="s">
        <v>257</v>
      </c>
      <c r="B187" s="1" t="s">
        <v>252</v>
      </c>
      <c r="C187" s="1" t="s">
        <v>40</v>
      </c>
      <c r="D187" s="1" t="s">
        <v>23</v>
      </c>
      <c r="E187" s="1" t="s">
        <v>21</v>
      </c>
      <c r="F187" s="1">
        <v>1380</v>
      </c>
      <c r="G187" s="14">
        <v>30</v>
      </c>
      <c r="H187" s="1">
        <v>0.08</v>
      </c>
      <c r="I187" s="14">
        <v>38088</v>
      </c>
      <c r="J187" s="14">
        <v>19320</v>
      </c>
      <c r="K187" s="15">
        <f>Table5[[#This Row],[Selling Price]]*Table5[[#This Row],[Units Sold]]</f>
        <v>41400</v>
      </c>
      <c r="L187" t="str">
        <f t="shared" si="2"/>
        <v>2023-05</v>
      </c>
      <c r="M187" t="str">
        <f>VLOOKUP(Table5[[#This Row],[Store ID]],Table4[[Store ID]:[Store Location]],2)</f>
        <v>Manchester</v>
      </c>
      <c r="N187" t="str">
        <f>VLOOKUP(Table5[[#This Row],[Store ID]],Table4[[Store ID]:[Region]],3)</f>
        <v>North</v>
      </c>
      <c r="O187" t="str">
        <f>VLOOKUP(Table5[[#This Row],[Product ID]],'Product Master'!$A$2:$D$10,4)</f>
        <v>Supplier D</v>
      </c>
      <c r="P187" s="15">
        <f>Table5[[#This Row],[Total Revenue]]-Table5[[#This Row],[Net Sales Revenue]]</f>
        <v>3312</v>
      </c>
      <c r="Q187" s="15">
        <f>Table5[[#This Row],[Net Sales Revenue]]/Table5[[#This Row],[Units Sold]]</f>
        <v>27.6</v>
      </c>
      <c r="R187">
        <f>VLOOKUP(Table5[[#This Row],[Product ID]],'Product Master'!$A$1:$E$10,5,FALSE)</f>
        <v>14</v>
      </c>
      <c r="S187" s="15">
        <f>Table5[[#This Row],[standard product cost per unit]]*Table5[[#This Row],[Units Sold]]</f>
        <v>19320</v>
      </c>
      <c r="T187" s="15">
        <f>Table5[[#This Row],[Cost of Sales]]-Table5[[#This Row],[Standard cost]]</f>
        <v>0</v>
      </c>
      <c r="U187" s="15">
        <f>Table5[[#This Row],[Net Sales Revenue]]-Table5[[#This Row],[Cost of Sales]]</f>
        <v>18768</v>
      </c>
      <c r="V187" s="17">
        <f>Table5[[#This Row],[GrossProfit]]/Table5[[#This Row],[Net Sales Revenue]]</f>
        <v>0.49275362318840582</v>
      </c>
    </row>
    <row r="188" spans="1:22" ht="14.25" customHeight="1" x14ac:dyDescent="0.25">
      <c r="A188" s="1" t="s">
        <v>258</v>
      </c>
      <c r="B188" s="1" t="s">
        <v>252</v>
      </c>
      <c r="C188" s="1" t="s">
        <v>40</v>
      </c>
      <c r="D188" s="1" t="s">
        <v>25</v>
      </c>
      <c r="E188" s="1" t="s">
        <v>27</v>
      </c>
      <c r="F188" s="1">
        <v>2616</v>
      </c>
      <c r="G188" s="14">
        <v>40</v>
      </c>
      <c r="H188" s="1">
        <v>0.06</v>
      </c>
      <c r="I188" s="14">
        <v>98361.600000000006</v>
      </c>
      <c r="J188" s="14">
        <v>52320</v>
      </c>
      <c r="K188" s="15">
        <f>Table5[[#This Row],[Selling Price]]*Table5[[#This Row],[Units Sold]]</f>
        <v>104640</v>
      </c>
      <c r="L188" t="str">
        <f t="shared" si="2"/>
        <v>2023-05</v>
      </c>
      <c r="M188" t="str">
        <f>VLOOKUP(Table5[[#This Row],[Store ID]],Table4[[Store ID]:[Store Location]],2)</f>
        <v>Manchester</v>
      </c>
      <c r="N188" t="str">
        <f>VLOOKUP(Table5[[#This Row],[Store ID]],Table4[[Store ID]:[Region]],3)</f>
        <v>North</v>
      </c>
      <c r="O188" t="str">
        <f>VLOOKUP(Table5[[#This Row],[Product ID]],'Product Master'!$A$2:$D$10,4)</f>
        <v>Supplier E</v>
      </c>
      <c r="P188" s="15">
        <f>Table5[[#This Row],[Total Revenue]]-Table5[[#This Row],[Net Sales Revenue]]</f>
        <v>6278.3999999999942</v>
      </c>
      <c r="Q188" s="15">
        <f>Table5[[#This Row],[Net Sales Revenue]]/Table5[[#This Row],[Units Sold]]</f>
        <v>37.6</v>
      </c>
      <c r="R188">
        <f>VLOOKUP(Table5[[#This Row],[Product ID]],'Product Master'!$A$1:$E$10,5,FALSE)</f>
        <v>20</v>
      </c>
      <c r="S188" s="15">
        <f>Table5[[#This Row],[standard product cost per unit]]*Table5[[#This Row],[Units Sold]]</f>
        <v>52320</v>
      </c>
      <c r="T188" s="15">
        <f>Table5[[#This Row],[Cost of Sales]]-Table5[[#This Row],[Standard cost]]</f>
        <v>0</v>
      </c>
      <c r="U188" s="15">
        <f>Table5[[#This Row],[Net Sales Revenue]]-Table5[[#This Row],[Cost of Sales]]</f>
        <v>46041.600000000006</v>
      </c>
      <c r="V188" s="17">
        <f>Table5[[#This Row],[GrossProfit]]/Table5[[#This Row],[Net Sales Revenue]]</f>
        <v>0.46808510638297873</v>
      </c>
    </row>
    <row r="189" spans="1:22" ht="14.25" customHeight="1" x14ac:dyDescent="0.25">
      <c r="A189" s="1" t="s">
        <v>259</v>
      </c>
      <c r="B189" s="1" t="s">
        <v>252</v>
      </c>
      <c r="C189" s="1" t="s">
        <v>40</v>
      </c>
      <c r="D189" s="1" t="s">
        <v>29</v>
      </c>
      <c r="E189" s="1" t="s">
        <v>31</v>
      </c>
      <c r="F189" s="1">
        <v>2224</v>
      </c>
      <c r="G189" s="14">
        <v>10</v>
      </c>
      <c r="H189" s="1">
        <v>7.0000000000000007E-2</v>
      </c>
      <c r="I189" s="14">
        <v>20683.2</v>
      </c>
      <c r="J189" s="14">
        <v>8896</v>
      </c>
      <c r="K189" s="15">
        <f>Table5[[#This Row],[Selling Price]]*Table5[[#This Row],[Units Sold]]</f>
        <v>22240</v>
      </c>
      <c r="L189" t="str">
        <f t="shared" si="2"/>
        <v>2023-05</v>
      </c>
      <c r="M189" t="str">
        <f>VLOOKUP(Table5[[#This Row],[Store ID]],Table4[[Store ID]:[Store Location]],2)</f>
        <v>Manchester</v>
      </c>
      <c r="N189" t="str">
        <f>VLOOKUP(Table5[[#This Row],[Store ID]],Table4[[Store ID]:[Region]],3)</f>
        <v>North</v>
      </c>
      <c r="O189" t="str">
        <f>VLOOKUP(Table5[[#This Row],[Product ID]],'Product Master'!$A$2:$D$10,4)</f>
        <v>Supplier F</v>
      </c>
      <c r="P189" s="15">
        <f>Table5[[#This Row],[Total Revenue]]-Table5[[#This Row],[Net Sales Revenue]]</f>
        <v>1556.7999999999993</v>
      </c>
      <c r="Q189" s="15">
        <f>Table5[[#This Row],[Net Sales Revenue]]/Table5[[#This Row],[Units Sold]]</f>
        <v>9.3000000000000007</v>
      </c>
      <c r="R189">
        <f>VLOOKUP(Table5[[#This Row],[Product ID]],'Product Master'!$A$1:$E$10,5,FALSE)</f>
        <v>4</v>
      </c>
      <c r="S189" s="15">
        <f>Table5[[#This Row],[standard product cost per unit]]*Table5[[#This Row],[Units Sold]]</f>
        <v>8896</v>
      </c>
      <c r="T189" s="15">
        <f>Table5[[#This Row],[Cost of Sales]]-Table5[[#This Row],[Standard cost]]</f>
        <v>0</v>
      </c>
      <c r="U189" s="15">
        <f>Table5[[#This Row],[Net Sales Revenue]]-Table5[[#This Row],[Cost of Sales]]</f>
        <v>11787.2</v>
      </c>
      <c r="V189" s="17">
        <f>Table5[[#This Row],[GrossProfit]]/Table5[[#This Row],[Net Sales Revenue]]</f>
        <v>0.56989247311827962</v>
      </c>
    </row>
    <row r="190" spans="1:22" ht="14.25" customHeight="1" x14ac:dyDescent="0.25">
      <c r="A190" s="1" t="s">
        <v>260</v>
      </c>
      <c r="B190" s="1" t="s">
        <v>252</v>
      </c>
      <c r="C190" s="1" t="s">
        <v>40</v>
      </c>
      <c r="D190" s="1" t="s">
        <v>33</v>
      </c>
      <c r="E190" s="1" t="s">
        <v>31</v>
      </c>
      <c r="F190" s="1">
        <v>1532</v>
      </c>
      <c r="G190" s="14">
        <v>22</v>
      </c>
      <c r="H190" s="1">
        <v>0.06</v>
      </c>
      <c r="I190" s="14">
        <v>31681.759999999998</v>
      </c>
      <c r="J190" s="14">
        <v>15320</v>
      </c>
      <c r="K190" s="15">
        <f>Table5[[#This Row],[Selling Price]]*Table5[[#This Row],[Units Sold]]</f>
        <v>33704</v>
      </c>
      <c r="L190" t="str">
        <f t="shared" si="2"/>
        <v>2023-05</v>
      </c>
      <c r="M190" t="str">
        <f>VLOOKUP(Table5[[#This Row],[Store ID]],Table4[[Store ID]:[Store Location]],2)</f>
        <v>Manchester</v>
      </c>
      <c r="N190" t="str">
        <f>VLOOKUP(Table5[[#This Row],[Store ID]],Table4[[Store ID]:[Region]],3)</f>
        <v>North</v>
      </c>
      <c r="O190" t="str">
        <f>VLOOKUP(Table5[[#This Row],[Product ID]],'Product Master'!$A$2:$D$10,4)</f>
        <v>Supplier F</v>
      </c>
      <c r="P190" s="15">
        <f>Table5[[#This Row],[Total Revenue]]-Table5[[#This Row],[Net Sales Revenue]]</f>
        <v>2022.2400000000016</v>
      </c>
      <c r="Q190" s="15">
        <f>Table5[[#This Row],[Net Sales Revenue]]/Table5[[#This Row],[Units Sold]]</f>
        <v>20.68</v>
      </c>
      <c r="R190">
        <f>VLOOKUP(Table5[[#This Row],[Product ID]],'Product Master'!$A$1:$E$10,5,FALSE)</f>
        <v>10</v>
      </c>
      <c r="S190" s="15">
        <f>Table5[[#This Row],[standard product cost per unit]]*Table5[[#This Row],[Units Sold]]</f>
        <v>15320</v>
      </c>
      <c r="T190" s="15">
        <f>Table5[[#This Row],[Cost of Sales]]-Table5[[#This Row],[Standard cost]]</f>
        <v>0</v>
      </c>
      <c r="U190" s="15">
        <f>Table5[[#This Row],[Net Sales Revenue]]-Table5[[#This Row],[Cost of Sales]]</f>
        <v>16361.759999999998</v>
      </c>
      <c r="V190" s="17">
        <f>Table5[[#This Row],[GrossProfit]]/Table5[[#This Row],[Net Sales Revenue]]</f>
        <v>0.51644100580270791</v>
      </c>
    </row>
    <row r="191" spans="1:22" ht="14.25" customHeight="1" x14ac:dyDescent="0.25">
      <c r="A191" s="1" t="s">
        <v>261</v>
      </c>
      <c r="B191" s="1" t="s">
        <v>252</v>
      </c>
      <c r="C191" s="1" t="s">
        <v>44</v>
      </c>
      <c r="D191" s="1" t="s">
        <v>6</v>
      </c>
      <c r="E191" s="1" t="s">
        <v>8</v>
      </c>
      <c r="F191" s="1">
        <v>1432</v>
      </c>
      <c r="G191" s="14">
        <v>24</v>
      </c>
      <c r="H191" s="1">
        <v>0.08</v>
      </c>
      <c r="I191" s="14">
        <v>31618.560000000001</v>
      </c>
      <c r="J191" s="14">
        <v>17184</v>
      </c>
      <c r="K191" s="15">
        <f>Table5[[#This Row],[Selling Price]]*Table5[[#This Row],[Units Sold]]</f>
        <v>34368</v>
      </c>
      <c r="L191" t="str">
        <f t="shared" si="2"/>
        <v>2023-05</v>
      </c>
      <c r="M191" t="str">
        <f>VLOOKUP(Table5[[#This Row],[Store ID]],Table4[[Store ID]:[Store Location]],2)</f>
        <v>Birmingham</v>
      </c>
      <c r="N191" t="str">
        <f>VLOOKUP(Table5[[#This Row],[Store ID]],Table4[[Store ID]:[Region]],3)</f>
        <v>Midlands</v>
      </c>
      <c r="O191" t="str">
        <f>VLOOKUP(Table5[[#This Row],[Product ID]],'Product Master'!$A$2:$D$10,4)</f>
        <v>Supplier A</v>
      </c>
      <c r="P191" s="15">
        <f>Table5[[#This Row],[Total Revenue]]-Table5[[#This Row],[Net Sales Revenue]]</f>
        <v>2749.4399999999987</v>
      </c>
      <c r="Q191" s="15">
        <f>Table5[[#This Row],[Net Sales Revenue]]/Table5[[#This Row],[Units Sold]]</f>
        <v>22.080000000000002</v>
      </c>
      <c r="R191">
        <f>VLOOKUP(Table5[[#This Row],[Product ID]],'Product Master'!$A$1:$E$10,5,FALSE)</f>
        <v>12</v>
      </c>
      <c r="S191" s="15">
        <f>Table5[[#This Row],[standard product cost per unit]]*Table5[[#This Row],[Units Sold]]</f>
        <v>17184</v>
      </c>
      <c r="T191" s="15">
        <f>Table5[[#This Row],[Cost of Sales]]-Table5[[#This Row],[Standard cost]]</f>
        <v>0</v>
      </c>
      <c r="U191" s="15">
        <f>Table5[[#This Row],[Net Sales Revenue]]-Table5[[#This Row],[Cost of Sales]]</f>
        <v>14434.560000000001</v>
      </c>
      <c r="V191" s="17">
        <f>Table5[[#This Row],[GrossProfit]]/Table5[[#This Row],[Net Sales Revenue]]</f>
        <v>0.45652173913043481</v>
      </c>
    </row>
    <row r="192" spans="1:22" ht="14.25" customHeight="1" x14ac:dyDescent="0.25">
      <c r="A192" s="1" t="s">
        <v>262</v>
      </c>
      <c r="B192" s="1" t="s">
        <v>252</v>
      </c>
      <c r="C192" s="1" t="s">
        <v>44</v>
      </c>
      <c r="D192" s="1" t="s">
        <v>10</v>
      </c>
      <c r="E192" s="1" t="s">
        <v>8</v>
      </c>
      <c r="F192" s="1">
        <v>1468</v>
      </c>
      <c r="G192" s="14">
        <v>50</v>
      </c>
      <c r="H192" s="1">
        <v>7.0000000000000007E-2</v>
      </c>
      <c r="I192" s="14">
        <v>68262</v>
      </c>
      <c r="J192" s="14">
        <v>41104</v>
      </c>
      <c r="K192" s="15">
        <f>Table5[[#This Row],[Selling Price]]*Table5[[#This Row],[Units Sold]]</f>
        <v>73400</v>
      </c>
      <c r="L192" t="str">
        <f t="shared" si="2"/>
        <v>2023-05</v>
      </c>
      <c r="M192" t="str">
        <f>VLOOKUP(Table5[[#This Row],[Store ID]],Table4[[Store ID]:[Store Location]],2)</f>
        <v>Birmingham</v>
      </c>
      <c r="N192" t="str">
        <f>VLOOKUP(Table5[[#This Row],[Store ID]],Table4[[Store ID]:[Region]],3)</f>
        <v>Midlands</v>
      </c>
      <c r="O192" t="str">
        <f>VLOOKUP(Table5[[#This Row],[Product ID]],'Product Master'!$A$2:$D$10,4)</f>
        <v>Supplier B</v>
      </c>
      <c r="P192" s="15">
        <f>Table5[[#This Row],[Total Revenue]]-Table5[[#This Row],[Net Sales Revenue]]</f>
        <v>5138</v>
      </c>
      <c r="Q192" s="15">
        <f>Table5[[#This Row],[Net Sales Revenue]]/Table5[[#This Row],[Units Sold]]</f>
        <v>46.5</v>
      </c>
      <c r="R192">
        <f>VLOOKUP(Table5[[#This Row],[Product ID]],'Product Master'!$A$1:$E$10,5,FALSE)</f>
        <v>28</v>
      </c>
      <c r="S192" s="15">
        <f>Table5[[#This Row],[standard product cost per unit]]*Table5[[#This Row],[Units Sold]]</f>
        <v>41104</v>
      </c>
      <c r="T192" s="15">
        <f>Table5[[#This Row],[Cost of Sales]]-Table5[[#This Row],[Standard cost]]</f>
        <v>0</v>
      </c>
      <c r="U192" s="15">
        <f>Table5[[#This Row],[Net Sales Revenue]]-Table5[[#This Row],[Cost of Sales]]</f>
        <v>27158</v>
      </c>
      <c r="V192" s="17">
        <f>Table5[[#This Row],[GrossProfit]]/Table5[[#This Row],[Net Sales Revenue]]</f>
        <v>0.39784946236559138</v>
      </c>
    </row>
    <row r="193" spans="1:22" ht="14.25" customHeight="1" x14ac:dyDescent="0.25">
      <c r="A193" s="1" t="s">
        <v>263</v>
      </c>
      <c r="B193" s="1" t="s">
        <v>252</v>
      </c>
      <c r="C193" s="1" t="s">
        <v>44</v>
      </c>
      <c r="D193" s="1" t="s">
        <v>13</v>
      </c>
      <c r="E193" s="1" t="s">
        <v>15</v>
      </c>
      <c r="F193" s="1">
        <v>2344</v>
      </c>
      <c r="G193" s="14">
        <v>28</v>
      </c>
      <c r="H193" s="1">
        <v>0.06</v>
      </c>
      <c r="I193" s="14">
        <v>61694.080000000002</v>
      </c>
      <c r="J193" s="14">
        <v>35160</v>
      </c>
      <c r="K193" s="15">
        <f>Table5[[#This Row],[Selling Price]]*Table5[[#This Row],[Units Sold]]</f>
        <v>65632</v>
      </c>
      <c r="L193" t="str">
        <f t="shared" si="2"/>
        <v>2023-05</v>
      </c>
      <c r="M193" t="str">
        <f>VLOOKUP(Table5[[#This Row],[Store ID]],Table4[[Store ID]:[Store Location]],2)</f>
        <v>Birmingham</v>
      </c>
      <c r="N193" t="str">
        <f>VLOOKUP(Table5[[#This Row],[Store ID]],Table4[[Store ID]:[Region]],3)</f>
        <v>Midlands</v>
      </c>
      <c r="O193" t="str">
        <f>VLOOKUP(Table5[[#This Row],[Product ID]],'Product Master'!$A$2:$D$10,4)</f>
        <v>Supplier C</v>
      </c>
      <c r="P193" s="15">
        <f>Table5[[#This Row],[Total Revenue]]-Table5[[#This Row],[Net Sales Revenue]]</f>
        <v>3937.9199999999983</v>
      </c>
      <c r="Q193" s="15">
        <f>Table5[[#This Row],[Net Sales Revenue]]/Table5[[#This Row],[Units Sold]]</f>
        <v>26.32</v>
      </c>
      <c r="R193">
        <f>VLOOKUP(Table5[[#This Row],[Product ID]],'Product Master'!$A$1:$E$10,5,FALSE)</f>
        <v>15</v>
      </c>
      <c r="S193" s="15">
        <f>Table5[[#This Row],[standard product cost per unit]]*Table5[[#This Row],[Units Sold]]</f>
        <v>35160</v>
      </c>
      <c r="T193" s="15">
        <f>Table5[[#This Row],[Cost of Sales]]-Table5[[#This Row],[Standard cost]]</f>
        <v>0</v>
      </c>
      <c r="U193" s="15">
        <f>Table5[[#This Row],[Net Sales Revenue]]-Table5[[#This Row],[Cost of Sales]]</f>
        <v>26534.080000000002</v>
      </c>
      <c r="V193" s="17">
        <f>Table5[[#This Row],[GrossProfit]]/Table5[[#This Row],[Net Sales Revenue]]</f>
        <v>0.43009118541033436</v>
      </c>
    </row>
    <row r="194" spans="1:22" ht="14.25" customHeight="1" x14ac:dyDescent="0.25">
      <c r="A194" s="1" t="s">
        <v>264</v>
      </c>
      <c r="B194" s="1" t="s">
        <v>252</v>
      </c>
      <c r="C194" s="1" t="s">
        <v>44</v>
      </c>
      <c r="D194" s="1" t="s">
        <v>17</v>
      </c>
      <c r="E194" s="1" t="s">
        <v>15</v>
      </c>
      <c r="F194" s="1">
        <v>2600</v>
      </c>
      <c r="G194" s="14">
        <v>35</v>
      </c>
      <c r="H194" s="1">
        <v>0.06</v>
      </c>
      <c r="I194" s="14">
        <v>85540</v>
      </c>
      <c r="J194" s="14">
        <v>46800</v>
      </c>
      <c r="K194" s="15">
        <f>Table5[[#This Row],[Selling Price]]*Table5[[#This Row],[Units Sold]]</f>
        <v>91000</v>
      </c>
      <c r="L194" t="str">
        <f t="shared" ref="L194:L257" si="3">TEXT(B194,"yyyy-mm")</f>
        <v>2023-05</v>
      </c>
      <c r="M194" t="str">
        <f>VLOOKUP(Table5[[#This Row],[Store ID]],Table4[[Store ID]:[Store Location]],2)</f>
        <v>Birmingham</v>
      </c>
      <c r="N194" t="str">
        <f>VLOOKUP(Table5[[#This Row],[Store ID]],Table4[[Store ID]:[Region]],3)</f>
        <v>Midlands</v>
      </c>
      <c r="O194" t="str">
        <f>VLOOKUP(Table5[[#This Row],[Product ID]],'Product Master'!$A$2:$D$10,4)</f>
        <v>Supplier C</v>
      </c>
      <c r="P194" s="15">
        <f>Table5[[#This Row],[Total Revenue]]-Table5[[#This Row],[Net Sales Revenue]]</f>
        <v>5460</v>
      </c>
      <c r="Q194" s="15">
        <f>Table5[[#This Row],[Net Sales Revenue]]/Table5[[#This Row],[Units Sold]]</f>
        <v>32.9</v>
      </c>
      <c r="R194">
        <f>VLOOKUP(Table5[[#This Row],[Product ID]],'Product Master'!$A$1:$E$10,5,FALSE)</f>
        <v>18</v>
      </c>
      <c r="S194" s="15">
        <f>Table5[[#This Row],[standard product cost per unit]]*Table5[[#This Row],[Units Sold]]</f>
        <v>46800</v>
      </c>
      <c r="T194" s="15">
        <f>Table5[[#This Row],[Cost of Sales]]-Table5[[#This Row],[Standard cost]]</f>
        <v>0</v>
      </c>
      <c r="U194" s="15">
        <f>Table5[[#This Row],[Net Sales Revenue]]-Table5[[#This Row],[Cost of Sales]]</f>
        <v>38740</v>
      </c>
      <c r="V194" s="17">
        <f>Table5[[#This Row],[GrossProfit]]/Table5[[#This Row],[Net Sales Revenue]]</f>
        <v>0.45288753799392095</v>
      </c>
    </row>
    <row r="195" spans="1:22" ht="14.25" customHeight="1" x14ac:dyDescent="0.25">
      <c r="A195" s="1" t="s">
        <v>265</v>
      </c>
      <c r="B195" s="1" t="s">
        <v>252</v>
      </c>
      <c r="C195" s="1" t="s">
        <v>44</v>
      </c>
      <c r="D195" s="1" t="s">
        <v>19</v>
      </c>
      <c r="E195" s="1" t="s">
        <v>21</v>
      </c>
      <c r="F195" s="1">
        <v>1972</v>
      </c>
      <c r="G195" s="14">
        <v>18</v>
      </c>
      <c r="H195" s="1">
        <v>7.0000000000000007E-2</v>
      </c>
      <c r="I195" s="14">
        <v>33011.279999999999</v>
      </c>
      <c r="J195" s="14">
        <v>17748</v>
      </c>
      <c r="K195" s="15">
        <f>Table5[[#This Row],[Selling Price]]*Table5[[#This Row],[Units Sold]]</f>
        <v>35496</v>
      </c>
      <c r="L195" t="str">
        <f t="shared" si="3"/>
        <v>2023-05</v>
      </c>
      <c r="M195" t="str">
        <f>VLOOKUP(Table5[[#This Row],[Store ID]],Table4[[Store ID]:[Store Location]],2)</f>
        <v>Birmingham</v>
      </c>
      <c r="N195" t="str">
        <f>VLOOKUP(Table5[[#This Row],[Store ID]],Table4[[Store ID]:[Region]],3)</f>
        <v>Midlands</v>
      </c>
      <c r="O195" t="str">
        <f>VLOOKUP(Table5[[#This Row],[Product ID]],'Product Master'!$A$2:$D$10,4)</f>
        <v>Supplier D</v>
      </c>
      <c r="P195" s="15">
        <f>Table5[[#This Row],[Total Revenue]]-Table5[[#This Row],[Net Sales Revenue]]</f>
        <v>2484.7200000000012</v>
      </c>
      <c r="Q195" s="15">
        <f>Table5[[#This Row],[Net Sales Revenue]]/Table5[[#This Row],[Units Sold]]</f>
        <v>16.739999999999998</v>
      </c>
      <c r="R195">
        <f>VLOOKUP(Table5[[#This Row],[Product ID]],'Product Master'!$A$1:$E$10,5,FALSE)</f>
        <v>9</v>
      </c>
      <c r="S195" s="15">
        <f>Table5[[#This Row],[standard product cost per unit]]*Table5[[#This Row],[Units Sold]]</f>
        <v>17748</v>
      </c>
      <c r="T195" s="15">
        <f>Table5[[#This Row],[Cost of Sales]]-Table5[[#This Row],[Standard cost]]</f>
        <v>0</v>
      </c>
      <c r="U195" s="15">
        <f>Table5[[#This Row],[Net Sales Revenue]]-Table5[[#This Row],[Cost of Sales]]</f>
        <v>15263.279999999999</v>
      </c>
      <c r="V195" s="17">
        <f>Table5[[#This Row],[GrossProfit]]/Table5[[#This Row],[Net Sales Revenue]]</f>
        <v>0.46236559139784944</v>
      </c>
    </row>
    <row r="196" spans="1:22" ht="14.25" customHeight="1" x14ac:dyDescent="0.25">
      <c r="A196" s="1" t="s">
        <v>266</v>
      </c>
      <c r="B196" s="1" t="s">
        <v>252</v>
      </c>
      <c r="C196" s="1" t="s">
        <v>44</v>
      </c>
      <c r="D196" s="1" t="s">
        <v>23</v>
      </c>
      <c r="E196" s="1" t="s">
        <v>21</v>
      </c>
      <c r="F196" s="1">
        <v>1952</v>
      </c>
      <c r="G196" s="14">
        <v>30</v>
      </c>
      <c r="H196" s="1">
        <v>0.1</v>
      </c>
      <c r="I196" s="14">
        <v>52704</v>
      </c>
      <c r="J196" s="14">
        <v>27328</v>
      </c>
      <c r="K196" s="15">
        <f>Table5[[#This Row],[Selling Price]]*Table5[[#This Row],[Units Sold]]</f>
        <v>58560</v>
      </c>
      <c r="L196" t="str">
        <f t="shared" si="3"/>
        <v>2023-05</v>
      </c>
      <c r="M196" t="str">
        <f>VLOOKUP(Table5[[#This Row],[Store ID]],Table4[[Store ID]:[Store Location]],2)</f>
        <v>Birmingham</v>
      </c>
      <c r="N196" t="str">
        <f>VLOOKUP(Table5[[#This Row],[Store ID]],Table4[[Store ID]:[Region]],3)</f>
        <v>Midlands</v>
      </c>
      <c r="O196" t="str">
        <f>VLOOKUP(Table5[[#This Row],[Product ID]],'Product Master'!$A$2:$D$10,4)</f>
        <v>Supplier D</v>
      </c>
      <c r="P196" s="15">
        <f>Table5[[#This Row],[Total Revenue]]-Table5[[#This Row],[Net Sales Revenue]]</f>
        <v>5856</v>
      </c>
      <c r="Q196" s="15">
        <f>Table5[[#This Row],[Net Sales Revenue]]/Table5[[#This Row],[Units Sold]]</f>
        <v>27</v>
      </c>
      <c r="R196">
        <f>VLOOKUP(Table5[[#This Row],[Product ID]],'Product Master'!$A$1:$E$10,5,FALSE)</f>
        <v>14</v>
      </c>
      <c r="S196" s="15">
        <f>Table5[[#This Row],[standard product cost per unit]]*Table5[[#This Row],[Units Sold]]</f>
        <v>27328</v>
      </c>
      <c r="T196" s="15">
        <f>Table5[[#This Row],[Cost of Sales]]-Table5[[#This Row],[Standard cost]]</f>
        <v>0</v>
      </c>
      <c r="U196" s="15">
        <f>Table5[[#This Row],[Net Sales Revenue]]-Table5[[#This Row],[Cost of Sales]]</f>
        <v>25376</v>
      </c>
      <c r="V196" s="17">
        <f>Table5[[#This Row],[GrossProfit]]/Table5[[#This Row],[Net Sales Revenue]]</f>
        <v>0.48148148148148145</v>
      </c>
    </row>
    <row r="197" spans="1:22" ht="14.25" customHeight="1" x14ac:dyDescent="0.25">
      <c r="A197" s="1" t="s">
        <v>267</v>
      </c>
      <c r="B197" s="1" t="s">
        <v>252</v>
      </c>
      <c r="C197" s="1" t="s">
        <v>44</v>
      </c>
      <c r="D197" s="1" t="s">
        <v>25</v>
      </c>
      <c r="E197" s="1" t="s">
        <v>27</v>
      </c>
      <c r="F197" s="1">
        <v>1220</v>
      </c>
      <c r="G197" s="14">
        <v>40</v>
      </c>
      <c r="H197" s="1">
        <v>0.06</v>
      </c>
      <c r="I197" s="14">
        <v>45872</v>
      </c>
      <c r="J197" s="14">
        <v>24400</v>
      </c>
      <c r="K197" s="15">
        <f>Table5[[#This Row],[Selling Price]]*Table5[[#This Row],[Units Sold]]</f>
        <v>48800</v>
      </c>
      <c r="L197" t="str">
        <f t="shared" si="3"/>
        <v>2023-05</v>
      </c>
      <c r="M197" t="str">
        <f>VLOOKUP(Table5[[#This Row],[Store ID]],Table4[[Store ID]:[Store Location]],2)</f>
        <v>Birmingham</v>
      </c>
      <c r="N197" t="str">
        <f>VLOOKUP(Table5[[#This Row],[Store ID]],Table4[[Store ID]:[Region]],3)</f>
        <v>Midlands</v>
      </c>
      <c r="O197" t="str">
        <f>VLOOKUP(Table5[[#This Row],[Product ID]],'Product Master'!$A$2:$D$10,4)</f>
        <v>Supplier E</v>
      </c>
      <c r="P197" s="15">
        <f>Table5[[#This Row],[Total Revenue]]-Table5[[#This Row],[Net Sales Revenue]]</f>
        <v>2928</v>
      </c>
      <c r="Q197" s="15">
        <f>Table5[[#This Row],[Net Sales Revenue]]/Table5[[#This Row],[Units Sold]]</f>
        <v>37.6</v>
      </c>
      <c r="R197">
        <f>VLOOKUP(Table5[[#This Row],[Product ID]],'Product Master'!$A$1:$E$10,5,FALSE)</f>
        <v>20</v>
      </c>
      <c r="S197" s="15">
        <f>Table5[[#This Row],[standard product cost per unit]]*Table5[[#This Row],[Units Sold]]</f>
        <v>24400</v>
      </c>
      <c r="T197" s="15">
        <f>Table5[[#This Row],[Cost of Sales]]-Table5[[#This Row],[Standard cost]]</f>
        <v>0</v>
      </c>
      <c r="U197" s="15">
        <f>Table5[[#This Row],[Net Sales Revenue]]-Table5[[#This Row],[Cost of Sales]]</f>
        <v>21472</v>
      </c>
      <c r="V197" s="17">
        <f>Table5[[#This Row],[GrossProfit]]/Table5[[#This Row],[Net Sales Revenue]]</f>
        <v>0.46808510638297873</v>
      </c>
    </row>
    <row r="198" spans="1:22" ht="14.25" customHeight="1" x14ac:dyDescent="0.25">
      <c r="A198" s="1" t="s">
        <v>268</v>
      </c>
      <c r="B198" s="1" t="s">
        <v>252</v>
      </c>
      <c r="C198" s="1" t="s">
        <v>44</v>
      </c>
      <c r="D198" s="1" t="s">
        <v>29</v>
      </c>
      <c r="E198" s="1" t="s">
        <v>31</v>
      </c>
      <c r="F198" s="1">
        <v>2464</v>
      </c>
      <c r="G198" s="14">
        <v>10</v>
      </c>
      <c r="H198" s="1">
        <v>0.1</v>
      </c>
      <c r="I198" s="14">
        <v>22176</v>
      </c>
      <c r="J198" s="14">
        <v>9856</v>
      </c>
      <c r="K198" s="15">
        <f>Table5[[#This Row],[Selling Price]]*Table5[[#This Row],[Units Sold]]</f>
        <v>24640</v>
      </c>
      <c r="L198" t="str">
        <f t="shared" si="3"/>
        <v>2023-05</v>
      </c>
      <c r="M198" t="str">
        <f>VLOOKUP(Table5[[#This Row],[Store ID]],Table4[[Store ID]:[Store Location]],2)</f>
        <v>Birmingham</v>
      </c>
      <c r="N198" t="str">
        <f>VLOOKUP(Table5[[#This Row],[Store ID]],Table4[[Store ID]:[Region]],3)</f>
        <v>Midlands</v>
      </c>
      <c r="O198" t="str">
        <f>VLOOKUP(Table5[[#This Row],[Product ID]],'Product Master'!$A$2:$D$10,4)</f>
        <v>Supplier F</v>
      </c>
      <c r="P198" s="15">
        <f>Table5[[#This Row],[Total Revenue]]-Table5[[#This Row],[Net Sales Revenue]]</f>
        <v>2464</v>
      </c>
      <c r="Q198" s="15">
        <f>Table5[[#This Row],[Net Sales Revenue]]/Table5[[#This Row],[Units Sold]]</f>
        <v>9</v>
      </c>
      <c r="R198">
        <f>VLOOKUP(Table5[[#This Row],[Product ID]],'Product Master'!$A$1:$E$10,5,FALSE)</f>
        <v>4</v>
      </c>
      <c r="S198" s="15">
        <f>Table5[[#This Row],[standard product cost per unit]]*Table5[[#This Row],[Units Sold]]</f>
        <v>9856</v>
      </c>
      <c r="T198" s="15">
        <f>Table5[[#This Row],[Cost of Sales]]-Table5[[#This Row],[Standard cost]]</f>
        <v>0</v>
      </c>
      <c r="U198" s="15">
        <f>Table5[[#This Row],[Net Sales Revenue]]-Table5[[#This Row],[Cost of Sales]]</f>
        <v>12320</v>
      </c>
      <c r="V198" s="17">
        <f>Table5[[#This Row],[GrossProfit]]/Table5[[#This Row],[Net Sales Revenue]]</f>
        <v>0.55555555555555558</v>
      </c>
    </row>
    <row r="199" spans="1:22" ht="14.25" customHeight="1" x14ac:dyDescent="0.25">
      <c r="A199" s="1" t="s">
        <v>269</v>
      </c>
      <c r="B199" s="1" t="s">
        <v>252</v>
      </c>
      <c r="C199" s="1" t="s">
        <v>44</v>
      </c>
      <c r="D199" s="1" t="s">
        <v>33</v>
      </c>
      <c r="E199" s="1" t="s">
        <v>31</v>
      </c>
      <c r="F199" s="1">
        <v>2628</v>
      </c>
      <c r="G199" s="14">
        <v>22</v>
      </c>
      <c r="H199" s="1">
        <v>0.05</v>
      </c>
      <c r="I199" s="14">
        <v>54925.2</v>
      </c>
      <c r="J199" s="14">
        <v>26280</v>
      </c>
      <c r="K199" s="15">
        <f>Table5[[#This Row],[Selling Price]]*Table5[[#This Row],[Units Sold]]</f>
        <v>57816</v>
      </c>
      <c r="L199" t="str">
        <f t="shared" si="3"/>
        <v>2023-05</v>
      </c>
      <c r="M199" t="str">
        <f>VLOOKUP(Table5[[#This Row],[Store ID]],Table4[[Store ID]:[Store Location]],2)</f>
        <v>Birmingham</v>
      </c>
      <c r="N199" t="str">
        <f>VLOOKUP(Table5[[#This Row],[Store ID]],Table4[[Store ID]:[Region]],3)</f>
        <v>Midlands</v>
      </c>
      <c r="O199" t="str">
        <f>VLOOKUP(Table5[[#This Row],[Product ID]],'Product Master'!$A$2:$D$10,4)</f>
        <v>Supplier F</v>
      </c>
      <c r="P199" s="15">
        <f>Table5[[#This Row],[Total Revenue]]-Table5[[#This Row],[Net Sales Revenue]]</f>
        <v>2890.8000000000029</v>
      </c>
      <c r="Q199" s="15">
        <f>Table5[[#This Row],[Net Sales Revenue]]/Table5[[#This Row],[Units Sold]]</f>
        <v>20.9</v>
      </c>
      <c r="R199">
        <f>VLOOKUP(Table5[[#This Row],[Product ID]],'Product Master'!$A$1:$E$10,5,FALSE)</f>
        <v>10</v>
      </c>
      <c r="S199" s="15">
        <f>Table5[[#This Row],[standard product cost per unit]]*Table5[[#This Row],[Units Sold]]</f>
        <v>26280</v>
      </c>
      <c r="T199" s="15">
        <f>Table5[[#This Row],[Cost of Sales]]-Table5[[#This Row],[Standard cost]]</f>
        <v>0</v>
      </c>
      <c r="U199" s="15">
        <f>Table5[[#This Row],[Net Sales Revenue]]-Table5[[#This Row],[Cost of Sales]]</f>
        <v>28645.199999999997</v>
      </c>
      <c r="V199" s="17">
        <f>Table5[[#This Row],[GrossProfit]]/Table5[[#This Row],[Net Sales Revenue]]</f>
        <v>0.52153110047846885</v>
      </c>
    </row>
    <row r="200" spans="1:22" ht="14.25" customHeight="1" x14ac:dyDescent="0.25">
      <c r="A200" s="1" t="s">
        <v>270</v>
      </c>
      <c r="B200" s="1" t="s">
        <v>252</v>
      </c>
      <c r="C200" s="1" t="s">
        <v>48</v>
      </c>
      <c r="D200" s="1" t="s">
        <v>6</v>
      </c>
      <c r="E200" s="1" t="s">
        <v>8</v>
      </c>
      <c r="F200" s="1">
        <v>2276</v>
      </c>
      <c r="G200" s="14">
        <v>24</v>
      </c>
      <c r="H200" s="1">
        <v>7.0000000000000007E-2</v>
      </c>
      <c r="I200" s="14">
        <v>50800.32</v>
      </c>
      <c r="J200" s="14">
        <v>27312</v>
      </c>
      <c r="K200" s="15">
        <f>Table5[[#This Row],[Selling Price]]*Table5[[#This Row],[Units Sold]]</f>
        <v>54624</v>
      </c>
      <c r="L200" t="str">
        <f t="shared" si="3"/>
        <v>2023-05</v>
      </c>
      <c r="M200" t="str">
        <f>VLOOKUP(Table5[[#This Row],[Store ID]],Table4[[Store ID]:[Store Location]],2)</f>
        <v>London Stratford</v>
      </c>
      <c r="N200" t="str">
        <f>VLOOKUP(Table5[[#This Row],[Store ID]],Table4[[Store ID]:[Region]],3)</f>
        <v>South</v>
      </c>
      <c r="O200" t="str">
        <f>VLOOKUP(Table5[[#This Row],[Product ID]],'Product Master'!$A$2:$D$10,4)</f>
        <v>Supplier A</v>
      </c>
      <c r="P200" s="15">
        <f>Table5[[#This Row],[Total Revenue]]-Table5[[#This Row],[Net Sales Revenue]]</f>
        <v>3823.6800000000003</v>
      </c>
      <c r="Q200" s="15">
        <f>Table5[[#This Row],[Net Sales Revenue]]/Table5[[#This Row],[Units Sold]]</f>
        <v>22.32</v>
      </c>
      <c r="R200">
        <f>VLOOKUP(Table5[[#This Row],[Product ID]],'Product Master'!$A$1:$E$10,5,FALSE)</f>
        <v>12</v>
      </c>
      <c r="S200" s="15">
        <f>Table5[[#This Row],[standard product cost per unit]]*Table5[[#This Row],[Units Sold]]</f>
        <v>27312</v>
      </c>
      <c r="T200" s="15">
        <f>Table5[[#This Row],[Cost of Sales]]-Table5[[#This Row],[Standard cost]]</f>
        <v>0</v>
      </c>
      <c r="U200" s="15">
        <f>Table5[[#This Row],[Net Sales Revenue]]-Table5[[#This Row],[Cost of Sales]]</f>
        <v>23488.32</v>
      </c>
      <c r="V200" s="17">
        <f>Table5[[#This Row],[GrossProfit]]/Table5[[#This Row],[Net Sales Revenue]]</f>
        <v>0.46236559139784944</v>
      </c>
    </row>
    <row r="201" spans="1:22" ht="14.25" customHeight="1" x14ac:dyDescent="0.25">
      <c r="A201" s="1" t="s">
        <v>271</v>
      </c>
      <c r="B201" s="1" t="s">
        <v>252</v>
      </c>
      <c r="C201" s="1" t="s">
        <v>48</v>
      </c>
      <c r="D201" s="1" t="s">
        <v>10</v>
      </c>
      <c r="E201" s="1" t="s">
        <v>8</v>
      </c>
      <c r="F201" s="1">
        <v>1480</v>
      </c>
      <c r="G201" s="14">
        <v>50</v>
      </c>
      <c r="H201" s="1">
        <v>7.0000000000000007E-2</v>
      </c>
      <c r="I201" s="14">
        <v>68820</v>
      </c>
      <c r="J201" s="14">
        <v>41440</v>
      </c>
      <c r="K201" s="15">
        <f>Table5[[#This Row],[Selling Price]]*Table5[[#This Row],[Units Sold]]</f>
        <v>74000</v>
      </c>
      <c r="L201" t="str">
        <f t="shared" si="3"/>
        <v>2023-05</v>
      </c>
      <c r="M201" t="str">
        <f>VLOOKUP(Table5[[#This Row],[Store ID]],Table4[[Store ID]:[Store Location]],2)</f>
        <v>London Stratford</v>
      </c>
      <c r="N201" t="str">
        <f>VLOOKUP(Table5[[#This Row],[Store ID]],Table4[[Store ID]:[Region]],3)</f>
        <v>South</v>
      </c>
      <c r="O201" t="str">
        <f>VLOOKUP(Table5[[#This Row],[Product ID]],'Product Master'!$A$2:$D$10,4)</f>
        <v>Supplier B</v>
      </c>
      <c r="P201" s="15">
        <f>Table5[[#This Row],[Total Revenue]]-Table5[[#This Row],[Net Sales Revenue]]</f>
        <v>5180</v>
      </c>
      <c r="Q201" s="15">
        <f>Table5[[#This Row],[Net Sales Revenue]]/Table5[[#This Row],[Units Sold]]</f>
        <v>46.5</v>
      </c>
      <c r="R201">
        <f>VLOOKUP(Table5[[#This Row],[Product ID]],'Product Master'!$A$1:$E$10,5,FALSE)</f>
        <v>28</v>
      </c>
      <c r="S201" s="15">
        <f>Table5[[#This Row],[standard product cost per unit]]*Table5[[#This Row],[Units Sold]]</f>
        <v>41440</v>
      </c>
      <c r="T201" s="15">
        <f>Table5[[#This Row],[Cost of Sales]]-Table5[[#This Row],[Standard cost]]</f>
        <v>0</v>
      </c>
      <c r="U201" s="15">
        <f>Table5[[#This Row],[Net Sales Revenue]]-Table5[[#This Row],[Cost of Sales]]</f>
        <v>27380</v>
      </c>
      <c r="V201" s="17">
        <f>Table5[[#This Row],[GrossProfit]]/Table5[[#This Row],[Net Sales Revenue]]</f>
        <v>0.39784946236559138</v>
      </c>
    </row>
    <row r="202" spans="1:22" ht="14.25" customHeight="1" x14ac:dyDescent="0.25">
      <c r="A202" s="1" t="s">
        <v>272</v>
      </c>
      <c r="B202" s="1" t="s">
        <v>252</v>
      </c>
      <c r="C202" s="1" t="s">
        <v>48</v>
      </c>
      <c r="D202" s="1" t="s">
        <v>13</v>
      </c>
      <c r="E202" s="1" t="s">
        <v>15</v>
      </c>
      <c r="F202" s="1">
        <v>1892</v>
      </c>
      <c r="G202" s="14">
        <v>28</v>
      </c>
      <c r="H202" s="1">
        <v>7.0000000000000007E-2</v>
      </c>
      <c r="I202" s="14">
        <v>49267.68</v>
      </c>
      <c r="J202" s="14">
        <v>28380</v>
      </c>
      <c r="K202" s="15">
        <f>Table5[[#This Row],[Selling Price]]*Table5[[#This Row],[Units Sold]]</f>
        <v>52976</v>
      </c>
      <c r="L202" t="str">
        <f t="shared" si="3"/>
        <v>2023-05</v>
      </c>
      <c r="M202" t="str">
        <f>VLOOKUP(Table5[[#This Row],[Store ID]],Table4[[Store ID]:[Store Location]],2)</f>
        <v>London Stratford</v>
      </c>
      <c r="N202" t="str">
        <f>VLOOKUP(Table5[[#This Row],[Store ID]],Table4[[Store ID]:[Region]],3)</f>
        <v>South</v>
      </c>
      <c r="O202" t="str">
        <f>VLOOKUP(Table5[[#This Row],[Product ID]],'Product Master'!$A$2:$D$10,4)</f>
        <v>Supplier C</v>
      </c>
      <c r="P202" s="15">
        <f>Table5[[#This Row],[Total Revenue]]-Table5[[#This Row],[Net Sales Revenue]]</f>
        <v>3708.3199999999997</v>
      </c>
      <c r="Q202" s="15">
        <f>Table5[[#This Row],[Net Sales Revenue]]/Table5[[#This Row],[Units Sold]]</f>
        <v>26.04</v>
      </c>
      <c r="R202">
        <f>VLOOKUP(Table5[[#This Row],[Product ID]],'Product Master'!$A$1:$E$10,5,FALSE)</f>
        <v>15</v>
      </c>
      <c r="S202" s="15">
        <f>Table5[[#This Row],[standard product cost per unit]]*Table5[[#This Row],[Units Sold]]</f>
        <v>28380</v>
      </c>
      <c r="T202" s="15">
        <f>Table5[[#This Row],[Cost of Sales]]-Table5[[#This Row],[Standard cost]]</f>
        <v>0</v>
      </c>
      <c r="U202" s="15">
        <f>Table5[[#This Row],[Net Sales Revenue]]-Table5[[#This Row],[Cost of Sales]]</f>
        <v>20887.68</v>
      </c>
      <c r="V202" s="17">
        <f>Table5[[#This Row],[GrossProfit]]/Table5[[#This Row],[Net Sales Revenue]]</f>
        <v>0.42396313364055299</v>
      </c>
    </row>
    <row r="203" spans="1:22" ht="14.25" customHeight="1" x14ac:dyDescent="0.25">
      <c r="A203" s="1" t="s">
        <v>273</v>
      </c>
      <c r="B203" s="1" t="s">
        <v>252</v>
      </c>
      <c r="C203" s="1" t="s">
        <v>48</v>
      </c>
      <c r="D203" s="1" t="s">
        <v>17</v>
      </c>
      <c r="E203" s="1" t="s">
        <v>15</v>
      </c>
      <c r="F203" s="1">
        <v>1252</v>
      </c>
      <c r="G203" s="14">
        <v>35</v>
      </c>
      <c r="H203" s="1">
        <v>0.06</v>
      </c>
      <c r="I203" s="14">
        <v>41190.800000000003</v>
      </c>
      <c r="J203" s="14">
        <v>22536</v>
      </c>
      <c r="K203" s="15">
        <f>Table5[[#This Row],[Selling Price]]*Table5[[#This Row],[Units Sold]]</f>
        <v>43820</v>
      </c>
      <c r="L203" t="str">
        <f t="shared" si="3"/>
        <v>2023-05</v>
      </c>
      <c r="M203" t="str">
        <f>VLOOKUP(Table5[[#This Row],[Store ID]],Table4[[Store ID]:[Store Location]],2)</f>
        <v>London Stratford</v>
      </c>
      <c r="N203" t="str">
        <f>VLOOKUP(Table5[[#This Row],[Store ID]],Table4[[Store ID]:[Region]],3)</f>
        <v>South</v>
      </c>
      <c r="O203" t="str">
        <f>VLOOKUP(Table5[[#This Row],[Product ID]],'Product Master'!$A$2:$D$10,4)</f>
        <v>Supplier C</v>
      </c>
      <c r="P203" s="15">
        <f>Table5[[#This Row],[Total Revenue]]-Table5[[#This Row],[Net Sales Revenue]]</f>
        <v>2629.1999999999971</v>
      </c>
      <c r="Q203" s="15">
        <f>Table5[[#This Row],[Net Sales Revenue]]/Table5[[#This Row],[Units Sold]]</f>
        <v>32.900000000000006</v>
      </c>
      <c r="R203">
        <f>VLOOKUP(Table5[[#This Row],[Product ID]],'Product Master'!$A$1:$E$10,5,FALSE)</f>
        <v>18</v>
      </c>
      <c r="S203" s="15">
        <f>Table5[[#This Row],[standard product cost per unit]]*Table5[[#This Row],[Units Sold]]</f>
        <v>22536</v>
      </c>
      <c r="T203" s="15">
        <f>Table5[[#This Row],[Cost of Sales]]-Table5[[#This Row],[Standard cost]]</f>
        <v>0</v>
      </c>
      <c r="U203" s="15">
        <f>Table5[[#This Row],[Net Sales Revenue]]-Table5[[#This Row],[Cost of Sales]]</f>
        <v>18654.800000000003</v>
      </c>
      <c r="V203" s="17">
        <f>Table5[[#This Row],[GrossProfit]]/Table5[[#This Row],[Net Sales Revenue]]</f>
        <v>0.45288753799392101</v>
      </c>
    </row>
    <row r="204" spans="1:22" ht="14.25" customHeight="1" x14ac:dyDescent="0.25">
      <c r="A204" s="1" t="s">
        <v>274</v>
      </c>
      <c r="B204" s="1" t="s">
        <v>252</v>
      </c>
      <c r="C204" s="1" t="s">
        <v>48</v>
      </c>
      <c r="D204" s="1" t="s">
        <v>19</v>
      </c>
      <c r="E204" s="1" t="s">
        <v>21</v>
      </c>
      <c r="F204" s="1">
        <v>1536</v>
      </c>
      <c r="G204" s="14">
        <v>18</v>
      </c>
      <c r="H204" s="1">
        <v>0.06</v>
      </c>
      <c r="I204" s="14">
        <v>25989.119999999999</v>
      </c>
      <c r="J204" s="14">
        <v>13824</v>
      </c>
      <c r="K204" s="15">
        <f>Table5[[#This Row],[Selling Price]]*Table5[[#This Row],[Units Sold]]</f>
        <v>27648</v>
      </c>
      <c r="L204" t="str">
        <f t="shared" si="3"/>
        <v>2023-05</v>
      </c>
      <c r="M204" t="str">
        <f>VLOOKUP(Table5[[#This Row],[Store ID]],Table4[[Store ID]:[Store Location]],2)</f>
        <v>London Stratford</v>
      </c>
      <c r="N204" t="str">
        <f>VLOOKUP(Table5[[#This Row],[Store ID]],Table4[[Store ID]:[Region]],3)</f>
        <v>South</v>
      </c>
      <c r="O204" t="str">
        <f>VLOOKUP(Table5[[#This Row],[Product ID]],'Product Master'!$A$2:$D$10,4)</f>
        <v>Supplier D</v>
      </c>
      <c r="P204" s="15">
        <f>Table5[[#This Row],[Total Revenue]]-Table5[[#This Row],[Net Sales Revenue]]</f>
        <v>1658.880000000001</v>
      </c>
      <c r="Q204" s="15">
        <f>Table5[[#This Row],[Net Sales Revenue]]/Table5[[#This Row],[Units Sold]]</f>
        <v>16.919999999999998</v>
      </c>
      <c r="R204">
        <f>VLOOKUP(Table5[[#This Row],[Product ID]],'Product Master'!$A$1:$E$10,5,FALSE)</f>
        <v>9</v>
      </c>
      <c r="S204" s="15">
        <f>Table5[[#This Row],[standard product cost per unit]]*Table5[[#This Row],[Units Sold]]</f>
        <v>13824</v>
      </c>
      <c r="T204" s="15">
        <f>Table5[[#This Row],[Cost of Sales]]-Table5[[#This Row],[Standard cost]]</f>
        <v>0</v>
      </c>
      <c r="U204" s="15">
        <f>Table5[[#This Row],[Net Sales Revenue]]-Table5[[#This Row],[Cost of Sales]]</f>
        <v>12165.119999999999</v>
      </c>
      <c r="V204" s="17">
        <f>Table5[[#This Row],[GrossProfit]]/Table5[[#This Row],[Net Sales Revenue]]</f>
        <v>0.46808510638297868</v>
      </c>
    </row>
    <row r="205" spans="1:22" ht="14.25" customHeight="1" x14ac:dyDescent="0.25">
      <c r="A205" s="1" t="s">
        <v>275</v>
      </c>
      <c r="B205" s="1" t="s">
        <v>252</v>
      </c>
      <c r="C205" s="1" t="s">
        <v>48</v>
      </c>
      <c r="D205" s="1" t="s">
        <v>23</v>
      </c>
      <c r="E205" s="1" t="s">
        <v>21</v>
      </c>
      <c r="F205" s="1">
        <v>1440</v>
      </c>
      <c r="G205" s="14">
        <v>30</v>
      </c>
      <c r="H205" s="1">
        <v>0.08</v>
      </c>
      <c r="I205" s="14">
        <v>39744</v>
      </c>
      <c r="J205" s="14">
        <v>20160</v>
      </c>
      <c r="K205" s="15">
        <f>Table5[[#This Row],[Selling Price]]*Table5[[#This Row],[Units Sold]]</f>
        <v>43200</v>
      </c>
      <c r="L205" t="str">
        <f t="shared" si="3"/>
        <v>2023-05</v>
      </c>
      <c r="M205" t="str">
        <f>VLOOKUP(Table5[[#This Row],[Store ID]],Table4[[Store ID]:[Store Location]],2)</f>
        <v>London Stratford</v>
      </c>
      <c r="N205" t="str">
        <f>VLOOKUP(Table5[[#This Row],[Store ID]],Table4[[Store ID]:[Region]],3)</f>
        <v>South</v>
      </c>
      <c r="O205" t="str">
        <f>VLOOKUP(Table5[[#This Row],[Product ID]],'Product Master'!$A$2:$D$10,4)</f>
        <v>Supplier D</v>
      </c>
      <c r="P205" s="15">
        <f>Table5[[#This Row],[Total Revenue]]-Table5[[#This Row],[Net Sales Revenue]]</f>
        <v>3456</v>
      </c>
      <c r="Q205" s="15">
        <f>Table5[[#This Row],[Net Sales Revenue]]/Table5[[#This Row],[Units Sold]]</f>
        <v>27.6</v>
      </c>
      <c r="R205">
        <f>VLOOKUP(Table5[[#This Row],[Product ID]],'Product Master'!$A$1:$E$10,5,FALSE)</f>
        <v>14</v>
      </c>
      <c r="S205" s="15">
        <f>Table5[[#This Row],[standard product cost per unit]]*Table5[[#This Row],[Units Sold]]</f>
        <v>20160</v>
      </c>
      <c r="T205" s="15">
        <f>Table5[[#This Row],[Cost of Sales]]-Table5[[#This Row],[Standard cost]]</f>
        <v>0</v>
      </c>
      <c r="U205" s="15">
        <f>Table5[[#This Row],[Net Sales Revenue]]-Table5[[#This Row],[Cost of Sales]]</f>
        <v>19584</v>
      </c>
      <c r="V205" s="17">
        <f>Table5[[#This Row],[GrossProfit]]/Table5[[#This Row],[Net Sales Revenue]]</f>
        <v>0.49275362318840582</v>
      </c>
    </row>
    <row r="206" spans="1:22" ht="14.25" customHeight="1" x14ac:dyDescent="0.25">
      <c r="A206" s="1" t="s">
        <v>276</v>
      </c>
      <c r="B206" s="1" t="s">
        <v>252</v>
      </c>
      <c r="C206" s="1" t="s">
        <v>48</v>
      </c>
      <c r="D206" s="1" t="s">
        <v>25</v>
      </c>
      <c r="E206" s="1" t="s">
        <v>27</v>
      </c>
      <c r="F206" s="1">
        <v>2580</v>
      </c>
      <c r="G206" s="14">
        <v>40</v>
      </c>
      <c r="H206" s="1">
        <v>0.08</v>
      </c>
      <c r="I206" s="14">
        <v>94944</v>
      </c>
      <c r="J206" s="14">
        <v>51600</v>
      </c>
      <c r="K206" s="15">
        <f>Table5[[#This Row],[Selling Price]]*Table5[[#This Row],[Units Sold]]</f>
        <v>103200</v>
      </c>
      <c r="L206" t="str">
        <f t="shared" si="3"/>
        <v>2023-05</v>
      </c>
      <c r="M206" t="str">
        <f>VLOOKUP(Table5[[#This Row],[Store ID]],Table4[[Store ID]:[Store Location]],2)</f>
        <v>London Stratford</v>
      </c>
      <c r="N206" t="str">
        <f>VLOOKUP(Table5[[#This Row],[Store ID]],Table4[[Store ID]:[Region]],3)</f>
        <v>South</v>
      </c>
      <c r="O206" t="str">
        <f>VLOOKUP(Table5[[#This Row],[Product ID]],'Product Master'!$A$2:$D$10,4)</f>
        <v>Supplier E</v>
      </c>
      <c r="P206" s="15">
        <f>Table5[[#This Row],[Total Revenue]]-Table5[[#This Row],[Net Sales Revenue]]</f>
        <v>8256</v>
      </c>
      <c r="Q206" s="15">
        <f>Table5[[#This Row],[Net Sales Revenue]]/Table5[[#This Row],[Units Sold]]</f>
        <v>36.799999999999997</v>
      </c>
      <c r="R206">
        <f>VLOOKUP(Table5[[#This Row],[Product ID]],'Product Master'!$A$1:$E$10,5,FALSE)</f>
        <v>20</v>
      </c>
      <c r="S206" s="15">
        <f>Table5[[#This Row],[standard product cost per unit]]*Table5[[#This Row],[Units Sold]]</f>
        <v>51600</v>
      </c>
      <c r="T206" s="15">
        <f>Table5[[#This Row],[Cost of Sales]]-Table5[[#This Row],[Standard cost]]</f>
        <v>0</v>
      </c>
      <c r="U206" s="15">
        <f>Table5[[#This Row],[Net Sales Revenue]]-Table5[[#This Row],[Cost of Sales]]</f>
        <v>43344</v>
      </c>
      <c r="V206" s="17">
        <f>Table5[[#This Row],[GrossProfit]]/Table5[[#This Row],[Net Sales Revenue]]</f>
        <v>0.45652173913043476</v>
      </c>
    </row>
    <row r="207" spans="1:22" ht="14.25" customHeight="1" x14ac:dyDescent="0.25">
      <c r="A207" s="1" t="s">
        <v>277</v>
      </c>
      <c r="B207" s="1" t="s">
        <v>252</v>
      </c>
      <c r="C207" s="1" t="s">
        <v>48</v>
      </c>
      <c r="D207" s="1" t="s">
        <v>29</v>
      </c>
      <c r="E207" s="1" t="s">
        <v>31</v>
      </c>
      <c r="F207" s="1">
        <v>1208</v>
      </c>
      <c r="G207" s="14">
        <v>10</v>
      </c>
      <c r="H207" s="1">
        <v>0.08</v>
      </c>
      <c r="I207" s="14">
        <v>11113.6</v>
      </c>
      <c r="J207" s="14">
        <v>4832</v>
      </c>
      <c r="K207" s="15">
        <f>Table5[[#This Row],[Selling Price]]*Table5[[#This Row],[Units Sold]]</f>
        <v>12080</v>
      </c>
      <c r="L207" t="str">
        <f t="shared" si="3"/>
        <v>2023-05</v>
      </c>
      <c r="M207" t="str">
        <f>VLOOKUP(Table5[[#This Row],[Store ID]],Table4[[Store ID]:[Store Location]],2)</f>
        <v>London Stratford</v>
      </c>
      <c r="N207" t="str">
        <f>VLOOKUP(Table5[[#This Row],[Store ID]],Table4[[Store ID]:[Region]],3)</f>
        <v>South</v>
      </c>
      <c r="O207" t="str">
        <f>VLOOKUP(Table5[[#This Row],[Product ID]],'Product Master'!$A$2:$D$10,4)</f>
        <v>Supplier F</v>
      </c>
      <c r="P207" s="15">
        <f>Table5[[#This Row],[Total Revenue]]-Table5[[#This Row],[Net Sales Revenue]]</f>
        <v>966.39999999999964</v>
      </c>
      <c r="Q207" s="15">
        <f>Table5[[#This Row],[Net Sales Revenue]]/Table5[[#This Row],[Units Sold]]</f>
        <v>9.2000000000000011</v>
      </c>
      <c r="R207">
        <f>VLOOKUP(Table5[[#This Row],[Product ID]],'Product Master'!$A$1:$E$10,5,FALSE)</f>
        <v>4</v>
      </c>
      <c r="S207" s="15">
        <f>Table5[[#This Row],[standard product cost per unit]]*Table5[[#This Row],[Units Sold]]</f>
        <v>4832</v>
      </c>
      <c r="T207" s="15">
        <f>Table5[[#This Row],[Cost of Sales]]-Table5[[#This Row],[Standard cost]]</f>
        <v>0</v>
      </c>
      <c r="U207" s="15">
        <f>Table5[[#This Row],[Net Sales Revenue]]-Table5[[#This Row],[Cost of Sales]]</f>
        <v>6281.6</v>
      </c>
      <c r="V207" s="17">
        <f>Table5[[#This Row],[GrossProfit]]/Table5[[#This Row],[Net Sales Revenue]]</f>
        <v>0.56521739130434789</v>
      </c>
    </row>
    <row r="208" spans="1:22" ht="14.25" customHeight="1" x14ac:dyDescent="0.25">
      <c r="A208" s="1" t="s">
        <v>278</v>
      </c>
      <c r="B208" s="1" t="s">
        <v>252</v>
      </c>
      <c r="C208" s="1" t="s">
        <v>48</v>
      </c>
      <c r="D208" s="1" t="s">
        <v>33</v>
      </c>
      <c r="E208" s="1" t="s">
        <v>31</v>
      </c>
      <c r="F208" s="1">
        <v>2572</v>
      </c>
      <c r="G208" s="14">
        <v>22</v>
      </c>
      <c r="H208" s="1">
        <v>0.09</v>
      </c>
      <c r="I208" s="14">
        <v>51491.44</v>
      </c>
      <c r="J208" s="14">
        <v>25720</v>
      </c>
      <c r="K208" s="15">
        <f>Table5[[#This Row],[Selling Price]]*Table5[[#This Row],[Units Sold]]</f>
        <v>56584</v>
      </c>
      <c r="L208" t="str">
        <f t="shared" si="3"/>
        <v>2023-05</v>
      </c>
      <c r="M208" t="str">
        <f>VLOOKUP(Table5[[#This Row],[Store ID]],Table4[[Store ID]:[Store Location]],2)</f>
        <v>London Stratford</v>
      </c>
      <c r="N208" t="str">
        <f>VLOOKUP(Table5[[#This Row],[Store ID]],Table4[[Store ID]:[Region]],3)</f>
        <v>South</v>
      </c>
      <c r="O208" t="str">
        <f>VLOOKUP(Table5[[#This Row],[Product ID]],'Product Master'!$A$2:$D$10,4)</f>
        <v>Supplier F</v>
      </c>
      <c r="P208" s="15">
        <f>Table5[[#This Row],[Total Revenue]]-Table5[[#This Row],[Net Sales Revenue]]</f>
        <v>5092.5599999999977</v>
      </c>
      <c r="Q208" s="15">
        <f>Table5[[#This Row],[Net Sales Revenue]]/Table5[[#This Row],[Units Sold]]</f>
        <v>20.02</v>
      </c>
      <c r="R208">
        <f>VLOOKUP(Table5[[#This Row],[Product ID]],'Product Master'!$A$1:$E$10,5,FALSE)</f>
        <v>10</v>
      </c>
      <c r="S208" s="15">
        <f>Table5[[#This Row],[standard product cost per unit]]*Table5[[#This Row],[Units Sold]]</f>
        <v>25720</v>
      </c>
      <c r="T208" s="15">
        <f>Table5[[#This Row],[Cost of Sales]]-Table5[[#This Row],[Standard cost]]</f>
        <v>0</v>
      </c>
      <c r="U208" s="15">
        <f>Table5[[#This Row],[Net Sales Revenue]]-Table5[[#This Row],[Cost of Sales]]</f>
        <v>25771.440000000002</v>
      </c>
      <c r="V208" s="17">
        <f>Table5[[#This Row],[GrossProfit]]/Table5[[#This Row],[Net Sales Revenue]]</f>
        <v>0.50049950049950054</v>
      </c>
    </row>
    <row r="209" spans="1:22" ht="14.25" customHeight="1" x14ac:dyDescent="0.25">
      <c r="A209" s="1" t="s">
        <v>279</v>
      </c>
      <c r="B209" s="1" t="s">
        <v>252</v>
      </c>
      <c r="C209" s="1" t="s">
        <v>52</v>
      </c>
      <c r="D209" s="1" t="s">
        <v>6</v>
      </c>
      <c r="E209" s="1" t="s">
        <v>8</v>
      </c>
      <c r="F209" s="1">
        <v>2252</v>
      </c>
      <c r="G209" s="14">
        <v>24</v>
      </c>
      <c r="H209" s="1">
        <v>0.06</v>
      </c>
      <c r="I209" s="14">
        <v>50805.120000000003</v>
      </c>
      <c r="J209" s="14">
        <v>27024</v>
      </c>
      <c r="K209" s="15">
        <f>Table5[[#This Row],[Selling Price]]*Table5[[#This Row],[Units Sold]]</f>
        <v>54048</v>
      </c>
      <c r="L209" t="str">
        <f t="shared" si="3"/>
        <v>2023-05</v>
      </c>
      <c r="M209" t="str">
        <f>VLOOKUP(Table5[[#This Row],[Store ID]],Table4[[Store ID]:[Store Location]],2)</f>
        <v>Glasgow</v>
      </c>
      <c r="N209" t="str">
        <f>VLOOKUP(Table5[[#This Row],[Store ID]],Table4[[Store ID]:[Region]],3)</f>
        <v>Scotland</v>
      </c>
      <c r="O209" t="str">
        <f>VLOOKUP(Table5[[#This Row],[Product ID]],'Product Master'!$A$2:$D$10,4)</f>
        <v>Supplier A</v>
      </c>
      <c r="P209" s="15">
        <f>Table5[[#This Row],[Total Revenue]]-Table5[[#This Row],[Net Sales Revenue]]</f>
        <v>3242.8799999999974</v>
      </c>
      <c r="Q209" s="15">
        <f>Table5[[#This Row],[Net Sales Revenue]]/Table5[[#This Row],[Units Sold]]</f>
        <v>22.560000000000002</v>
      </c>
      <c r="R209">
        <f>VLOOKUP(Table5[[#This Row],[Product ID]],'Product Master'!$A$1:$E$10,5,FALSE)</f>
        <v>12</v>
      </c>
      <c r="S209" s="15">
        <f>Table5[[#This Row],[standard product cost per unit]]*Table5[[#This Row],[Units Sold]]</f>
        <v>27024</v>
      </c>
      <c r="T209" s="15">
        <f>Table5[[#This Row],[Cost of Sales]]-Table5[[#This Row],[Standard cost]]</f>
        <v>0</v>
      </c>
      <c r="U209" s="15">
        <f>Table5[[#This Row],[Net Sales Revenue]]-Table5[[#This Row],[Cost of Sales]]</f>
        <v>23781.120000000003</v>
      </c>
      <c r="V209" s="17">
        <f>Table5[[#This Row],[GrossProfit]]/Table5[[#This Row],[Net Sales Revenue]]</f>
        <v>0.46808510638297873</v>
      </c>
    </row>
    <row r="210" spans="1:22" ht="14.25" customHeight="1" x14ac:dyDescent="0.25">
      <c r="A210" s="1" t="s">
        <v>280</v>
      </c>
      <c r="B210" s="1" t="s">
        <v>252</v>
      </c>
      <c r="C210" s="1" t="s">
        <v>52</v>
      </c>
      <c r="D210" s="1" t="s">
        <v>10</v>
      </c>
      <c r="E210" s="1" t="s">
        <v>8</v>
      </c>
      <c r="F210" s="1">
        <v>1432</v>
      </c>
      <c r="G210" s="14">
        <v>50</v>
      </c>
      <c r="H210" s="1">
        <v>0.08</v>
      </c>
      <c r="I210" s="14">
        <v>65872</v>
      </c>
      <c r="J210" s="14">
        <v>40096</v>
      </c>
      <c r="K210" s="15">
        <f>Table5[[#This Row],[Selling Price]]*Table5[[#This Row],[Units Sold]]</f>
        <v>71600</v>
      </c>
      <c r="L210" t="str">
        <f t="shared" si="3"/>
        <v>2023-05</v>
      </c>
      <c r="M210" t="str">
        <f>VLOOKUP(Table5[[#This Row],[Store ID]],Table4[[Store ID]:[Store Location]],2)</f>
        <v>Glasgow</v>
      </c>
      <c r="N210" t="str">
        <f>VLOOKUP(Table5[[#This Row],[Store ID]],Table4[[Store ID]:[Region]],3)</f>
        <v>Scotland</v>
      </c>
      <c r="O210" t="str">
        <f>VLOOKUP(Table5[[#This Row],[Product ID]],'Product Master'!$A$2:$D$10,4)</f>
        <v>Supplier B</v>
      </c>
      <c r="P210" s="15">
        <f>Table5[[#This Row],[Total Revenue]]-Table5[[#This Row],[Net Sales Revenue]]</f>
        <v>5728</v>
      </c>
      <c r="Q210" s="15">
        <f>Table5[[#This Row],[Net Sales Revenue]]/Table5[[#This Row],[Units Sold]]</f>
        <v>46</v>
      </c>
      <c r="R210">
        <f>VLOOKUP(Table5[[#This Row],[Product ID]],'Product Master'!$A$1:$E$10,5,FALSE)</f>
        <v>28</v>
      </c>
      <c r="S210" s="15">
        <f>Table5[[#This Row],[standard product cost per unit]]*Table5[[#This Row],[Units Sold]]</f>
        <v>40096</v>
      </c>
      <c r="T210" s="15">
        <f>Table5[[#This Row],[Cost of Sales]]-Table5[[#This Row],[Standard cost]]</f>
        <v>0</v>
      </c>
      <c r="U210" s="15">
        <f>Table5[[#This Row],[Net Sales Revenue]]-Table5[[#This Row],[Cost of Sales]]</f>
        <v>25776</v>
      </c>
      <c r="V210" s="17">
        <f>Table5[[#This Row],[GrossProfit]]/Table5[[#This Row],[Net Sales Revenue]]</f>
        <v>0.39130434782608697</v>
      </c>
    </row>
    <row r="211" spans="1:22" ht="14.25" customHeight="1" x14ac:dyDescent="0.25">
      <c r="A211" s="1" t="s">
        <v>281</v>
      </c>
      <c r="B211" s="1" t="s">
        <v>252</v>
      </c>
      <c r="C211" s="1" t="s">
        <v>52</v>
      </c>
      <c r="D211" s="1" t="s">
        <v>13</v>
      </c>
      <c r="E211" s="1" t="s">
        <v>15</v>
      </c>
      <c r="F211" s="1">
        <v>1652</v>
      </c>
      <c r="G211" s="14">
        <v>28</v>
      </c>
      <c r="H211" s="1">
        <v>0.08</v>
      </c>
      <c r="I211" s="14">
        <v>42555.519999999997</v>
      </c>
      <c r="J211" s="14">
        <v>24780</v>
      </c>
      <c r="K211" s="15">
        <f>Table5[[#This Row],[Selling Price]]*Table5[[#This Row],[Units Sold]]</f>
        <v>46256</v>
      </c>
      <c r="L211" t="str">
        <f t="shared" si="3"/>
        <v>2023-05</v>
      </c>
      <c r="M211" t="str">
        <f>VLOOKUP(Table5[[#This Row],[Store ID]],Table4[[Store ID]:[Store Location]],2)</f>
        <v>Glasgow</v>
      </c>
      <c r="N211" t="str">
        <f>VLOOKUP(Table5[[#This Row],[Store ID]],Table4[[Store ID]:[Region]],3)</f>
        <v>Scotland</v>
      </c>
      <c r="O211" t="str">
        <f>VLOOKUP(Table5[[#This Row],[Product ID]],'Product Master'!$A$2:$D$10,4)</f>
        <v>Supplier C</v>
      </c>
      <c r="P211" s="15">
        <f>Table5[[#This Row],[Total Revenue]]-Table5[[#This Row],[Net Sales Revenue]]</f>
        <v>3700.4800000000032</v>
      </c>
      <c r="Q211" s="15">
        <f>Table5[[#This Row],[Net Sales Revenue]]/Table5[[#This Row],[Units Sold]]</f>
        <v>25.759999999999998</v>
      </c>
      <c r="R211">
        <f>VLOOKUP(Table5[[#This Row],[Product ID]],'Product Master'!$A$1:$E$10,5,FALSE)</f>
        <v>15</v>
      </c>
      <c r="S211" s="15">
        <f>Table5[[#This Row],[standard product cost per unit]]*Table5[[#This Row],[Units Sold]]</f>
        <v>24780</v>
      </c>
      <c r="T211" s="15">
        <f>Table5[[#This Row],[Cost of Sales]]-Table5[[#This Row],[Standard cost]]</f>
        <v>0</v>
      </c>
      <c r="U211" s="15">
        <f>Table5[[#This Row],[Net Sales Revenue]]-Table5[[#This Row],[Cost of Sales]]</f>
        <v>17775.519999999997</v>
      </c>
      <c r="V211" s="17">
        <f>Table5[[#This Row],[GrossProfit]]/Table5[[#This Row],[Net Sales Revenue]]</f>
        <v>0.41770186335403725</v>
      </c>
    </row>
    <row r="212" spans="1:22" ht="14.25" customHeight="1" x14ac:dyDescent="0.25">
      <c r="A212" s="1" t="s">
        <v>282</v>
      </c>
      <c r="B212" s="1" t="s">
        <v>252</v>
      </c>
      <c r="C212" s="1" t="s">
        <v>52</v>
      </c>
      <c r="D212" s="1" t="s">
        <v>17</v>
      </c>
      <c r="E212" s="1" t="s">
        <v>15</v>
      </c>
      <c r="F212" s="1">
        <v>1784</v>
      </c>
      <c r="G212" s="14">
        <v>35</v>
      </c>
      <c r="H212" s="1">
        <v>0.08</v>
      </c>
      <c r="I212" s="14">
        <v>57444.800000000003</v>
      </c>
      <c r="J212" s="14">
        <v>32112</v>
      </c>
      <c r="K212" s="15">
        <f>Table5[[#This Row],[Selling Price]]*Table5[[#This Row],[Units Sold]]</f>
        <v>62440</v>
      </c>
      <c r="L212" t="str">
        <f t="shared" si="3"/>
        <v>2023-05</v>
      </c>
      <c r="M212" t="str">
        <f>VLOOKUP(Table5[[#This Row],[Store ID]],Table4[[Store ID]:[Store Location]],2)</f>
        <v>Glasgow</v>
      </c>
      <c r="N212" t="str">
        <f>VLOOKUP(Table5[[#This Row],[Store ID]],Table4[[Store ID]:[Region]],3)</f>
        <v>Scotland</v>
      </c>
      <c r="O212" t="str">
        <f>VLOOKUP(Table5[[#This Row],[Product ID]],'Product Master'!$A$2:$D$10,4)</f>
        <v>Supplier C</v>
      </c>
      <c r="P212" s="15">
        <f>Table5[[#This Row],[Total Revenue]]-Table5[[#This Row],[Net Sales Revenue]]</f>
        <v>4995.1999999999971</v>
      </c>
      <c r="Q212" s="15">
        <f>Table5[[#This Row],[Net Sales Revenue]]/Table5[[#This Row],[Units Sold]]</f>
        <v>32.200000000000003</v>
      </c>
      <c r="R212">
        <f>VLOOKUP(Table5[[#This Row],[Product ID]],'Product Master'!$A$1:$E$10,5,FALSE)</f>
        <v>18</v>
      </c>
      <c r="S212" s="15">
        <f>Table5[[#This Row],[standard product cost per unit]]*Table5[[#This Row],[Units Sold]]</f>
        <v>32112</v>
      </c>
      <c r="T212" s="15">
        <f>Table5[[#This Row],[Cost of Sales]]-Table5[[#This Row],[Standard cost]]</f>
        <v>0</v>
      </c>
      <c r="U212" s="15">
        <f>Table5[[#This Row],[Net Sales Revenue]]-Table5[[#This Row],[Cost of Sales]]</f>
        <v>25332.800000000003</v>
      </c>
      <c r="V212" s="17">
        <f>Table5[[#This Row],[GrossProfit]]/Table5[[#This Row],[Net Sales Revenue]]</f>
        <v>0.44099378881987583</v>
      </c>
    </row>
    <row r="213" spans="1:22" ht="14.25" customHeight="1" x14ac:dyDescent="0.25">
      <c r="A213" s="1" t="s">
        <v>283</v>
      </c>
      <c r="B213" s="1" t="s">
        <v>252</v>
      </c>
      <c r="C213" s="1" t="s">
        <v>52</v>
      </c>
      <c r="D213" s="1" t="s">
        <v>19</v>
      </c>
      <c r="E213" s="1" t="s">
        <v>21</v>
      </c>
      <c r="F213" s="1">
        <v>2780</v>
      </c>
      <c r="G213" s="14">
        <v>18</v>
      </c>
      <c r="H213" s="1">
        <v>0.06</v>
      </c>
      <c r="I213" s="14">
        <v>47037.599999999999</v>
      </c>
      <c r="J213" s="14">
        <v>25020</v>
      </c>
      <c r="K213" s="15">
        <f>Table5[[#This Row],[Selling Price]]*Table5[[#This Row],[Units Sold]]</f>
        <v>50040</v>
      </c>
      <c r="L213" t="str">
        <f t="shared" si="3"/>
        <v>2023-05</v>
      </c>
      <c r="M213" t="str">
        <f>VLOOKUP(Table5[[#This Row],[Store ID]],Table4[[Store ID]:[Store Location]],2)</f>
        <v>Glasgow</v>
      </c>
      <c r="N213" t="str">
        <f>VLOOKUP(Table5[[#This Row],[Store ID]],Table4[[Store ID]:[Region]],3)</f>
        <v>Scotland</v>
      </c>
      <c r="O213" t="str">
        <f>VLOOKUP(Table5[[#This Row],[Product ID]],'Product Master'!$A$2:$D$10,4)</f>
        <v>Supplier D</v>
      </c>
      <c r="P213" s="15">
        <f>Table5[[#This Row],[Total Revenue]]-Table5[[#This Row],[Net Sales Revenue]]</f>
        <v>3002.4000000000015</v>
      </c>
      <c r="Q213" s="15">
        <f>Table5[[#This Row],[Net Sales Revenue]]/Table5[[#This Row],[Units Sold]]</f>
        <v>16.919999999999998</v>
      </c>
      <c r="R213">
        <f>VLOOKUP(Table5[[#This Row],[Product ID]],'Product Master'!$A$1:$E$10,5,FALSE)</f>
        <v>9</v>
      </c>
      <c r="S213" s="15">
        <f>Table5[[#This Row],[standard product cost per unit]]*Table5[[#This Row],[Units Sold]]</f>
        <v>25020</v>
      </c>
      <c r="T213" s="15">
        <f>Table5[[#This Row],[Cost of Sales]]-Table5[[#This Row],[Standard cost]]</f>
        <v>0</v>
      </c>
      <c r="U213" s="15">
        <f>Table5[[#This Row],[Net Sales Revenue]]-Table5[[#This Row],[Cost of Sales]]</f>
        <v>22017.599999999999</v>
      </c>
      <c r="V213" s="17">
        <f>Table5[[#This Row],[GrossProfit]]/Table5[[#This Row],[Net Sales Revenue]]</f>
        <v>0.46808510638297873</v>
      </c>
    </row>
    <row r="214" spans="1:22" ht="14.25" customHeight="1" x14ac:dyDescent="0.25">
      <c r="A214" s="1" t="s">
        <v>284</v>
      </c>
      <c r="B214" s="1" t="s">
        <v>252</v>
      </c>
      <c r="C214" s="1" t="s">
        <v>52</v>
      </c>
      <c r="D214" s="1" t="s">
        <v>23</v>
      </c>
      <c r="E214" s="1" t="s">
        <v>21</v>
      </c>
      <c r="F214" s="1">
        <v>1924</v>
      </c>
      <c r="G214" s="14">
        <v>30</v>
      </c>
      <c r="H214" s="1">
        <v>0.06</v>
      </c>
      <c r="I214" s="14">
        <v>54256.800000000003</v>
      </c>
      <c r="J214" s="14">
        <v>26936</v>
      </c>
      <c r="K214" s="15">
        <f>Table5[[#This Row],[Selling Price]]*Table5[[#This Row],[Units Sold]]</f>
        <v>57720</v>
      </c>
      <c r="L214" t="str">
        <f t="shared" si="3"/>
        <v>2023-05</v>
      </c>
      <c r="M214" t="str">
        <f>VLOOKUP(Table5[[#This Row],[Store ID]],Table4[[Store ID]:[Store Location]],2)</f>
        <v>Glasgow</v>
      </c>
      <c r="N214" t="str">
        <f>VLOOKUP(Table5[[#This Row],[Store ID]],Table4[[Store ID]:[Region]],3)</f>
        <v>Scotland</v>
      </c>
      <c r="O214" t="str">
        <f>VLOOKUP(Table5[[#This Row],[Product ID]],'Product Master'!$A$2:$D$10,4)</f>
        <v>Supplier D</v>
      </c>
      <c r="P214" s="15">
        <f>Table5[[#This Row],[Total Revenue]]-Table5[[#This Row],[Net Sales Revenue]]</f>
        <v>3463.1999999999971</v>
      </c>
      <c r="Q214" s="15">
        <f>Table5[[#This Row],[Net Sales Revenue]]/Table5[[#This Row],[Units Sold]]</f>
        <v>28.200000000000003</v>
      </c>
      <c r="R214">
        <f>VLOOKUP(Table5[[#This Row],[Product ID]],'Product Master'!$A$1:$E$10,5,FALSE)</f>
        <v>14</v>
      </c>
      <c r="S214" s="15">
        <f>Table5[[#This Row],[standard product cost per unit]]*Table5[[#This Row],[Units Sold]]</f>
        <v>26936</v>
      </c>
      <c r="T214" s="15">
        <f>Table5[[#This Row],[Cost of Sales]]-Table5[[#This Row],[Standard cost]]</f>
        <v>0</v>
      </c>
      <c r="U214" s="15">
        <f>Table5[[#This Row],[Net Sales Revenue]]-Table5[[#This Row],[Cost of Sales]]</f>
        <v>27320.800000000003</v>
      </c>
      <c r="V214" s="17">
        <f>Table5[[#This Row],[GrossProfit]]/Table5[[#This Row],[Net Sales Revenue]]</f>
        <v>0.5035460992907802</v>
      </c>
    </row>
    <row r="215" spans="1:22" ht="14.25" customHeight="1" x14ac:dyDescent="0.25">
      <c r="A215" s="1" t="s">
        <v>285</v>
      </c>
      <c r="B215" s="1" t="s">
        <v>252</v>
      </c>
      <c r="C215" s="1" t="s">
        <v>52</v>
      </c>
      <c r="D215" s="1" t="s">
        <v>25</v>
      </c>
      <c r="E215" s="1" t="s">
        <v>27</v>
      </c>
      <c r="F215" s="1">
        <v>2664</v>
      </c>
      <c r="G215" s="14">
        <v>40</v>
      </c>
      <c r="H215" s="1">
        <v>0.1</v>
      </c>
      <c r="I215" s="14">
        <v>95904</v>
      </c>
      <c r="J215" s="14">
        <v>53280</v>
      </c>
      <c r="K215" s="15">
        <f>Table5[[#This Row],[Selling Price]]*Table5[[#This Row],[Units Sold]]</f>
        <v>106560</v>
      </c>
      <c r="L215" t="str">
        <f t="shared" si="3"/>
        <v>2023-05</v>
      </c>
      <c r="M215" t="str">
        <f>VLOOKUP(Table5[[#This Row],[Store ID]],Table4[[Store ID]:[Store Location]],2)</f>
        <v>Glasgow</v>
      </c>
      <c r="N215" t="str">
        <f>VLOOKUP(Table5[[#This Row],[Store ID]],Table4[[Store ID]:[Region]],3)</f>
        <v>Scotland</v>
      </c>
      <c r="O215" t="str">
        <f>VLOOKUP(Table5[[#This Row],[Product ID]],'Product Master'!$A$2:$D$10,4)</f>
        <v>Supplier E</v>
      </c>
      <c r="P215" s="15">
        <f>Table5[[#This Row],[Total Revenue]]-Table5[[#This Row],[Net Sales Revenue]]</f>
        <v>10656</v>
      </c>
      <c r="Q215" s="15">
        <f>Table5[[#This Row],[Net Sales Revenue]]/Table5[[#This Row],[Units Sold]]</f>
        <v>36</v>
      </c>
      <c r="R215">
        <f>VLOOKUP(Table5[[#This Row],[Product ID]],'Product Master'!$A$1:$E$10,5,FALSE)</f>
        <v>20</v>
      </c>
      <c r="S215" s="15">
        <f>Table5[[#This Row],[standard product cost per unit]]*Table5[[#This Row],[Units Sold]]</f>
        <v>53280</v>
      </c>
      <c r="T215" s="15">
        <f>Table5[[#This Row],[Cost of Sales]]-Table5[[#This Row],[Standard cost]]</f>
        <v>0</v>
      </c>
      <c r="U215" s="15">
        <f>Table5[[#This Row],[Net Sales Revenue]]-Table5[[#This Row],[Cost of Sales]]</f>
        <v>42624</v>
      </c>
      <c r="V215" s="17">
        <f>Table5[[#This Row],[GrossProfit]]/Table5[[#This Row],[Net Sales Revenue]]</f>
        <v>0.44444444444444442</v>
      </c>
    </row>
    <row r="216" spans="1:22" ht="14.25" customHeight="1" x14ac:dyDescent="0.25">
      <c r="A216" s="1" t="s">
        <v>286</v>
      </c>
      <c r="B216" s="1" t="s">
        <v>252</v>
      </c>
      <c r="C216" s="1" t="s">
        <v>52</v>
      </c>
      <c r="D216" s="1" t="s">
        <v>29</v>
      </c>
      <c r="E216" s="1" t="s">
        <v>31</v>
      </c>
      <c r="F216" s="1">
        <v>1972</v>
      </c>
      <c r="G216" s="14">
        <v>10</v>
      </c>
      <c r="H216" s="1">
        <v>0.08</v>
      </c>
      <c r="I216" s="14">
        <v>18142.400000000001</v>
      </c>
      <c r="J216" s="14">
        <v>7888</v>
      </c>
      <c r="K216" s="15">
        <f>Table5[[#This Row],[Selling Price]]*Table5[[#This Row],[Units Sold]]</f>
        <v>19720</v>
      </c>
      <c r="L216" t="str">
        <f t="shared" si="3"/>
        <v>2023-05</v>
      </c>
      <c r="M216" t="str">
        <f>VLOOKUP(Table5[[#This Row],[Store ID]],Table4[[Store ID]:[Store Location]],2)</f>
        <v>Glasgow</v>
      </c>
      <c r="N216" t="str">
        <f>VLOOKUP(Table5[[#This Row],[Store ID]],Table4[[Store ID]:[Region]],3)</f>
        <v>Scotland</v>
      </c>
      <c r="O216" t="str">
        <f>VLOOKUP(Table5[[#This Row],[Product ID]],'Product Master'!$A$2:$D$10,4)</f>
        <v>Supplier F</v>
      </c>
      <c r="P216" s="15">
        <f>Table5[[#This Row],[Total Revenue]]-Table5[[#This Row],[Net Sales Revenue]]</f>
        <v>1577.5999999999985</v>
      </c>
      <c r="Q216" s="15">
        <f>Table5[[#This Row],[Net Sales Revenue]]/Table5[[#This Row],[Units Sold]]</f>
        <v>9.2000000000000011</v>
      </c>
      <c r="R216">
        <f>VLOOKUP(Table5[[#This Row],[Product ID]],'Product Master'!$A$1:$E$10,5,FALSE)</f>
        <v>4</v>
      </c>
      <c r="S216" s="15">
        <f>Table5[[#This Row],[standard product cost per unit]]*Table5[[#This Row],[Units Sold]]</f>
        <v>7888</v>
      </c>
      <c r="T216" s="15">
        <f>Table5[[#This Row],[Cost of Sales]]-Table5[[#This Row],[Standard cost]]</f>
        <v>0</v>
      </c>
      <c r="U216" s="15">
        <f>Table5[[#This Row],[Net Sales Revenue]]-Table5[[#This Row],[Cost of Sales]]</f>
        <v>10254.400000000001</v>
      </c>
      <c r="V216" s="17">
        <f>Table5[[#This Row],[GrossProfit]]/Table5[[#This Row],[Net Sales Revenue]]</f>
        <v>0.56521739130434789</v>
      </c>
    </row>
    <row r="217" spans="1:22" ht="14.25" customHeight="1" x14ac:dyDescent="0.25">
      <c r="A217" s="1" t="s">
        <v>287</v>
      </c>
      <c r="B217" s="1" t="s">
        <v>252</v>
      </c>
      <c r="C217" s="1" t="s">
        <v>52</v>
      </c>
      <c r="D217" s="1" t="s">
        <v>33</v>
      </c>
      <c r="E217" s="1" t="s">
        <v>31</v>
      </c>
      <c r="F217" s="1">
        <v>1268</v>
      </c>
      <c r="G217" s="14">
        <v>22</v>
      </c>
      <c r="H217" s="1">
        <v>0.09</v>
      </c>
      <c r="I217" s="14">
        <v>25385.360000000001</v>
      </c>
      <c r="J217" s="14">
        <v>12680</v>
      </c>
      <c r="K217" s="15">
        <f>Table5[[#This Row],[Selling Price]]*Table5[[#This Row],[Units Sold]]</f>
        <v>27896</v>
      </c>
      <c r="L217" t="str">
        <f t="shared" si="3"/>
        <v>2023-05</v>
      </c>
      <c r="M217" t="str">
        <f>VLOOKUP(Table5[[#This Row],[Store ID]],Table4[[Store ID]:[Store Location]],2)</f>
        <v>Glasgow</v>
      </c>
      <c r="N217" t="str">
        <f>VLOOKUP(Table5[[#This Row],[Store ID]],Table4[[Store ID]:[Region]],3)</f>
        <v>Scotland</v>
      </c>
      <c r="O217" t="str">
        <f>VLOOKUP(Table5[[#This Row],[Product ID]],'Product Master'!$A$2:$D$10,4)</f>
        <v>Supplier F</v>
      </c>
      <c r="P217" s="15">
        <f>Table5[[#This Row],[Total Revenue]]-Table5[[#This Row],[Net Sales Revenue]]</f>
        <v>2510.6399999999994</v>
      </c>
      <c r="Q217" s="15">
        <f>Table5[[#This Row],[Net Sales Revenue]]/Table5[[#This Row],[Units Sold]]</f>
        <v>20.02</v>
      </c>
      <c r="R217">
        <f>VLOOKUP(Table5[[#This Row],[Product ID]],'Product Master'!$A$1:$E$10,5,FALSE)</f>
        <v>10</v>
      </c>
      <c r="S217" s="15">
        <f>Table5[[#This Row],[standard product cost per unit]]*Table5[[#This Row],[Units Sold]]</f>
        <v>12680</v>
      </c>
      <c r="T217" s="15">
        <f>Table5[[#This Row],[Cost of Sales]]-Table5[[#This Row],[Standard cost]]</f>
        <v>0</v>
      </c>
      <c r="U217" s="15">
        <f>Table5[[#This Row],[Net Sales Revenue]]-Table5[[#This Row],[Cost of Sales]]</f>
        <v>12705.36</v>
      </c>
      <c r="V217" s="17">
        <f>Table5[[#This Row],[GrossProfit]]/Table5[[#This Row],[Net Sales Revenue]]</f>
        <v>0.50049950049950054</v>
      </c>
    </row>
    <row r="218" spans="1:22" ht="14.25" customHeight="1" x14ac:dyDescent="0.25">
      <c r="A218" s="1" t="s">
        <v>288</v>
      </c>
      <c r="B218" s="1" t="s">
        <v>252</v>
      </c>
      <c r="C218" s="1" t="s">
        <v>56</v>
      </c>
      <c r="D218" s="1" t="s">
        <v>6</v>
      </c>
      <c r="E218" s="1" t="s">
        <v>8</v>
      </c>
      <c r="F218" s="1">
        <v>2700</v>
      </c>
      <c r="G218" s="14">
        <v>24</v>
      </c>
      <c r="H218" s="1">
        <v>7.0000000000000007E-2</v>
      </c>
      <c r="I218" s="14">
        <v>60264</v>
      </c>
      <c r="J218" s="14">
        <v>32400</v>
      </c>
      <c r="K218" s="15">
        <f>Table5[[#This Row],[Selling Price]]*Table5[[#This Row],[Units Sold]]</f>
        <v>64800</v>
      </c>
      <c r="L218" t="str">
        <f t="shared" si="3"/>
        <v>2023-05</v>
      </c>
      <c r="M218" t="str">
        <f>VLOOKUP(Table5[[#This Row],[Store ID]],Table4[[Store ID]:[Store Location]],2)</f>
        <v>Leeds</v>
      </c>
      <c r="N218" t="str">
        <f>VLOOKUP(Table5[[#This Row],[Store ID]],Table4[[Store ID]:[Region]],3)</f>
        <v>North</v>
      </c>
      <c r="O218" t="str">
        <f>VLOOKUP(Table5[[#This Row],[Product ID]],'Product Master'!$A$2:$D$10,4)</f>
        <v>Supplier A</v>
      </c>
      <c r="P218" s="15">
        <f>Table5[[#This Row],[Total Revenue]]-Table5[[#This Row],[Net Sales Revenue]]</f>
        <v>4536</v>
      </c>
      <c r="Q218" s="15">
        <f>Table5[[#This Row],[Net Sales Revenue]]/Table5[[#This Row],[Units Sold]]</f>
        <v>22.32</v>
      </c>
      <c r="R218">
        <f>VLOOKUP(Table5[[#This Row],[Product ID]],'Product Master'!$A$1:$E$10,5,FALSE)</f>
        <v>12</v>
      </c>
      <c r="S218" s="15">
        <f>Table5[[#This Row],[standard product cost per unit]]*Table5[[#This Row],[Units Sold]]</f>
        <v>32400</v>
      </c>
      <c r="T218" s="15">
        <f>Table5[[#This Row],[Cost of Sales]]-Table5[[#This Row],[Standard cost]]</f>
        <v>0</v>
      </c>
      <c r="U218" s="15">
        <f>Table5[[#This Row],[Net Sales Revenue]]-Table5[[#This Row],[Cost of Sales]]</f>
        <v>27864</v>
      </c>
      <c r="V218" s="17">
        <f>Table5[[#This Row],[GrossProfit]]/Table5[[#This Row],[Net Sales Revenue]]</f>
        <v>0.46236559139784944</v>
      </c>
    </row>
    <row r="219" spans="1:22" ht="14.25" customHeight="1" x14ac:dyDescent="0.25">
      <c r="A219" s="1" t="s">
        <v>289</v>
      </c>
      <c r="B219" s="1" t="s">
        <v>252</v>
      </c>
      <c r="C219" s="1" t="s">
        <v>56</v>
      </c>
      <c r="D219" s="1" t="s">
        <v>10</v>
      </c>
      <c r="E219" s="1" t="s">
        <v>8</v>
      </c>
      <c r="F219" s="1">
        <v>2040</v>
      </c>
      <c r="G219" s="14">
        <v>50</v>
      </c>
      <c r="H219" s="1">
        <v>0.08</v>
      </c>
      <c r="I219" s="14">
        <v>93840</v>
      </c>
      <c r="J219" s="14">
        <v>57120</v>
      </c>
      <c r="K219" s="15">
        <f>Table5[[#This Row],[Selling Price]]*Table5[[#This Row],[Units Sold]]</f>
        <v>102000</v>
      </c>
      <c r="L219" t="str">
        <f t="shared" si="3"/>
        <v>2023-05</v>
      </c>
      <c r="M219" t="str">
        <f>VLOOKUP(Table5[[#This Row],[Store ID]],Table4[[Store ID]:[Store Location]],2)</f>
        <v>Leeds</v>
      </c>
      <c r="N219" t="str">
        <f>VLOOKUP(Table5[[#This Row],[Store ID]],Table4[[Store ID]:[Region]],3)</f>
        <v>North</v>
      </c>
      <c r="O219" t="str">
        <f>VLOOKUP(Table5[[#This Row],[Product ID]],'Product Master'!$A$2:$D$10,4)</f>
        <v>Supplier B</v>
      </c>
      <c r="P219" s="15">
        <f>Table5[[#This Row],[Total Revenue]]-Table5[[#This Row],[Net Sales Revenue]]</f>
        <v>8160</v>
      </c>
      <c r="Q219" s="15">
        <f>Table5[[#This Row],[Net Sales Revenue]]/Table5[[#This Row],[Units Sold]]</f>
        <v>46</v>
      </c>
      <c r="R219">
        <f>VLOOKUP(Table5[[#This Row],[Product ID]],'Product Master'!$A$1:$E$10,5,FALSE)</f>
        <v>28</v>
      </c>
      <c r="S219" s="15">
        <f>Table5[[#This Row],[standard product cost per unit]]*Table5[[#This Row],[Units Sold]]</f>
        <v>57120</v>
      </c>
      <c r="T219" s="15">
        <f>Table5[[#This Row],[Cost of Sales]]-Table5[[#This Row],[Standard cost]]</f>
        <v>0</v>
      </c>
      <c r="U219" s="15">
        <f>Table5[[#This Row],[Net Sales Revenue]]-Table5[[#This Row],[Cost of Sales]]</f>
        <v>36720</v>
      </c>
      <c r="V219" s="17">
        <f>Table5[[#This Row],[GrossProfit]]/Table5[[#This Row],[Net Sales Revenue]]</f>
        <v>0.39130434782608697</v>
      </c>
    </row>
    <row r="220" spans="1:22" ht="14.25" customHeight="1" x14ac:dyDescent="0.25">
      <c r="A220" s="1" t="s">
        <v>290</v>
      </c>
      <c r="B220" s="1" t="s">
        <v>252</v>
      </c>
      <c r="C220" s="1" t="s">
        <v>56</v>
      </c>
      <c r="D220" s="1" t="s">
        <v>13</v>
      </c>
      <c r="E220" s="1" t="s">
        <v>15</v>
      </c>
      <c r="F220" s="1">
        <v>2440</v>
      </c>
      <c r="G220" s="14">
        <v>28</v>
      </c>
      <c r="H220" s="1">
        <v>0.09</v>
      </c>
      <c r="I220" s="14">
        <v>62171.199999999997</v>
      </c>
      <c r="J220" s="14">
        <v>36600</v>
      </c>
      <c r="K220" s="15">
        <f>Table5[[#This Row],[Selling Price]]*Table5[[#This Row],[Units Sold]]</f>
        <v>68320</v>
      </c>
      <c r="L220" t="str">
        <f t="shared" si="3"/>
        <v>2023-05</v>
      </c>
      <c r="M220" t="str">
        <f>VLOOKUP(Table5[[#This Row],[Store ID]],Table4[[Store ID]:[Store Location]],2)</f>
        <v>Leeds</v>
      </c>
      <c r="N220" t="str">
        <f>VLOOKUP(Table5[[#This Row],[Store ID]],Table4[[Store ID]:[Region]],3)</f>
        <v>North</v>
      </c>
      <c r="O220" t="str">
        <f>VLOOKUP(Table5[[#This Row],[Product ID]],'Product Master'!$A$2:$D$10,4)</f>
        <v>Supplier C</v>
      </c>
      <c r="P220" s="15">
        <f>Table5[[#This Row],[Total Revenue]]-Table5[[#This Row],[Net Sales Revenue]]</f>
        <v>6148.8000000000029</v>
      </c>
      <c r="Q220" s="15">
        <f>Table5[[#This Row],[Net Sales Revenue]]/Table5[[#This Row],[Units Sold]]</f>
        <v>25.48</v>
      </c>
      <c r="R220">
        <f>VLOOKUP(Table5[[#This Row],[Product ID]],'Product Master'!$A$1:$E$10,5,FALSE)</f>
        <v>15</v>
      </c>
      <c r="S220" s="15">
        <f>Table5[[#This Row],[standard product cost per unit]]*Table5[[#This Row],[Units Sold]]</f>
        <v>36600</v>
      </c>
      <c r="T220" s="15">
        <f>Table5[[#This Row],[Cost of Sales]]-Table5[[#This Row],[Standard cost]]</f>
        <v>0</v>
      </c>
      <c r="U220" s="15">
        <f>Table5[[#This Row],[Net Sales Revenue]]-Table5[[#This Row],[Cost of Sales]]</f>
        <v>25571.199999999997</v>
      </c>
      <c r="V220" s="17">
        <f>Table5[[#This Row],[GrossProfit]]/Table5[[#This Row],[Net Sales Revenue]]</f>
        <v>0.41130298273155413</v>
      </c>
    </row>
    <row r="221" spans="1:22" ht="14.25" customHeight="1" x14ac:dyDescent="0.25">
      <c r="A221" s="1" t="s">
        <v>291</v>
      </c>
      <c r="B221" s="1" t="s">
        <v>252</v>
      </c>
      <c r="C221" s="1" t="s">
        <v>56</v>
      </c>
      <c r="D221" s="1" t="s">
        <v>17</v>
      </c>
      <c r="E221" s="1" t="s">
        <v>15</v>
      </c>
      <c r="F221" s="1">
        <v>2468</v>
      </c>
      <c r="G221" s="14">
        <v>35</v>
      </c>
      <c r="H221" s="1">
        <v>0.09</v>
      </c>
      <c r="I221" s="14">
        <v>78605.8</v>
      </c>
      <c r="J221" s="14">
        <v>44424</v>
      </c>
      <c r="K221" s="15">
        <f>Table5[[#This Row],[Selling Price]]*Table5[[#This Row],[Units Sold]]</f>
        <v>86380</v>
      </c>
      <c r="L221" t="str">
        <f t="shared" si="3"/>
        <v>2023-05</v>
      </c>
      <c r="M221" t="str">
        <f>VLOOKUP(Table5[[#This Row],[Store ID]],Table4[[Store ID]:[Store Location]],2)</f>
        <v>Leeds</v>
      </c>
      <c r="N221" t="str">
        <f>VLOOKUP(Table5[[#This Row],[Store ID]],Table4[[Store ID]:[Region]],3)</f>
        <v>North</v>
      </c>
      <c r="O221" t="str">
        <f>VLOOKUP(Table5[[#This Row],[Product ID]],'Product Master'!$A$2:$D$10,4)</f>
        <v>Supplier C</v>
      </c>
      <c r="P221" s="15">
        <f>Table5[[#This Row],[Total Revenue]]-Table5[[#This Row],[Net Sales Revenue]]</f>
        <v>7774.1999999999971</v>
      </c>
      <c r="Q221" s="15">
        <f>Table5[[#This Row],[Net Sales Revenue]]/Table5[[#This Row],[Units Sold]]</f>
        <v>31.85</v>
      </c>
      <c r="R221">
        <f>VLOOKUP(Table5[[#This Row],[Product ID]],'Product Master'!$A$1:$E$10,5,FALSE)</f>
        <v>18</v>
      </c>
      <c r="S221" s="15">
        <f>Table5[[#This Row],[standard product cost per unit]]*Table5[[#This Row],[Units Sold]]</f>
        <v>44424</v>
      </c>
      <c r="T221" s="15">
        <f>Table5[[#This Row],[Cost of Sales]]-Table5[[#This Row],[Standard cost]]</f>
        <v>0</v>
      </c>
      <c r="U221" s="15">
        <f>Table5[[#This Row],[Net Sales Revenue]]-Table5[[#This Row],[Cost of Sales]]</f>
        <v>34181.800000000003</v>
      </c>
      <c r="V221" s="17">
        <f>Table5[[#This Row],[GrossProfit]]/Table5[[#This Row],[Net Sales Revenue]]</f>
        <v>0.43485086342229201</v>
      </c>
    </row>
    <row r="222" spans="1:22" ht="14.25" customHeight="1" x14ac:dyDescent="0.25">
      <c r="A222" s="1" t="s">
        <v>292</v>
      </c>
      <c r="B222" s="1" t="s">
        <v>252</v>
      </c>
      <c r="C222" s="1" t="s">
        <v>56</v>
      </c>
      <c r="D222" s="1" t="s">
        <v>19</v>
      </c>
      <c r="E222" s="1" t="s">
        <v>21</v>
      </c>
      <c r="F222" s="1">
        <v>2348</v>
      </c>
      <c r="G222" s="14">
        <v>18</v>
      </c>
      <c r="H222" s="1">
        <v>0.06</v>
      </c>
      <c r="I222" s="14">
        <v>39728.160000000003</v>
      </c>
      <c r="J222" s="14">
        <v>21132</v>
      </c>
      <c r="K222" s="15">
        <f>Table5[[#This Row],[Selling Price]]*Table5[[#This Row],[Units Sold]]</f>
        <v>42264</v>
      </c>
      <c r="L222" t="str">
        <f t="shared" si="3"/>
        <v>2023-05</v>
      </c>
      <c r="M222" t="str">
        <f>VLOOKUP(Table5[[#This Row],[Store ID]],Table4[[Store ID]:[Store Location]],2)</f>
        <v>Leeds</v>
      </c>
      <c r="N222" t="str">
        <f>VLOOKUP(Table5[[#This Row],[Store ID]],Table4[[Store ID]:[Region]],3)</f>
        <v>North</v>
      </c>
      <c r="O222" t="str">
        <f>VLOOKUP(Table5[[#This Row],[Product ID]],'Product Master'!$A$2:$D$10,4)</f>
        <v>Supplier D</v>
      </c>
      <c r="P222" s="15">
        <f>Table5[[#This Row],[Total Revenue]]-Table5[[#This Row],[Net Sales Revenue]]</f>
        <v>2535.8399999999965</v>
      </c>
      <c r="Q222" s="15">
        <f>Table5[[#This Row],[Net Sales Revenue]]/Table5[[#This Row],[Units Sold]]</f>
        <v>16.920000000000002</v>
      </c>
      <c r="R222">
        <f>VLOOKUP(Table5[[#This Row],[Product ID]],'Product Master'!$A$1:$E$10,5,FALSE)</f>
        <v>9</v>
      </c>
      <c r="S222" s="15">
        <f>Table5[[#This Row],[standard product cost per unit]]*Table5[[#This Row],[Units Sold]]</f>
        <v>21132</v>
      </c>
      <c r="T222" s="15">
        <f>Table5[[#This Row],[Cost of Sales]]-Table5[[#This Row],[Standard cost]]</f>
        <v>0</v>
      </c>
      <c r="U222" s="15">
        <f>Table5[[#This Row],[Net Sales Revenue]]-Table5[[#This Row],[Cost of Sales]]</f>
        <v>18596.160000000003</v>
      </c>
      <c r="V222" s="17">
        <f>Table5[[#This Row],[GrossProfit]]/Table5[[#This Row],[Net Sales Revenue]]</f>
        <v>0.46808510638297879</v>
      </c>
    </row>
    <row r="223" spans="1:22" ht="14.25" customHeight="1" x14ac:dyDescent="0.25">
      <c r="A223" s="1" t="s">
        <v>293</v>
      </c>
      <c r="B223" s="1" t="s">
        <v>252</v>
      </c>
      <c r="C223" s="1" t="s">
        <v>56</v>
      </c>
      <c r="D223" s="1" t="s">
        <v>23</v>
      </c>
      <c r="E223" s="1" t="s">
        <v>21</v>
      </c>
      <c r="F223" s="1">
        <v>1476</v>
      </c>
      <c r="G223" s="14">
        <v>30</v>
      </c>
      <c r="H223" s="1">
        <v>0.08</v>
      </c>
      <c r="I223" s="14">
        <v>40737.599999999999</v>
      </c>
      <c r="J223" s="14">
        <v>20664</v>
      </c>
      <c r="K223" s="15">
        <f>Table5[[#This Row],[Selling Price]]*Table5[[#This Row],[Units Sold]]</f>
        <v>44280</v>
      </c>
      <c r="L223" t="str">
        <f t="shared" si="3"/>
        <v>2023-05</v>
      </c>
      <c r="M223" t="str">
        <f>VLOOKUP(Table5[[#This Row],[Store ID]],Table4[[Store ID]:[Store Location]],2)</f>
        <v>Leeds</v>
      </c>
      <c r="N223" t="str">
        <f>VLOOKUP(Table5[[#This Row],[Store ID]],Table4[[Store ID]:[Region]],3)</f>
        <v>North</v>
      </c>
      <c r="O223" t="str">
        <f>VLOOKUP(Table5[[#This Row],[Product ID]],'Product Master'!$A$2:$D$10,4)</f>
        <v>Supplier D</v>
      </c>
      <c r="P223" s="15">
        <f>Table5[[#This Row],[Total Revenue]]-Table5[[#This Row],[Net Sales Revenue]]</f>
        <v>3542.4000000000015</v>
      </c>
      <c r="Q223" s="15">
        <f>Table5[[#This Row],[Net Sales Revenue]]/Table5[[#This Row],[Units Sold]]</f>
        <v>27.599999999999998</v>
      </c>
      <c r="R223">
        <f>VLOOKUP(Table5[[#This Row],[Product ID]],'Product Master'!$A$1:$E$10,5,FALSE)</f>
        <v>14</v>
      </c>
      <c r="S223" s="15">
        <f>Table5[[#This Row],[standard product cost per unit]]*Table5[[#This Row],[Units Sold]]</f>
        <v>20664</v>
      </c>
      <c r="T223" s="15">
        <f>Table5[[#This Row],[Cost of Sales]]-Table5[[#This Row],[Standard cost]]</f>
        <v>0</v>
      </c>
      <c r="U223" s="15">
        <f>Table5[[#This Row],[Net Sales Revenue]]-Table5[[#This Row],[Cost of Sales]]</f>
        <v>20073.599999999999</v>
      </c>
      <c r="V223" s="17">
        <f>Table5[[#This Row],[GrossProfit]]/Table5[[#This Row],[Net Sales Revenue]]</f>
        <v>0.49275362318840576</v>
      </c>
    </row>
    <row r="224" spans="1:22" ht="14.25" customHeight="1" x14ac:dyDescent="0.25">
      <c r="A224" s="1" t="s">
        <v>294</v>
      </c>
      <c r="B224" s="1" t="s">
        <v>252</v>
      </c>
      <c r="C224" s="1" t="s">
        <v>56</v>
      </c>
      <c r="D224" s="1" t="s">
        <v>25</v>
      </c>
      <c r="E224" s="1" t="s">
        <v>27</v>
      </c>
      <c r="F224" s="1">
        <v>2360</v>
      </c>
      <c r="G224" s="14">
        <v>40</v>
      </c>
      <c r="H224" s="1">
        <v>0.06</v>
      </c>
      <c r="I224" s="14">
        <v>88736</v>
      </c>
      <c r="J224" s="14">
        <v>47200</v>
      </c>
      <c r="K224" s="15">
        <f>Table5[[#This Row],[Selling Price]]*Table5[[#This Row],[Units Sold]]</f>
        <v>94400</v>
      </c>
      <c r="L224" t="str">
        <f t="shared" si="3"/>
        <v>2023-05</v>
      </c>
      <c r="M224" t="str">
        <f>VLOOKUP(Table5[[#This Row],[Store ID]],Table4[[Store ID]:[Store Location]],2)</f>
        <v>Leeds</v>
      </c>
      <c r="N224" t="str">
        <f>VLOOKUP(Table5[[#This Row],[Store ID]],Table4[[Store ID]:[Region]],3)</f>
        <v>North</v>
      </c>
      <c r="O224" t="str">
        <f>VLOOKUP(Table5[[#This Row],[Product ID]],'Product Master'!$A$2:$D$10,4)</f>
        <v>Supplier E</v>
      </c>
      <c r="P224" s="15">
        <f>Table5[[#This Row],[Total Revenue]]-Table5[[#This Row],[Net Sales Revenue]]</f>
        <v>5664</v>
      </c>
      <c r="Q224" s="15">
        <f>Table5[[#This Row],[Net Sales Revenue]]/Table5[[#This Row],[Units Sold]]</f>
        <v>37.6</v>
      </c>
      <c r="R224">
        <f>VLOOKUP(Table5[[#This Row],[Product ID]],'Product Master'!$A$1:$E$10,5,FALSE)</f>
        <v>20</v>
      </c>
      <c r="S224" s="15">
        <f>Table5[[#This Row],[standard product cost per unit]]*Table5[[#This Row],[Units Sold]]</f>
        <v>47200</v>
      </c>
      <c r="T224" s="15">
        <f>Table5[[#This Row],[Cost of Sales]]-Table5[[#This Row],[Standard cost]]</f>
        <v>0</v>
      </c>
      <c r="U224" s="15">
        <f>Table5[[#This Row],[Net Sales Revenue]]-Table5[[#This Row],[Cost of Sales]]</f>
        <v>41536</v>
      </c>
      <c r="V224" s="17">
        <f>Table5[[#This Row],[GrossProfit]]/Table5[[#This Row],[Net Sales Revenue]]</f>
        <v>0.46808510638297873</v>
      </c>
    </row>
    <row r="225" spans="1:22" ht="14.25" customHeight="1" x14ac:dyDescent="0.25">
      <c r="A225" s="1" t="s">
        <v>295</v>
      </c>
      <c r="B225" s="1" t="s">
        <v>252</v>
      </c>
      <c r="C225" s="1" t="s">
        <v>56</v>
      </c>
      <c r="D225" s="1" t="s">
        <v>29</v>
      </c>
      <c r="E225" s="1" t="s">
        <v>31</v>
      </c>
      <c r="F225" s="1">
        <v>1688</v>
      </c>
      <c r="G225" s="14">
        <v>10</v>
      </c>
      <c r="H225" s="1">
        <v>0.08</v>
      </c>
      <c r="I225" s="14">
        <v>15529.6</v>
      </c>
      <c r="J225" s="14">
        <v>6752</v>
      </c>
      <c r="K225" s="15">
        <f>Table5[[#This Row],[Selling Price]]*Table5[[#This Row],[Units Sold]]</f>
        <v>16880</v>
      </c>
      <c r="L225" t="str">
        <f t="shared" si="3"/>
        <v>2023-05</v>
      </c>
      <c r="M225" t="str">
        <f>VLOOKUP(Table5[[#This Row],[Store ID]],Table4[[Store ID]:[Store Location]],2)</f>
        <v>Leeds</v>
      </c>
      <c r="N225" t="str">
        <f>VLOOKUP(Table5[[#This Row],[Store ID]],Table4[[Store ID]:[Region]],3)</f>
        <v>North</v>
      </c>
      <c r="O225" t="str">
        <f>VLOOKUP(Table5[[#This Row],[Product ID]],'Product Master'!$A$2:$D$10,4)</f>
        <v>Supplier F</v>
      </c>
      <c r="P225" s="15">
        <f>Table5[[#This Row],[Total Revenue]]-Table5[[#This Row],[Net Sales Revenue]]</f>
        <v>1350.3999999999996</v>
      </c>
      <c r="Q225" s="15">
        <f>Table5[[#This Row],[Net Sales Revenue]]/Table5[[#This Row],[Units Sold]]</f>
        <v>9.2000000000000011</v>
      </c>
      <c r="R225">
        <f>VLOOKUP(Table5[[#This Row],[Product ID]],'Product Master'!$A$1:$E$10,5,FALSE)</f>
        <v>4</v>
      </c>
      <c r="S225" s="15">
        <f>Table5[[#This Row],[standard product cost per unit]]*Table5[[#This Row],[Units Sold]]</f>
        <v>6752</v>
      </c>
      <c r="T225" s="15">
        <f>Table5[[#This Row],[Cost of Sales]]-Table5[[#This Row],[Standard cost]]</f>
        <v>0</v>
      </c>
      <c r="U225" s="15">
        <f>Table5[[#This Row],[Net Sales Revenue]]-Table5[[#This Row],[Cost of Sales]]</f>
        <v>8777.6</v>
      </c>
      <c r="V225" s="17">
        <f>Table5[[#This Row],[GrossProfit]]/Table5[[#This Row],[Net Sales Revenue]]</f>
        <v>0.56521739130434778</v>
      </c>
    </row>
    <row r="226" spans="1:22" ht="14.25" customHeight="1" x14ac:dyDescent="0.25">
      <c r="A226" s="1" t="s">
        <v>296</v>
      </c>
      <c r="B226" s="1" t="s">
        <v>252</v>
      </c>
      <c r="C226" s="1" t="s">
        <v>56</v>
      </c>
      <c r="D226" s="1" t="s">
        <v>33</v>
      </c>
      <c r="E226" s="1" t="s">
        <v>31</v>
      </c>
      <c r="F226" s="1">
        <v>1260</v>
      </c>
      <c r="G226" s="14">
        <v>22</v>
      </c>
      <c r="H226" s="1">
        <v>0.09</v>
      </c>
      <c r="I226" s="14">
        <v>25225.200000000001</v>
      </c>
      <c r="J226" s="14">
        <v>12600</v>
      </c>
      <c r="K226" s="15">
        <f>Table5[[#This Row],[Selling Price]]*Table5[[#This Row],[Units Sold]]</f>
        <v>27720</v>
      </c>
      <c r="L226" t="str">
        <f t="shared" si="3"/>
        <v>2023-05</v>
      </c>
      <c r="M226" t="str">
        <f>VLOOKUP(Table5[[#This Row],[Store ID]],Table4[[Store ID]:[Store Location]],2)</f>
        <v>Leeds</v>
      </c>
      <c r="N226" t="str">
        <f>VLOOKUP(Table5[[#This Row],[Store ID]],Table4[[Store ID]:[Region]],3)</f>
        <v>North</v>
      </c>
      <c r="O226" t="str">
        <f>VLOOKUP(Table5[[#This Row],[Product ID]],'Product Master'!$A$2:$D$10,4)</f>
        <v>Supplier F</v>
      </c>
      <c r="P226" s="15">
        <f>Table5[[#This Row],[Total Revenue]]-Table5[[#This Row],[Net Sales Revenue]]</f>
        <v>2494.7999999999993</v>
      </c>
      <c r="Q226" s="15">
        <f>Table5[[#This Row],[Net Sales Revenue]]/Table5[[#This Row],[Units Sold]]</f>
        <v>20.02</v>
      </c>
      <c r="R226">
        <f>VLOOKUP(Table5[[#This Row],[Product ID]],'Product Master'!$A$1:$E$10,5,FALSE)</f>
        <v>10</v>
      </c>
      <c r="S226" s="15">
        <f>Table5[[#This Row],[standard product cost per unit]]*Table5[[#This Row],[Units Sold]]</f>
        <v>12600</v>
      </c>
      <c r="T226" s="15">
        <f>Table5[[#This Row],[Cost of Sales]]-Table5[[#This Row],[Standard cost]]</f>
        <v>0</v>
      </c>
      <c r="U226" s="15">
        <f>Table5[[#This Row],[Net Sales Revenue]]-Table5[[#This Row],[Cost of Sales]]</f>
        <v>12625.2</v>
      </c>
      <c r="V226" s="17">
        <f>Table5[[#This Row],[GrossProfit]]/Table5[[#This Row],[Net Sales Revenue]]</f>
        <v>0.50049950049950054</v>
      </c>
    </row>
    <row r="227" spans="1:22" ht="14.25" customHeight="1" x14ac:dyDescent="0.25">
      <c r="A227" s="1" t="s">
        <v>297</v>
      </c>
      <c r="B227" s="1" t="s">
        <v>298</v>
      </c>
      <c r="C227" s="1" t="s">
        <v>40</v>
      </c>
      <c r="D227" s="1" t="s">
        <v>6</v>
      </c>
      <c r="E227" s="1" t="s">
        <v>8</v>
      </c>
      <c r="F227" s="1">
        <v>1368</v>
      </c>
      <c r="G227" s="14">
        <v>24</v>
      </c>
      <c r="H227" s="1">
        <v>7.0000000000000007E-2</v>
      </c>
      <c r="I227" s="14">
        <v>30533.759999999998</v>
      </c>
      <c r="J227" s="14">
        <v>16416</v>
      </c>
      <c r="K227" s="15">
        <f>Table5[[#This Row],[Selling Price]]*Table5[[#This Row],[Units Sold]]</f>
        <v>32832</v>
      </c>
      <c r="L227" t="str">
        <f t="shared" si="3"/>
        <v>2023-06</v>
      </c>
      <c r="M227" t="str">
        <f>VLOOKUP(Table5[[#This Row],[Store ID]],Table4[[Store ID]:[Store Location]],2)</f>
        <v>Manchester</v>
      </c>
      <c r="N227" t="str">
        <f>VLOOKUP(Table5[[#This Row],[Store ID]],Table4[[Store ID]:[Region]],3)</f>
        <v>North</v>
      </c>
      <c r="O227" t="str">
        <f>VLOOKUP(Table5[[#This Row],[Product ID]],'Product Master'!$A$2:$D$10,4)</f>
        <v>Supplier A</v>
      </c>
      <c r="P227" s="15">
        <f>Table5[[#This Row],[Total Revenue]]-Table5[[#This Row],[Net Sales Revenue]]</f>
        <v>2298.2400000000016</v>
      </c>
      <c r="Q227" s="15">
        <f>Table5[[#This Row],[Net Sales Revenue]]/Table5[[#This Row],[Units Sold]]</f>
        <v>22.32</v>
      </c>
      <c r="R227">
        <f>VLOOKUP(Table5[[#This Row],[Product ID]],'Product Master'!$A$1:$E$10,5,FALSE)</f>
        <v>12</v>
      </c>
      <c r="S227" s="15">
        <f>Table5[[#This Row],[standard product cost per unit]]*Table5[[#This Row],[Units Sold]]</f>
        <v>16416</v>
      </c>
      <c r="T227" s="15">
        <f>Table5[[#This Row],[Cost of Sales]]-Table5[[#This Row],[Standard cost]]</f>
        <v>0</v>
      </c>
      <c r="U227" s="15">
        <f>Table5[[#This Row],[Net Sales Revenue]]-Table5[[#This Row],[Cost of Sales]]</f>
        <v>14117.759999999998</v>
      </c>
      <c r="V227" s="17">
        <f>Table5[[#This Row],[GrossProfit]]/Table5[[#This Row],[Net Sales Revenue]]</f>
        <v>0.46236559139784944</v>
      </c>
    </row>
    <row r="228" spans="1:22" ht="14.25" customHeight="1" x14ac:dyDescent="0.25">
      <c r="A228" s="1" t="s">
        <v>299</v>
      </c>
      <c r="B228" s="1" t="s">
        <v>298</v>
      </c>
      <c r="C228" s="1" t="s">
        <v>40</v>
      </c>
      <c r="D228" s="1" t="s">
        <v>10</v>
      </c>
      <c r="E228" s="1" t="s">
        <v>8</v>
      </c>
      <c r="F228" s="1">
        <v>2596</v>
      </c>
      <c r="G228" s="14">
        <v>50</v>
      </c>
      <c r="H228" s="1">
        <v>0.09</v>
      </c>
      <c r="I228" s="14">
        <v>118118</v>
      </c>
      <c r="J228" s="14">
        <v>72688</v>
      </c>
      <c r="K228" s="15">
        <f>Table5[[#This Row],[Selling Price]]*Table5[[#This Row],[Units Sold]]</f>
        <v>129800</v>
      </c>
      <c r="L228" t="str">
        <f t="shared" si="3"/>
        <v>2023-06</v>
      </c>
      <c r="M228" t="str">
        <f>VLOOKUP(Table5[[#This Row],[Store ID]],Table4[[Store ID]:[Store Location]],2)</f>
        <v>Manchester</v>
      </c>
      <c r="N228" t="str">
        <f>VLOOKUP(Table5[[#This Row],[Store ID]],Table4[[Store ID]:[Region]],3)</f>
        <v>North</v>
      </c>
      <c r="O228" t="str">
        <f>VLOOKUP(Table5[[#This Row],[Product ID]],'Product Master'!$A$2:$D$10,4)</f>
        <v>Supplier B</v>
      </c>
      <c r="P228" s="15">
        <f>Table5[[#This Row],[Total Revenue]]-Table5[[#This Row],[Net Sales Revenue]]</f>
        <v>11682</v>
      </c>
      <c r="Q228" s="15">
        <f>Table5[[#This Row],[Net Sales Revenue]]/Table5[[#This Row],[Units Sold]]</f>
        <v>45.5</v>
      </c>
      <c r="R228">
        <f>VLOOKUP(Table5[[#This Row],[Product ID]],'Product Master'!$A$1:$E$10,5,FALSE)</f>
        <v>28</v>
      </c>
      <c r="S228" s="15">
        <f>Table5[[#This Row],[standard product cost per unit]]*Table5[[#This Row],[Units Sold]]</f>
        <v>72688</v>
      </c>
      <c r="T228" s="15">
        <f>Table5[[#This Row],[Cost of Sales]]-Table5[[#This Row],[Standard cost]]</f>
        <v>0</v>
      </c>
      <c r="U228" s="15">
        <f>Table5[[#This Row],[Net Sales Revenue]]-Table5[[#This Row],[Cost of Sales]]</f>
        <v>45430</v>
      </c>
      <c r="V228" s="17">
        <f>Table5[[#This Row],[GrossProfit]]/Table5[[#This Row],[Net Sales Revenue]]</f>
        <v>0.38461538461538464</v>
      </c>
    </row>
    <row r="229" spans="1:22" ht="14.25" customHeight="1" x14ac:dyDescent="0.25">
      <c r="A229" s="1" t="s">
        <v>300</v>
      </c>
      <c r="B229" s="1" t="s">
        <v>298</v>
      </c>
      <c r="C229" s="1" t="s">
        <v>40</v>
      </c>
      <c r="D229" s="1" t="s">
        <v>13</v>
      </c>
      <c r="E229" s="1" t="s">
        <v>15</v>
      </c>
      <c r="F229" s="1">
        <v>2732</v>
      </c>
      <c r="G229" s="14">
        <v>28</v>
      </c>
      <c r="H229" s="1">
        <v>0.08</v>
      </c>
      <c r="I229" s="14">
        <v>70376.320000000007</v>
      </c>
      <c r="J229" s="14">
        <v>40980</v>
      </c>
      <c r="K229" s="15">
        <f>Table5[[#This Row],[Selling Price]]*Table5[[#This Row],[Units Sold]]</f>
        <v>76496</v>
      </c>
      <c r="L229" t="str">
        <f t="shared" si="3"/>
        <v>2023-06</v>
      </c>
      <c r="M229" t="str">
        <f>VLOOKUP(Table5[[#This Row],[Store ID]],Table4[[Store ID]:[Store Location]],2)</f>
        <v>Manchester</v>
      </c>
      <c r="N229" t="str">
        <f>VLOOKUP(Table5[[#This Row],[Store ID]],Table4[[Store ID]:[Region]],3)</f>
        <v>North</v>
      </c>
      <c r="O229" t="str">
        <f>VLOOKUP(Table5[[#This Row],[Product ID]],'Product Master'!$A$2:$D$10,4)</f>
        <v>Supplier C</v>
      </c>
      <c r="P229" s="15">
        <f>Table5[[#This Row],[Total Revenue]]-Table5[[#This Row],[Net Sales Revenue]]</f>
        <v>6119.679999999993</v>
      </c>
      <c r="Q229" s="15">
        <f>Table5[[#This Row],[Net Sales Revenue]]/Table5[[#This Row],[Units Sold]]</f>
        <v>25.76</v>
      </c>
      <c r="R229">
        <f>VLOOKUP(Table5[[#This Row],[Product ID]],'Product Master'!$A$1:$E$10,5,FALSE)</f>
        <v>15</v>
      </c>
      <c r="S229" s="15">
        <f>Table5[[#This Row],[standard product cost per unit]]*Table5[[#This Row],[Units Sold]]</f>
        <v>40980</v>
      </c>
      <c r="T229" s="15">
        <f>Table5[[#This Row],[Cost of Sales]]-Table5[[#This Row],[Standard cost]]</f>
        <v>0</v>
      </c>
      <c r="U229" s="15">
        <f>Table5[[#This Row],[Net Sales Revenue]]-Table5[[#This Row],[Cost of Sales]]</f>
        <v>29396.320000000007</v>
      </c>
      <c r="V229" s="17">
        <f>Table5[[#This Row],[GrossProfit]]/Table5[[#This Row],[Net Sales Revenue]]</f>
        <v>0.41770186335403731</v>
      </c>
    </row>
    <row r="230" spans="1:22" ht="14.25" customHeight="1" x14ac:dyDescent="0.25">
      <c r="A230" s="1" t="s">
        <v>301</v>
      </c>
      <c r="B230" s="1" t="s">
        <v>298</v>
      </c>
      <c r="C230" s="1" t="s">
        <v>40</v>
      </c>
      <c r="D230" s="1" t="s">
        <v>17</v>
      </c>
      <c r="E230" s="1" t="s">
        <v>15</v>
      </c>
      <c r="F230" s="1">
        <v>2568</v>
      </c>
      <c r="G230" s="14">
        <v>35</v>
      </c>
      <c r="H230" s="1">
        <v>7.0000000000000007E-2</v>
      </c>
      <c r="I230" s="14">
        <v>83588.399999999994</v>
      </c>
      <c r="J230" s="14">
        <v>46224</v>
      </c>
      <c r="K230" s="15">
        <f>Table5[[#This Row],[Selling Price]]*Table5[[#This Row],[Units Sold]]</f>
        <v>89880</v>
      </c>
      <c r="L230" t="str">
        <f t="shared" si="3"/>
        <v>2023-06</v>
      </c>
      <c r="M230" t="str">
        <f>VLOOKUP(Table5[[#This Row],[Store ID]],Table4[[Store ID]:[Store Location]],2)</f>
        <v>Manchester</v>
      </c>
      <c r="N230" t="str">
        <f>VLOOKUP(Table5[[#This Row],[Store ID]],Table4[[Store ID]:[Region]],3)</f>
        <v>North</v>
      </c>
      <c r="O230" t="str">
        <f>VLOOKUP(Table5[[#This Row],[Product ID]],'Product Master'!$A$2:$D$10,4)</f>
        <v>Supplier C</v>
      </c>
      <c r="P230" s="15">
        <f>Table5[[#This Row],[Total Revenue]]-Table5[[#This Row],[Net Sales Revenue]]</f>
        <v>6291.6000000000058</v>
      </c>
      <c r="Q230" s="15">
        <f>Table5[[#This Row],[Net Sales Revenue]]/Table5[[#This Row],[Units Sold]]</f>
        <v>32.549999999999997</v>
      </c>
      <c r="R230">
        <f>VLOOKUP(Table5[[#This Row],[Product ID]],'Product Master'!$A$1:$E$10,5,FALSE)</f>
        <v>18</v>
      </c>
      <c r="S230" s="15">
        <f>Table5[[#This Row],[standard product cost per unit]]*Table5[[#This Row],[Units Sold]]</f>
        <v>46224</v>
      </c>
      <c r="T230" s="15">
        <f>Table5[[#This Row],[Cost of Sales]]-Table5[[#This Row],[Standard cost]]</f>
        <v>0</v>
      </c>
      <c r="U230" s="15">
        <f>Table5[[#This Row],[Net Sales Revenue]]-Table5[[#This Row],[Cost of Sales]]</f>
        <v>37364.399999999994</v>
      </c>
      <c r="V230" s="17">
        <f>Table5[[#This Row],[GrossProfit]]/Table5[[#This Row],[Net Sales Revenue]]</f>
        <v>0.44700460829493083</v>
      </c>
    </row>
    <row r="231" spans="1:22" ht="14.25" customHeight="1" x14ac:dyDescent="0.25">
      <c r="A231" s="1" t="s">
        <v>302</v>
      </c>
      <c r="B231" s="1" t="s">
        <v>298</v>
      </c>
      <c r="C231" s="1" t="s">
        <v>40</v>
      </c>
      <c r="D231" s="1" t="s">
        <v>19</v>
      </c>
      <c r="E231" s="1" t="s">
        <v>21</v>
      </c>
      <c r="F231" s="1">
        <v>1908</v>
      </c>
      <c r="G231" s="14">
        <v>18</v>
      </c>
      <c r="H231" s="1">
        <v>0.05</v>
      </c>
      <c r="I231" s="14">
        <v>32626.799999999999</v>
      </c>
      <c r="J231" s="14">
        <v>17172</v>
      </c>
      <c r="K231" s="15">
        <f>Table5[[#This Row],[Selling Price]]*Table5[[#This Row],[Units Sold]]</f>
        <v>34344</v>
      </c>
      <c r="L231" t="str">
        <f t="shared" si="3"/>
        <v>2023-06</v>
      </c>
      <c r="M231" t="str">
        <f>VLOOKUP(Table5[[#This Row],[Store ID]],Table4[[Store ID]:[Store Location]],2)</f>
        <v>Manchester</v>
      </c>
      <c r="N231" t="str">
        <f>VLOOKUP(Table5[[#This Row],[Store ID]],Table4[[Store ID]:[Region]],3)</f>
        <v>North</v>
      </c>
      <c r="O231" t="str">
        <f>VLOOKUP(Table5[[#This Row],[Product ID]],'Product Master'!$A$2:$D$10,4)</f>
        <v>Supplier D</v>
      </c>
      <c r="P231" s="15">
        <f>Table5[[#This Row],[Total Revenue]]-Table5[[#This Row],[Net Sales Revenue]]</f>
        <v>1717.2000000000007</v>
      </c>
      <c r="Q231" s="15">
        <f>Table5[[#This Row],[Net Sales Revenue]]/Table5[[#This Row],[Units Sold]]</f>
        <v>17.099999999999998</v>
      </c>
      <c r="R231">
        <f>VLOOKUP(Table5[[#This Row],[Product ID]],'Product Master'!$A$1:$E$10,5,FALSE)</f>
        <v>9</v>
      </c>
      <c r="S231" s="15">
        <f>Table5[[#This Row],[standard product cost per unit]]*Table5[[#This Row],[Units Sold]]</f>
        <v>17172</v>
      </c>
      <c r="T231" s="15">
        <f>Table5[[#This Row],[Cost of Sales]]-Table5[[#This Row],[Standard cost]]</f>
        <v>0</v>
      </c>
      <c r="U231" s="15">
        <f>Table5[[#This Row],[Net Sales Revenue]]-Table5[[#This Row],[Cost of Sales]]</f>
        <v>15454.8</v>
      </c>
      <c r="V231" s="17">
        <f>Table5[[#This Row],[GrossProfit]]/Table5[[#This Row],[Net Sales Revenue]]</f>
        <v>0.47368421052631576</v>
      </c>
    </row>
    <row r="232" spans="1:22" ht="14.25" customHeight="1" x14ac:dyDescent="0.25">
      <c r="A232" s="1" t="s">
        <v>303</v>
      </c>
      <c r="B232" s="1" t="s">
        <v>298</v>
      </c>
      <c r="C232" s="1" t="s">
        <v>40</v>
      </c>
      <c r="D232" s="1" t="s">
        <v>23</v>
      </c>
      <c r="E232" s="1" t="s">
        <v>21</v>
      </c>
      <c r="F232" s="1">
        <v>1328</v>
      </c>
      <c r="G232" s="14">
        <v>30</v>
      </c>
      <c r="H232" s="1">
        <v>0.08</v>
      </c>
      <c r="I232" s="14">
        <v>36652.800000000003</v>
      </c>
      <c r="J232" s="14">
        <v>18592</v>
      </c>
      <c r="K232" s="15">
        <f>Table5[[#This Row],[Selling Price]]*Table5[[#This Row],[Units Sold]]</f>
        <v>39840</v>
      </c>
      <c r="L232" t="str">
        <f t="shared" si="3"/>
        <v>2023-06</v>
      </c>
      <c r="M232" t="str">
        <f>VLOOKUP(Table5[[#This Row],[Store ID]],Table4[[Store ID]:[Store Location]],2)</f>
        <v>Manchester</v>
      </c>
      <c r="N232" t="str">
        <f>VLOOKUP(Table5[[#This Row],[Store ID]],Table4[[Store ID]:[Region]],3)</f>
        <v>North</v>
      </c>
      <c r="O232" t="str">
        <f>VLOOKUP(Table5[[#This Row],[Product ID]],'Product Master'!$A$2:$D$10,4)</f>
        <v>Supplier D</v>
      </c>
      <c r="P232" s="15">
        <f>Table5[[#This Row],[Total Revenue]]-Table5[[#This Row],[Net Sales Revenue]]</f>
        <v>3187.1999999999971</v>
      </c>
      <c r="Q232" s="15">
        <f>Table5[[#This Row],[Net Sales Revenue]]/Table5[[#This Row],[Units Sold]]</f>
        <v>27.6</v>
      </c>
      <c r="R232">
        <f>VLOOKUP(Table5[[#This Row],[Product ID]],'Product Master'!$A$1:$E$10,5,FALSE)</f>
        <v>14</v>
      </c>
      <c r="S232" s="15">
        <f>Table5[[#This Row],[standard product cost per unit]]*Table5[[#This Row],[Units Sold]]</f>
        <v>18592</v>
      </c>
      <c r="T232" s="15">
        <f>Table5[[#This Row],[Cost of Sales]]-Table5[[#This Row],[Standard cost]]</f>
        <v>0</v>
      </c>
      <c r="U232" s="15">
        <f>Table5[[#This Row],[Net Sales Revenue]]-Table5[[#This Row],[Cost of Sales]]</f>
        <v>18060.800000000003</v>
      </c>
      <c r="V232" s="17">
        <f>Table5[[#This Row],[GrossProfit]]/Table5[[#This Row],[Net Sales Revenue]]</f>
        <v>0.49275362318840582</v>
      </c>
    </row>
    <row r="233" spans="1:22" ht="14.25" customHeight="1" x14ac:dyDescent="0.25">
      <c r="A233" s="1" t="s">
        <v>304</v>
      </c>
      <c r="B233" s="1" t="s">
        <v>298</v>
      </c>
      <c r="C233" s="1" t="s">
        <v>40</v>
      </c>
      <c r="D233" s="1" t="s">
        <v>25</v>
      </c>
      <c r="E233" s="1" t="s">
        <v>27</v>
      </c>
      <c r="F233" s="1">
        <v>2056</v>
      </c>
      <c r="G233" s="14">
        <v>40</v>
      </c>
      <c r="H233" s="1">
        <v>0.06</v>
      </c>
      <c r="I233" s="14">
        <v>77305.600000000006</v>
      </c>
      <c r="J233" s="14">
        <v>41120</v>
      </c>
      <c r="K233" s="15">
        <f>Table5[[#This Row],[Selling Price]]*Table5[[#This Row],[Units Sold]]</f>
        <v>82240</v>
      </c>
      <c r="L233" t="str">
        <f t="shared" si="3"/>
        <v>2023-06</v>
      </c>
      <c r="M233" t="str">
        <f>VLOOKUP(Table5[[#This Row],[Store ID]],Table4[[Store ID]:[Store Location]],2)</f>
        <v>Manchester</v>
      </c>
      <c r="N233" t="str">
        <f>VLOOKUP(Table5[[#This Row],[Store ID]],Table4[[Store ID]:[Region]],3)</f>
        <v>North</v>
      </c>
      <c r="O233" t="str">
        <f>VLOOKUP(Table5[[#This Row],[Product ID]],'Product Master'!$A$2:$D$10,4)</f>
        <v>Supplier E</v>
      </c>
      <c r="P233" s="15">
        <f>Table5[[#This Row],[Total Revenue]]-Table5[[#This Row],[Net Sales Revenue]]</f>
        <v>4934.3999999999942</v>
      </c>
      <c r="Q233" s="15">
        <f>Table5[[#This Row],[Net Sales Revenue]]/Table5[[#This Row],[Units Sold]]</f>
        <v>37.6</v>
      </c>
      <c r="R233">
        <f>VLOOKUP(Table5[[#This Row],[Product ID]],'Product Master'!$A$1:$E$10,5,FALSE)</f>
        <v>20</v>
      </c>
      <c r="S233" s="15">
        <f>Table5[[#This Row],[standard product cost per unit]]*Table5[[#This Row],[Units Sold]]</f>
        <v>41120</v>
      </c>
      <c r="T233" s="15">
        <f>Table5[[#This Row],[Cost of Sales]]-Table5[[#This Row],[Standard cost]]</f>
        <v>0</v>
      </c>
      <c r="U233" s="15">
        <f>Table5[[#This Row],[Net Sales Revenue]]-Table5[[#This Row],[Cost of Sales]]</f>
        <v>36185.600000000006</v>
      </c>
      <c r="V233" s="17">
        <f>Table5[[#This Row],[GrossProfit]]/Table5[[#This Row],[Net Sales Revenue]]</f>
        <v>0.46808510638297879</v>
      </c>
    </row>
    <row r="234" spans="1:22" ht="14.25" customHeight="1" x14ac:dyDescent="0.25">
      <c r="A234" s="1" t="s">
        <v>305</v>
      </c>
      <c r="B234" s="1" t="s">
        <v>298</v>
      </c>
      <c r="C234" s="1" t="s">
        <v>40</v>
      </c>
      <c r="D234" s="1" t="s">
        <v>29</v>
      </c>
      <c r="E234" s="1" t="s">
        <v>31</v>
      </c>
      <c r="F234" s="1">
        <v>1632</v>
      </c>
      <c r="G234" s="14">
        <v>10</v>
      </c>
      <c r="H234" s="1">
        <v>0.08</v>
      </c>
      <c r="I234" s="14">
        <v>15014.4</v>
      </c>
      <c r="J234" s="14">
        <v>6528</v>
      </c>
      <c r="K234" s="15">
        <f>Table5[[#This Row],[Selling Price]]*Table5[[#This Row],[Units Sold]]</f>
        <v>16320</v>
      </c>
      <c r="L234" t="str">
        <f t="shared" si="3"/>
        <v>2023-06</v>
      </c>
      <c r="M234" t="str">
        <f>VLOOKUP(Table5[[#This Row],[Store ID]],Table4[[Store ID]:[Store Location]],2)</f>
        <v>Manchester</v>
      </c>
      <c r="N234" t="str">
        <f>VLOOKUP(Table5[[#This Row],[Store ID]],Table4[[Store ID]:[Region]],3)</f>
        <v>North</v>
      </c>
      <c r="O234" t="str">
        <f>VLOOKUP(Table5[[#This Row],[Product ID]],'Product Master'!$A$2:$D$10,4)</f>
        <v>Supplier F</v>
      </c>
      <c r="P234" s="15">
        <f>Table5[[#This Row],[Total Revenue]]-Table5[[#This Row],[Net Sales Revenue]]</f>
        <v>1305.6000000000004</v>
      </c>
      <c r="Q234" s="15">
        <f>Table5[[#This Row],[Net Sales Revenue]]/Table5[[#This Row],[Units Sold]]</f>
        <v>9.1999999999999993</v>
      </c>
      <c r="R234">
        <f>VLOOKUP(Table5[[#This Row],[Product ID]],'Product Master'!$A$1:$E$10,5,FALSE)</f>
        <v>4</v>
      </c>
      <c r="S234" s="15">
        <f>Table5[[#This Row],[standard product cost per unit]]*Table5[[#This Row],[Units Sold]]</f>
        <v>6528</v>
      </c>
      <c r="T234" s="15">
        <f>Table5[[#This Row],[Cost of Sales]]-Table5[[#This Row],[Standard cost]]</f>
        <v>0</v>
      </c>
      <c r="U234" s="15">
        <f>Table5[[#This Row],[Net Sales Revenue]]-Table5[[#This Row],[Cost of Sales]]</f>
        <v>8486.4</v>
      </c>
      <c r="V234" s="17">
        <f>Table5[[#This Row],[GrossProfit]]/Table5[[#This Row],[Net Sales Revenue]]</f>
        <v>0.56521739130434778</v>
      </c>
    </row>
    <row r="235" spans="1:22" ht="14.25" customHeight="1" x14ac:dyDescent="0.25">
      <c r="A235" s="1" t="s">
        <v>306</v>
      </c>
      <c r="B235" s="1" t="s">
        <v>298</v>
      </c>
      <c r="C235" s="1" t="s">
        <v>40</v>
      </c>
      <c r="D235" s="1" t="s">
        <v>33</v>
      </c>
      <c r="E235" s="1" t="s">
        <v>31</v>
      </c>
      <c r="F235" s="1">
        <v>2640</v>
      </c>
      <c r="G235" s="14">
        <v>22</v>
      </c>
      <c r="H235" s="1">
        <v>0.1</v>
      </c>
      <c r="I235" s="14">
        <v>52272</v>
      </c>
      <c r="J235" s="14">
        <v>26400</v>
      </c>
      <c r="K235" s="15">
        <f>Table5[[#This Row],[Selling Price]]*Table5[[#This Row],[Units Sold]]</f>
        <v>58080</v>
      </c>
      <c r="L235" t="str">
        <f t="shared" si="3"/>
        <v>2023-06</v>
      </c>
      <c r="M235" t="str">
        <f>VLOOKUP(Table5[[#This Row],[Store ID]],Table4[[Store ID]:[Store Location]],2)</f>
        <v>Manchester</v>
      </c>
      <c r="N235" t="str">
        <f>VLOOKUP(Table5[[#This Row],[Store ID]],Table4[[Store ID]:[Region]],3)</f>
        <v>North</v>
      </c>
      <c r="O235" t="str">
        <f>VLOOKUP(Table5[[#This Row],[Product ID]],'Product Master'!$A$2:$D$10,4)</f>
        <v>Supplier F</v>
      </c>
      <c r="P235" s="15">
        <f>Table5[[#This Row],[Total Revenue]]-Table5[[#This Row],[Net Sales Revenue]]</f>
        <v>5808</v>
      </c>
      <c r="Q235" s="15">
        <f>Table5[[#This Row],[Net Sales Revenue]]/Table5[[#This Row],[Units Sold]]</f>
        <v>19.8</v>
      </c>
      <c r="R235">
        <f>VLOOKUP(Table5[[#This Row],[Product ID]],'Product Master'!$A$1:$E$10,5,FALSE)</f>
        <v>10</v>
      </c>
      <c r="S235" s="15">
        <f>Table5[[#This Row],[standard product cost per unit]]*Table5[[#This Row],[Units Sold]]</f>
        <v>26400</v>
      </c>
      <c r="T235" s="15">
        <f>Table5[[#This Row],[Cost of Sales]]-Table5[[#This Row],[Standard cost]]</f>
        <v>0</v>
      </c>
      <c r="U235" s="15">
        <f>Table5[[#This Row],[Net Sales Revenue]]-Table5[[#This Row],[Cost of Sales]]</f>
        <v>25872</v>
      </c>
      <c r="V235" s="17">
        <f>Table5[[#This Row],[GrossProfit]]/Table5[[#This Row],[Net Sales Revenue]]</f>
        <v>0.49494949494949497</v>
      </c>
    </row>
    <row r="236" spans="1:22" ht="14.25" customHeight="1" x14ac:dyDescent="0.25">
      <c r="A236" s="1" t="s">
        <v>307</v>
      </c>
      <c r="B236" s="1" t="s">
        <v>298</v>
      </c>
      <c r="C236" s="1" t="s">
        <v>44</v>
      </c>
      <c r="D236" s="1" t="s">
        <v>6</v>
      </c>
      <c r="E236" s="1" t="s">
        <v>8</v>
      </c>
      <c r="F236" s="1">
        <v>1636</v>
      </c>
      <c r="G236" s="14">
        <v>24</v>
      </c>
      <c r="H236" s="1">
        <v>0.08</v>
      </c>
      <c r="I236" s="14">
        <v>36122.879999999997</v>
      </c>
      <c r="J236" s="14">
        <v>19632</v>
      </c>
      <c r="K236" s="15">
        <f>Table5[[#This Row],[Selling Price]]*Table5[[#This Row],[Units Sold]]</f>
        <v>39264</v>
      </c>
      <c r="L236" t="str">
        <f t="shared" si="3"/>
        <v>2023-06</v>
      </c>
      <c r="M236" t="str">
        <f>VLOOKUP(Table5[[#This Row],[Store ID]],Table4[[Store ID]:[Store Location]],2)</f>
        <v>Birmingham</v>
      </c>
      <c r="N236" t="str">
        <f>VLOOKUP(Table5[[#This Row],[Store ID]],Table4[[Store ID]:[Region]],3)</f>
        <v>Midlands</v>
      </c>
      <c r="O236" t="str">
        <f>VLOOKUP(Table5[[#This Row],[Product ID]],'Product Master'!$A$2:$D$10,4)</f>
        <v>Supplier A</v>
      </c>
      <c r="P236" s="15">
        <f>Table5[[#This Row],[Total Revenue]]-Table5[[#This Row],[Net Sales Revenue]]</f>
        <v>3141.1200000000026</v>
      </c>
      <c r="Q236" s="15">
        <f>Table5[[#This Row],[Net Sales Revenue]]/Table5[[#This Row],[Units Sold]]</f>
        <v>22.08</v>
      </c>
      <c r="R236">
        <f>VLOOKUP(Table5[[#This Row],[Product ID]],'Product Master'!$A$1:$E$10,5,FALSE)</f>
        <v>12</v>
      </c>
      <c r="S236" s="15">
        <f>Table5[[#This Row],[standard product cost per unit]]*Table5[[#This Row],[Units Sold]]</f>
        <v>19632</v>
      </c>
      <c r="T236" s="15">
        <f>Table5[[#This Row],[Cost of Sales]]-Table5[[#This Row],[Standard cost]]</f>
        <v>0</v>
      </c>
      <c r="U236" s="15">
        <f>Table5[[#This Row],[Net Sales Revenue]]-Table5[[#This Row],[Cost of Sales]]</f>
        <v>16490.879999999997</v>
      </c>
      <c r="V236" s="17">
        <f>Table5[[#This Row],[GrossProfit]]/Table5[[#This Row],[Net Sales Revenue]]</f>
        <v>0.45652173913043476</v>
      </c>
    </row>
    <row r="237" spans="1:22" ht="14.25" customHeight="1" x14ac:dyDescent="0.25">
      <c r="A237" s="1" t="s">
        <v>308</v>
      </c>
      <c r="B237" s="1" t="s">
        <v>298</v>
      </c>
      <c r="C237" s="1" t="s">
        <v>44</v>
      </c>
      <c r="D237" s="1" t="s">
        <v>10</v>
      </c>
      <c r="E237" s="1" t="s">
        <v>8</v>
      </c>
      <c r="F237" s="1">
        <v>2100</v>
      </c>
      <c r="G237" s="14">
        <v>50</v>
      </c>
      <c r="H237" s="1">
        <v>7.0000000000000007E-2</v>
      </c>
      <c r="I237" s="14">
        <v>97650</v>
      </c>
      <c r="J237" s="14">
        <v>58800</v>
      </c>
      <c r="K237" s="15">
        <f>Table5[[#This Row],[Selling Price]]*Table5[[#This Row],[Units Sold]]</f>
        <v>105000</v>
      </c>
      <c r="L237" t="str">
        <f t="shared" si="3"/>
        <v>2023-06</v>
      </c>
      <c r="M237" t="str">
        <f>VLOOKUP(Table5[[#This Row],[Store ID]],Table4[[Store ID]:[Store Location]],2)</f>
        <v>Birmingham</v>
      </c>
      <c r="N237" t="str">
        <f>VLOOKUP(Table5[[#This Row],[Store ID]],Table4[[Store ID]:[Region]],3)</f>
        <v>Midlands</v>
      </c>
      <c r="O237" t="str">
        <f>VLOOKUP(Table5[[#This Row],[Product ID]],'Product Master'!$A$2:$D$10,4)</f>
        <v>Supplier B</v>
      </c>
      <c r="P237" s="15">
        <f>Table5[[#This Row],[Total Revenue]]-Table5[[#This Row],[Net Sales Revenue]]</f>
        <v>7350</v>
      </c>
      <c r="Q237" s="15">
        <f>Table5[[#This Row],[Net Sales Revenue]]/Table5[[#This Row],[Units Sold]]</f>
        <v>46.5</v>
      </c>
      <c r="R237">
        <f>VLOOKUP(Table5[[#This Row],[Product ID]],'Product Master'!$A$1:$E$10,5,FALSE)</f>
        <v>28</v>
      </c>
      <c r="S237" s="15">
        <f>Table5[[#This Row],[standard product cost per unit]]*Table5[[#This Row],[Units Sold]]</f>
        <v>58800</v>
      </c>
      <c r="T237" s="15">
        <f>Table5[[#This Row],[Cost of Sales]]-Table5[[#This Row],[Standard cost]]</f>
        <v>0</v>
      </c>
      <c r="U237" s="15">
        <f>Table5[[#This Row],[Net Sales Revenue]]-Table5[[#This Row],[Cost of Sales]]</f>
        <v>38850</v>
      </c>
      <c r="V237" s="17">
        <f>Table5[[#This Row],[GrossProfit]]/Table5[[#This Row],[Net Sales Revenue]]</f>
        <v>0.39784946236559138</v>
      </c>
    </row>
    <row r="238" spans="1:22" ht="14.25" customHeight="1" x14ac:dyDescent="0.25">
      <c r="A238" s="1" t="s">
        <v>309</v>
      </c>
      <c r="B238" s="1" t="s">
        <v>298</v>
      </c>
      <c r="C238" s="1" t="s">
        <v>44</v>
      </c>
      <c r="D238" s="1" t="s">
        <v>13</v>
      </c>
      <c r="E238" s="1" t="s">
        <v>15</v>
      </c>
      <c r="F238" s="1">
        <v>1780</v>
      </c>
      <c r="G238" s="14">
        <v>28</v>
      </c>
      <c r="H238" s="1">
        <v>7.0000000000000007E-2</v>
      </c>
      <c r="I238" s="14">
        <v>46351.199999999997</v>
      </c>
      <c r="J238" s="14">
        <v>26700</v>
      </c>
      <c r="K238" s="15">
        <f>Table5[[#This Row],[Selling Price]]*Table5[[#This Row],[Units Sold]]</f>
        <v>49840</v>
      </c>
      <c r="L238" t="str">
        <f t="shared" si="3"/>
        <v>2023-06</v>
      </c>
      <c r="M238" t="str">
        <f>VLOOKUP(Table5[[#This Row],[Store ID]],Table4[[Store ID]:[Store Location]],2)</f>
        <v>Birmingham</v>
      </c>
      <c r="N238" t="str">
        <f>VLOOKUP(Table5[[#This Row],[Store ID]],Table4[[Store ID]:[Region]],3)</f>
        <v>Midlands</v>
      </c>
      <c r="O238" t="str">
        <f>VLOOKUP(Table5[[#This Row],[Product ID]],'Product Master'!$A$2:$D$10,4)</f>
        <v>Supplier C</v>
      </c>
      <c r="P238" s="15">
        <f>Table5[[#This Row],[Total Revenue]]-Table5[[#This Row],[Net Sales Revenue]]</f>
        <v>3488.8000000000029</v>
      </c>
      <c r="Q238" s="15">
        <f>Table5[[#This Row],[Net Sales Revenue]]/Table5[[#This Row],[Units Sold]]</f>
        <v>26.04</v>
      </c>
      <c r="R238">
        <f>VLOOKUP(Table5[[#This Row],[Product ID]],'Product Master'!$A$1:$E$10,5,FALSE)</f>
        <v>15</v>
      </c>
      <c r="S238" s="15">
        <f>Table5[[#This Row],[standard product cost per unit]]*Table5[[#This Row],[Units Sold]]</f>
        <v>26700</v>
      </c>
      <c r="T238" s="15">
        <f>Table5[[#This Row],[Cost of Sales]]-Table5[[#This Row],[Standard cost]]</f>
        <v>0</v>
      </c>
      <c r="U238" s="15">
        <f>Table5[[#This Row],[Net Sales Revenue]]-Table5[[#This Row],[Cost of Sales]]</f>
        <v>19651.199999999997</v>
      </c>
      <c r="V238" s="17">
        <f>Table5[[#This Row],[GrossProfit]]/Table5[[#This Row],[Net Sales Revenue]]</f>
        <v>0.42396313364055294</v>
      </c>
    </row>
    <row r="239" spans="1:22" ht="14.25" customHeight="1" x14ac:dyDescent="0.25">
      <c r="A239" s="1" t="s">
        <v>310</v>
      </c>
      <c r="B239" s="1" t="s">
        <v>298</v>
      </c>
      <c r="C239" s="1" t="s">
        <v>44</v>
      </c>
      <c r="D239" s="1" t="s">
        <v>17</v>
      </c>
      <c r="E239" s="1" t="s">
        <v>15</v>
      </c>
      <c r="F239" s="1">
        <v>2124</v>
      </c>
      <c r="G239" s="14">
        <v>35</v>
      </c>
      <c r="H239" s="1">
        <v>0.08</v>
      </c>
      <c r="I239" s="14">
        <v>68392.800000000003</v>
      </c>
      <c r="J239" s="14">
        <v>38232</v>
      </c>
      <c r="K239" s="15">
        <f>Table5[[#This Row],[Selling Price]]*Table5[[#This Row],[Units Sold]]</f>
        <v>74340</v>
      </c>
      <c r="L239" t="str">
        <f t="shared" si="3"/>
        <v>2023-06</v>
      </c>
      <c r="M239" t="str">
        <f>VLOOKUP(Table5[[#This Row],[Store ID]],Table4[[Store ID]:[Store Location]],2)</f>
        <v>Birmingham</v>
      </c>
      <c r="N239" t="str">
        <f>VLOOKUP(Table5[[#This Row],[Store ID]],Table4[[Store ID]:[Region]],3)</f>
        <v>Midlands</v>
      </c>
      <c r="O239" t="str">
        <f>VLOOKUP(Table5[[#This Row],[Product ID]],'Product Master'!$A$2:$D$10,4)</f>
        <v>Supplier C</v>
      </c>
      <c r="P239" s="15">
        <f>Table5[[#This Row],[Total Revenue]]-Table5[[#This Row],[Net Sales Revenue]]</f>
        <v>5947.1999999999971</v>
      </c>
      <c r="Q239" s="15">
        <f>Table5[[#This Row],[Net Sales Revenue]]/Table5[[#This Row],[Units Sold]]</f>
        <v>32.200000000000003</v>
      </c>
      <c r="R239">
        <f>VLOOKUP(Table5[[#This Row],[Product ID]],'Product Master'!$A$1:$E$10,5,FALSE)</f>
        <v>18</v>
      </c>
      <c r="S239" s="15">
        <f>Table5[[#This Row],[standard product cost per unit]]*Table5[[#This Row],[Units Sold]]</f>
        <v>38232</v>
      </c>
      <c r="T239" s="15">
        <f>Table5[[#This Row],[Cost of Sales]]-Table5[[#This Row],[Standard cost]]</f>
        <v>0</v>
      </c>
      <c r="U239" s="15">
        <f>Table5[[#This Row],[Net Sales Revenue]]-Table5[[#This Row],[Cost of Sales]]</f>
        <v>30160.800000000003</v>
      </c>
      <c r="V239" s="17">
        <f>Table5[[#This Row],[GrossProfit]]/Table5[[#This Row],[Net Sales Revenue]]</f>
        <v>0.44099378881987578</v>
      </c>
    </row>
    <row r="240" spans="1:22" ht="14.25" customHeight="1" x14ac:dyDescent="0.25">
      <c r="A240" s="1" t="s">
        <v>311</v>
      </c>
      <c r="B240" s="1" t="s">
        <v>298</v>
      </c>
      <c r="C240" s="1" t="s">
        <v>44</v>
      </c>
      <c r="D240" s="1" t="s">
        <v>19</v>
      </c>
      <c r="E240" s="1" t="s">
        <v>21</v>
      </c>
      <c r="F240" s="1">
        <v>2752</v>
      </c>
      <c r="G240" s="14">
        <v>18</v>
      </c>
      <c r="H240" s="1">
        <v>0.08</v>
      </c>
      <c r="I240" s="14">
        <v>45573.120000000003</v>
      </c>
      <c r="J240" s="14">
        <v>24768</v>
      </c>
      <c r="K240" s="15">
        <f>Table5[[#This Row],[Selling Price]]*Table5[[#This Row],[Units Sold]]</f>
        <v>49536</v>
      </c>
      <c r="L240" t="str">
        <f t="shared" si="3"/>
        <v>2023-06</v>
      </c>
      <c r="M240" t="str">
        <f>VLOOKUP(Table5[[#This Row],[Store ID]],Table4[[Store ID]:[Store Location]],2)</f>
        <v>Birmingham</v>
      </c>
      <c r="N240" t="str">
        <f>VLOOKUP(Table5[[#This Row],[Store ID]],Table4[[Store ID]:[Region]],3)</f>
        <v>Midlands</v>
      </c>
      <c r="O240" t="str">
        <f>VLOOKUP(Table5[[#This Row],[Product ID]],'Product Master'!$A$2:$D$10,4)</f>
        <v>Supplier D</v>
      </c>
      <c r="P240" s="15">
        <f>Table5[[#This Row],[Total Revenue]]-Table5[[#This Row],[Net Sales Revenue]]</f>
        <v>3962.8799999999974</v>
      </c>
      <c r="Q240" s="15">
        <f>Table5[[#This Row],[Net Sales Revenue]]/Table5[[#This Row],[Units Sold]]</f>
        <v>16.560000000000002</v>
      </c>
      <c r="R240">
        <f>VLOOKUP(Table5[[#This Row],[Product ID]],'Product Master'!$A$1:$E$10,5,FALSE)</f>
        <v>9</v>
      </c>
      <c r="S240" s="15">
        <f>Table5[[#This Row],[standard product cost per unit]]*Table5[[#This Row],[Units Sold]]</f>
        <v>24768</v>
      </c>
      <c r="T240" s="15">
        <f>Table5[[#This Row],[Cost of Sales]]-Table5[[#This Row],[Standard cost]]</f>
        <v>0</v>
      </c>
      <c r="U240" s="15">
        <f>Table5[[#This Row],[Net Sales Revenue]]-Table5[[#This Row],[Cost of Sales]]</f>
        <v>20805.120000000003</v>
      </c>
      <c r="V240" s="17">
        <f>Table5[[#This Row],[GrossProfit]]/Table5[[#This Row],[Net Sales Revenue]]</f>
        <v>0.45652173913043481</v>
      </c>
    </row>
    <row r="241" spans="1:22" ht="14.25" customHeight="1" x14ac:dyDescent="0.25">
      <c r="A241" s="1" t="s">
        <v>312</v>
      </c>
      <c r="B241" s="1" t="s">
        <v>298</v>
      </c>
      <c r="C241" s="1" t="s">
        <v>44</v>
      </c>
      <c r="D241" s="1" t="s">
        <v>23</v>
      </c>
      <c r="E241" s="1" t="s">
        <v>21</v>
      </c>
      <c r="F241" s="1">
        <v>1640</v>
      </c>
      <c r="G241" s="14">
        <v>30</v>
      </c>
      <c r="H241" s="1">
        <v>7.0000000000000007E-2</v>
      </c>
      <c r="I241" s="14">
        <v>45756</v>
      </c>
      <c r="J241" s="14">
        <v>22960</v>
      </c>
      <c r="K241" s="15">
        <f>Table5[[#This Row],[Selling Price]]*Table5[[#This Row],[Units Sold]]</f>
        <v>49200</v>
      </c>
      <c r="L241" t="str">
        <f t="shared" si="3"/>
        <v>2023-06</v>
      </c>
      <c r="M241" t="str">
        <f>VLOOKUP(Table5[[#This Row],[Store ID]],Table4[[Store ID]:[Store Location]],2)</f>
        <v>Birmingham</v>
      </c>
      <c r="N241" t="str">
        <f>VLOOKUP(Table5[[#This Row],[Store ID]],Table4[[Store ID]:[Region]],3)</f>
        <v>Midlands</v>
      </c>
      <c r="O241" t="str">
        <f>VLOOKUP(Table5[[#This Row],[Product ID]],'Product Master'!$A$2:$D$10,4)</f>
        <v>Supplier D</v>
      </c>
      <c r="P241" s="15">
        <f>Table5[[#This Row],[Total Revenue]]-Table5[[#This Row],[Net Sales Revenue]]</f>
        <v>3444</v>
      </c>
      <c r="Q241" s="15">
        <f>Table5[[#This Row],[Net Sales Revenue]]/Table5[[#This Row],[Units Sold]]</f>
        <v>27.9</v>
      </c>
      <c r="R241">
        <f>VLOOKUP(Table5[[#This Row],[Product ID]],'Product Master'!$A$1:$E$10,5,FALSE)</f>
        <v>14</v>
      </c>
      <c r="S241" s="15">
        <f>Table5[[#This Row],[standard product cost per unit]]*Table5[[#This Row],[Units Sold]]</f>
        <v>22960</v>
      </c>
      <c r="T241" s="15">
        <f>Table5[[#This Row],[Cost of Sales]]-Table5[[#This Row],[Standard cost]]</f>
        <v>0</v>
      </c>
      <c r="U241" s="15">
        <f>Table5[[#This Row],[Net Sales Revenue]]-Table5[[#This Row],[Cost of Sales]]</f>
        <v>22796</v>
      </c>
      <c r="V241" s="17">
        <f>Table5[[#This Row],[GrossProfit]]/Table5[[#This Row],[Net Sales Revenue]]</f>
        <v>0.49820788530465948</v>
      </c>
    </row>
    <row r="242" spans="1:22" ht="14.25" customHeight="1" x14ac:dyDescent="0.25">
      <c r="A242" s="1" t="s">
        <v>313</v>
      </c>
      <c r="B242" s="1" t="s">
        <v>298</v>
      </c>
      <c r="C242" s="1" t="s">
        <v>44</v>
      </c>
      <c r="D242" s="1" t="s">
        <v>25</v>
      </c>
      <c r="E242" s="1" t="s">
        <v>27</v>
      </c>
      <c r="F242" s="1">
        <v>2112</v>
      </c>
      <c r="G242" s="14">
        <v>40</v>
      </c>
      <c r="H242" s="1">
        <v>0.1</v>
      </c>
      <c r="I242" s="14">
        <v>76032</v>
      </c>
      <c r="J242" s="14">
        <v>42240</v>
      </c>
      <c r="K242" s="15">
        <f>Table5[[#This Row],[Selling Price]]*Table5[[#This Row],[Units Sold]]</f>
        <v>84480</v>
      </c>
      <c r="L242" t="str">
        <f t="shared" si="3"/>
        <v>2023-06</v>
      </c>
      <c r="M242" t="str">
        <f>VLOOKUP(Table5[[#This Row],[Store ID]],Table4[[Store ID]:[Store Location]],2)</f>
        <v>Birmingham</v>
      </c>
      <c r="N242" t="str">
        <f>VLOOKUP(Table5[[#This Row],[Store ID]],Table4[[Store ID]:[Region]],3)</f>
        <v>Midlands</v>
      </c>
      <c r="O242" t="str">
        <f>VLOOKUP(Table5[[#This Row],[Product ID]],'Product Master'!$A$2:$D$10,4)</f>
        <v>Supplier E</v>
      </c>
      <c r="P242" s="15">
        <f>Table5[[#This Row],[Total Revenue]]-Table5[[#This Row],[Net Sales Revenue]]</f>
        <v>8448</v>
      </c>
      <c r="Q242" s="15">
        <f>Table5[[#This Row],[Net Sales Revenue]]/Table5[[#This Row],[Units Sold]]</f>
        <v>36</v>
      </c>
      <c r="R242">
        <f>VLOOKUP(Table5[[#This Row],[Product ID]],'Product Master'!$A$1:$E$10,5,FALSE)</f>
        <v>20</v>
      </c>
      <c r="S242" s="15">
        <f>Table5[[#This Row],[standard product cost per unit]]*Table5[[#This Row],[Units Sold]]</f>
        <v>42240</v>
      </c>
      <c r="T242" s="15">
        <f>Table5[[#This Row],[Cost of Sales]]-Table5[[#This Row],[Standard cost]]</f>
        <v>0</v>
      </c>
      <c r="U242" s="15">
        <f>Table5[[#This Row],[Net Sales Revenue]]-Table5[[#This Row],[Cost of Sales]]</f>
        <v>33792</v>
      </c>
      <c r="V242" s="17">
        <f>Table5[[#This Row],[GrossProfit]]/Table5[[#This Row],[Net Sales Revenue]]</f>
        <v>0.44444444444444442</v>
      </c>
    </row>
    <row r="243" spans="1:22" ht="14.25" customHeight="1" x14ac:dyDescent="0.25">
      <c r="A243" s="1" t="s">
        <v>314</v>
      </c>
      <c r="B243" s="1" t="s">
        <v>298</v>
      </c>
      <c r="C243" s="1" t="s">
        <v>44</v>
      </c>
      <c r="D243" s="1" t="s">
        <v>29</v>
      </c>
      <c r="E243" s="1" t="s">
        <v>31</v>
      </c>
      <c r="F243" s="1">
        <v>2440</v>
      </c>
      <c r="G243" s="14">
        <v>10</v>
      </c>
      <c r="H243" s="1">
        <v>0.09</v>
      </c>
      <c r="I243" s="14">
        <v>22204</v>
      </c>
      <c r="J243" s="14">
        <v>9760</v>
      </c>
      <c r="K243" s="15">
        <f>Table5[[#This Row],[Selling Price]]*Table5[[#This Row],[Units Sold]]</f>
        <v>24400</v>
      </c>
      <c r="L243" t="str">
        <f t="shared" si="3"/>
        <v>2023-06</v>
      </c>
      <c r="M243" t="str">
        <f>VLOOKUP(Table5[[#This Row],[Store ID]],Table4[[Store ID]:[Store Location]],2)</f>
        <v>Birmingham</v>
      </c>
      <c r="N243" t="str">
        <f>VLOOKUP(Table5[[#This Row],[Store ID]],Table4[[Store ID]:[Region]],3)</f>
        <v>Midlands</v>
      </c>
      <c r="O243" t="str">
        <f>VLOOKUP(Table5[[#This Row],[Product ID]],'Product Master'!$A$2:$D$10,4)</f>
        <v>Supplier F</v>
      </c>
      <c r="P243" s="15">
        <f>Table5[[#This Row],[Total Revenue]]-Table5[[#This Row],[Net Sales Revenue]]</f>
        <v>2196</v>
      </c>
      <c r="Q243" s="15">
        <f>Table5[[#This Row],[Net Sales Revenue]]/Table5[[#This Row],[Units Sold]]</f>
        <v>9.1</v>
      </c>
      <c r="R243">
        <f>VLOOKUP(Table5[[#This Row],[Product ID]],'Product Master'!$A$1:$E$10,5,FALSE)</f>
        <v>4</v>
      </c>
      <c r="S243" s="15">
        <f>Table5[[#This Row],[standard product cost per unit]]*Table5[[#This Row],[Units Sold]]</f>
        <v>9760</v>
      </c>
      <c r="T243" s="15">
        <f>Table5[[#This Row],[Cost of Sales]]-Table5[[#This Row],[Standard cost]]</f>
        <v>0</v>
      </c>
      <c r="U243" s="15">
        <f>Table5[[#This Row],[Net Sales Revenue]]-Table5[[#This Row],[Cost of Sales]]</f>
        <v>12444</v>
      </c>
      <c r="V243" s="17">
        <f>Table5[[#This Row],[GrossProfit]]/Table5[[#This Row],[Net Sales Revenue]]</f>
        <v>0.56043956043956045</v>
      </c>
    </row>
    <row r="244" spans="1:22" ht="14.25" customHeight="1" x14ac:dyDescent="0.25">
      <c r="A244" s="1" t="s">
        <v>315</v>
      </c>
      <c r="B244" s="1" t="s">
        <v>298</v>
      </c>
      <c r="C244" s="1" t="s">
        <v>44</v>
      </c>
      <c r="D244" s="1" t="s">
        <v>33</v>
      </c>
      <c r="E244" s="1" t="s">
        <v>31</v>
      </c>
      <c r="F244" s="1">
        <v>2568</v>
      </c>
      <c r="G244" s="14">
        <v>22</v>
      </c>
      <c r="H244" s="1">
        <v>7.0000000000000007E-2</v>
      </c>
      <c r="I244" s="14">
        <v>52541.279999999999</v>
      </c>
      <c r="J244" s="14">
        <v>25680</v>
      </c>
      <c r="K244" s="15">
        <f>Table5[[#This Row],[Selling Price]]*Table5[[#This Row],[Units Sold]]</f>
        <v>56496</v>
      </c>
      <c r="L244" t="str">
        <f t="shared" si="3"/>
        <v>2023-06</v>
      </c>
      <c r="M244" t="str">
        <f>VLOOKUP(Table5[[#This Row],[Store ID]],Table4[[Store ID]:[Store Location]],2)</f>
        <v>Birmingham</v>
      </c>
      <c r="N244" t="str">
        <f>VLOOKUP(Table5[[#This Row],[Store ID]],Table4[[Store ID]:[Region]],3)</f>
        <v>Midlands</v>
      </c>
      <c r="O244" t="str">
        <f>VLOOKUP(Table5[[#This Row],[Product ID]],'Product Master'!$A$2:$D$10,4)</f>
        <v>Supplier F</v>
      </c>
      <c r="P244" s="15">
        <f>Table5[[#This Row],[Total Revenue]]-Table5[[#This Row],[Net Sales Revenue]]</f>
        <v>3954.7200000000012</v>
      </c>
      <c r="Q244" s="15">
        <f>Table5[[#This Row],[Net Sales Revenue]]/Table5[[#This Row],[Units Sold]]</f>
        <v>20.46</v>
      </c>
      <c r="R244">
        <f>VLOOKUP(Table5[[#This Row],[Product ID]],'Product Master'!$A$1:$E$10,5,FALSE)</f>
        <v>10</v>
      </c>
      <c r="S244" s="15">
        <f>Table5[[#This Row],[standard product cost per unit]]*Table5[[#This Row],[Units Sold]]</f>
        <v>25680</v>
      </c>
      <c r="T244" s="15">
        <f>Table5[[#This Row],[Cost of Sales]]-Table5[[#This Row],[Standard cost]]</f>
        <v>0</v>
      </c>
      <c r="U244" s="15">
        <f>Table5[[#This Row],[Net Sales Revenue]]-Table5[[#This Row],[Cost of Sales]]</f>
        <v>26861.279999999999</v>
      </c>
      <c r="V244" s="17">
        <f>Table5[[#This Row],[GrossProfit]]/Table5[[#This Row],[Net Sales Revenue]]</f>
        <v>0.51124144672531768</v>
      </c>
    </row>
    <row r="245" spans="1:22" ht="14.25" customHeight="1" x14ac:dyDescent="0.25">
      <c r="A245" s="1" t="s">
        <v>316</v>
      </c>
      <c r="B245" s="1" t="s">
        <v>298</v>
      </c>
      <c r="C245" s="1" t="s">
        <v>48</v>
      </c>
      <c r="D245" s="1" t="s">
        <v>6</v>
      </c>
      <c r="E245" s="1" t="s">
        <v>8</v>
      </c>
      <c r="F245" s="1">
        <v>2188</v>
      </c>
      <c r="G245" s="14">
        <v>24</v>
      </c>
      <c r="H245" s="1">
        <v>0.1</v>
      </c>
      <c r="I245" s="14">
        <v>47260.800000000003</v>
      </c>
      <c r="J245" s="14">
        <v>26256</v>
      </c>
      <c r="K245" s="15">
        <f>Table5[[#This Row],[Selling Price]]*Table5[[#This Row],[Units Sold]]</f>
        <v>52512</v>
      </c>
      <c r="L245" t="str">
        <f t="shared" si="3"/>
        <v>2023-06</v>
      </c>
      <c r="M245" t="str">
        <f>VLOOKUP(Table5[[#This Row],[Store ID]],Table4[[Store ID]:[Store Location]],2)</f>
        <v>London Stratford</v>
      </c>
      <c r="N245" t="str">
        <f>VLOOKUP(Table5[[#This Row],[Store ID]],Table4[[Store ID]:[Region]],3)</f>
        <v>South</v>
      </c>
      <c r="O245" t="str">
        <f>VLOOKUP(Table5[[#This Row],[Product ID]],'Product Master'!$A$2:$D$10,4)</f>
        <v>Supplier A</v>
      </c>
      <c r="P245" s="15">
        <f>Table5[[#This Row],[Total Revenue]]-Table5[[#This Row],[Net Sales Revenue]]</f>
        <v>5251.1999999999971</v>
      </c>
      <c r="Q245" s="15">
        <f>Table5[[#This Row],[Net Sales Revenue]]/Table5[[#This Row],[Units Sold]]</f>
        <v>21.6</v>
      </c>
      <c r="R245">
        <f>VLOOKUP(Table5[[#This Row],[Product ID]],'Product Master'!$A$1:$E$10,5,FALSE)</f>
        <v>12</v>
      </c>
      <c r="S245" s="15">
        <f>Table5[[#This Row],[standard product cost per unit]]*Table5[[#This Row],[Units Sold]]</f>
        <v>26256</v>
      </c>
      <c r="T245" s="15">
        <f>Table5[[#This Row],[Cost of Sales]]-Table5[[#This Row],[Standard cost]]</f>
        <v>0</v>
      </c>
      <c r="U245" s="15">
        <f>Table5[[#This Row],[Net Sales Revenue]]-Table5[[#This Row],[Cost of Sales]]</f>
        <v>21004.800000000003</v>
      </c>
      <c r="V245" s="17">
        <f>Table5[[#This Row],[GrossProfit]]/Table5[[#This Row],[Net Sales Revenue]]</f>
        <v>0.44444444444444448</v>
      </c>
    </row>
    <row r="246" spans="1:22" ht="14.25" customHeight="1" x14ac:dyDescent="0.25">
      <c r="A246" s="1" t="s">
        <v>317</v>
      </c>
      <c r="B246" s="1" t="s">
        <v>298</v>
      </c>
      <c r="C246" s="1" t="s">
        <v>48</v>
      </c>
      <c r="D246" s="1" t="s">
        <v>10</v>
      </c>
      <c r="E246" s="1" t="s">
        <v>8</v>
      </c>
      <c r="F246" s="1">
        <v>2304</v>
      </c>
      <c r="G246" s="14">
        <v>50</v>
      </c>
      <c r="H246" s="1">
        <v>0.06</v>
      </c>
      <c r="I246" s="14">
        <v>108288</v>
      </c>
      <c r="J246" s="14">
        <v>64512</v>
      </c>
      <c r="K246" s="15">
        <f>Table5[[#This Row],[Selling Price]]*Table5[[#This Row],[Units Sold]]</f>
        <v>115200</v>
      </c>
      <c r="L246" t="str">
        <f t="shared" si="3"/>
        <v>2023-06</v>
      </c>
      <c r="M246" t="str">
        <f>VLOOKUP(Table5[[#This Row],[Store ID]],Table4[[Store ID]:[Store Location]],2)</f>
        <v>London Stratford</v>
      </c>
      <c r="N246" t="str">
        <f>VLOOKUP(Table5[[#This Row],[Store ID]],Table4[[Store ID]:[Region]],3)</f>
        <v>South</v>
      </c>
      <c r="O246" t="str">
        <f>VLOOKUP(Table5[[#This Row],[Product ID]],'Product Master'!$A$2:$D$10,4)</f>
        <v>Supplier B</v>
      </c>
      <c r="P246" s="15">
        <f>Table5[[#This Row],[Total Revenue]]-Table5[[#This Row],[Net Sales Revenue]]</f>
        <v>6912</v>
      </c>
      <c r="Q246" s="15">
        <f>Table5[[#This Row],[Net Sales Revenue]]/Table5[[#This Row],[Units Sold]]</f>
        <v>47</v>
      </c>
      <c r="R246">
        <f>VLOOKUP(Table5[[#This Row],[Product ID]],'Product Master'!$A$1:$E$10,5,FALSE)</f>
        <v>28</v>
      </c>
      <c r="S246" s="15">
        <f>Table5[[#This Row],[standard product cost per unit]]*Table5[[#This Row],[Units Sold]]</f>
        <v>64512</v>
      </c>
      <c r="T246" s="15">
        <f>Table5[[#This Row],[Cost of Sales]]-Table5[[#This Row],[Standard cost]]</f>
        <v>0</v>
      </c>
      <c r="U246" s="15">
        <f>Table5[[#This Row],[Net Sales Revenue]]-Table5[[#This Row],[Cost of Sales]]</f>
        <v>43776</v>
      </c>
      <c r="V246" s="17">
        <f>Table5[[#This Row],[GrossProfit]]/Table5[[#This Row],[Net Sales Revenue]]</f>
        <v>0.40425531914893614</v>
      </c>
    </row>
    <row r="247" spans="1:22" ht="14.25" customHeight="1" x14ac:dyDescent="0.25">
      <c r="A247" s="1" t="s">
        <v>318</v>
      </c>
      <c r="B247" s="1" t="s">
        <v>298</v>
      </c>
      <c r="C247" s="1" t="s">
        <v>48</v>
      </c>
      <c r="D247" s="1" t="s">
        <v>13</v>
      </c>
      <c r="E247" s="1" t="s">
        <v>15</v>
      </c>
      <c r="F247" s="1">
        <v>1244</v>
      </c>
      <c r="G247" s="14">
        <v>28</v>
      </c>
      <c r="H247" s="1">
        <v>7.0000000000000007E-2</v>
      </c>
      <c r="I247" s="14">
        <v>32393.759999999998</v>
      </c>
      <c r="J247" s="14">
        <v>18660</v>
      </c>
      <c r="K247" s="15">
        <f>Table5[[#This Row],[Selling Price]]*Table5[[#This Row],[Units Sold]]</f>
        <v>34832</v>
      </c>
      <c r="L247" t="str">
        <f t="shared" si="3"/>
        <v>2023-06</v>
      </c>
      <c r="M247" t="str">
        <f>VLOOKUP(Table5[[#This Row],[Store ID]],Table4[[Store ID]:[Store Location]],2)</f>
        <v>London Stratford</v>
      </c>
      <c r="N247" t="str">
        <f>VLOOKUP(Table5[[#This Row],[Store ID]],Table4[[Store ID]:[Region]],3)</f>
        <v>South</v>
      </c>
      <c r="O247" t="str">
        <f>VLOOKUP(Table5[[#This Row],[Product ID]],'Product Master'!$A$2:$D$10,4)</f>
        <v>Supplier C</v>
      </c>
      <c r="P247" s="15">
        <f>Table5[[#This Row],[Total Revenue]]-Table5[[#This Row],[Net Sales Revenue]]</f>
        <v>2438.2400000000016</v>
      </c>
      <c r="Q247" s="15">
        <f>Table5[[#This Row],[Net Sales Revenue]]/Table5[[#This Row],[Units Sold]]</f>
        <v>26.04</v>
      </c>
      <c r="R247">
        <f>VLOOKUP(Table5[[#This Row],[Product ID]],'Product Master'!$A$1:$E$10,5,FALSE)</f>
        <v>15</v>
      </c>
      <c r="S247" s="15">
        <f>Table5[[#This Row],[standard product cost per unit]]*Table5[[#This Row],[Units Sold]]</f>
        <v>18660</v>
      </c>
      <c r="T247" s="15">
        <f>Table5[[#This Row],[Cost of Sales]]-Table5[[#This Row],[Standard cost]]</f>
        <v>0</v>
      </c>
      <c r="U247" s="15">
        <f>Table5[[#This Row],[Net Sales Revenue]]-Table5[[#This Row],[Cost of Sales]]</f>
        <v>13733.759999999998</v>
      </c>
      <c r="V247" s="17">
        <f>Table5[[#This Row],[GrossProfit]]/Table5[[#This Row],[Net Sales Revenue]]</f>
        <v>0.42396313364055299</v>
      </c>
    </row>
    <row r="248" spans="1:22" ht="14.25" customHeight="1" x14ac:dyDescent="0.25">
      <c r="A248" s="1" t="s">
        <v>319</v>
      </c>
      <c r="B248" s="1" t="s">
        <v>298</v>
      </c>
      <c r="C248" s="1" t="s">
        <v>48</v>
      </c>
      <c r="D248" s="1" t="s">
        <v>17</v>
      </c>
      <c r="E248" s="1" t="s">
        <v>15</v>
      </c>
      <c r="F248" s="1">
        <v>2088</v>
      </c>
      <c r="G248" s="14">
        <v>35</v>
      </c>
      <c r="H248" s="1">
        <v>7.0000000000000007E-2</v>
      </c>
      <c r="I248" s="14">
        <v>67964.399999999994</v>
      </c>
      <c r="J248" s="14">
        <v>37584</v>
      </c>
      <c r="K248" s="15">
        <f>Table5[[#This Row],[Selling Price]]*Table5[[#This Row],[Units Sold]]</f>
        <v>73080</v>
      </c>
      <c r="L248" t="str">
        <f t="shared" si="3"/>
        <v>2023-06</v>
      </c>
      <c r="M248" t="str">
        <f>VLOOKUP(Table5[[#This Row],[Store ID]],Table4[[Store ID]:[Store Location]],2)</f>
        <v>London Stratford</v>
      </c>
      <c r="N248" t="str">
        <f>VLOOKUP(Table5[[#This Row],[Store ID]],Table4[[Store ID]:[Region]],3)</f>
        <v>South</v>
      </c>
      <c r="O248" t="str">
        <f>VLOOKUP(Table5[[#This Row],[Product ID]],'Product Master'!$A$2:$D$10,4)</f>
        <v>Supplier C</v>
      </c>
      <c r="P248" s="15">
        <f>Table5[[#This Row],[Total Revenue]]-Table5[[#This Row],[Net Sales Revenue]]</f>
        <v>5115.6000000000058</v>
      </c>
      <c r="Q248" s="15">
        <f>Table5[[#This Row],[Net Sales Revenue]]/Table5[[#This Row],[Units Sold]]</f>
        <v>32.549999999999997</v>
      </c>
      <c r="R248">
        <f>VLOOKUP(Table5[[#This Row],[Product ID]],'Product Master'!$A$1:$E$10,5,FALSE)</f>
        <v>18</v>
      </c>
      <c r="S248" s="15">
        <f>Table5[[#This Row],[standard product cost per unit]]*Table5[[#This Row],[Units Sold]]</f>
        <v>37584</v>
      </c>
      <c r="T248" s="15">
        <f>Table5[[#This Row],[Cost of Sales]]-Table5[[#This Row],[Standard cost]]</f>
        <v>0</v>
      </c>
      <c r="U248" s="15">
        <f>Table5[[#This Row],[Net Sales Revenue]]-Table5[[#This Row],[Cost of Sales]]</f>
        <v>30380.399999999994</v>
      </c>
      <c r="V248" s="17">
        <f>Table5[[#This Row],[GrossProfit]]/Table5[[#This Row],[Net Sales Revenue]]</f>
        <v>0.44700460829493083</v>
      </c>
    </row>
    <row r="249" spans="1:22" ht="14.25" customHeight="1" x14ac:dyDescent="0.25">
      <c r="A249" s="1" t="s">
        <v>320</v>
      </c>
      <c r="B249" s="1" t="s">
        <v>298</v>
      </c>
      <c r="C249" s="1" t="s">
        <v>48</v>
      </c>
      <c r="D249" s="1" t="s">
        <v>19</v>
      </c>
      <c r="E249" s="1" t="s">
        <v>21</v>
      </c>
      <c r="F249" s="1">
        <v>2184</v>
      </c>
      <c r="G249" s="14">
        <v>18</v>
      </c>
      <c r="H249" s="1">
        <v>0.1</v>
      </c>
      <c r="I249" s="14">
        <v>35380.800000000003</v>
      </c>
      <c r="J249" s="14">
        <v>19656</v>
      </c>
      <c r="K249" s="15">
        <f>Table5[[#This Row],[Selling Price]]*Table5[[#This Row],[Units Sold]]</f>
        <v>39312</v>
      </c>
      <c r="L249" t="str">
        <f t="shared" si="3"/>
        <v>2023-06</v>
      </c>
      <c r="M249" t="str">
        <f>VLOOKUP(Table5[[#This Row],[Store ID]],Table4[[Store ID]:[Store Location]],2)</f>
        <v>London Stratford</v>
      </c>
      <c r="N249" t="str">
        <f>VLOOKUP(Table5[[#This Row],[Store ID]],Table4[[Store ID]:[Region]],3)</f>
        <v>South</v>
      </c>
      <c r="O249" t="str">
        <f>VLOOKUP(Table5[[#This Row],[Product ID]],'Product Master'!$A$2:$D$10,4)</f>
        <v>Supplier D</v>
      </c>
      <c r="P249" s="15">
        <f>Table5[[#This Row],[Total Revenue]]-Table5[[#This Row],[Net Sales Revenue]]</f>
        <v>3931.1999999999971</v>
      </c>
      <c r="Q249" s="15">
        <f>Table5[[#This Row],[Net Sales Revenue]]/Table5[[#This Row],[Units Sold]]</f>
        <v>16.200000000000003</v>
      </c>
      <c r="R249">
        <f>VLOOKUP(Table5[[#This Row],[Product ID]],'Product Master'!$A$1:$E$10,5,FALSE)</f>
        <v>9</v>
      </c>
      <c r="S249" s="15">
        <f>Table5[[#This Row],[standard product cost per unit]]*Table5[[#This Row],[Units Sold]]</f>
        <v>19656</v>
      </c>
      <c r="T249" s="15">
        <f>Table5[[#This Row],[Cost of Sales]]-Table5[[#This Row],[Standard cost]]</f>
        <v>0</v>
      </c>
      <c r="U249" s="15">
        <f>Table5[[#This Row],[Net Sales Revenue]]-Table5[[#This Row],[Cost of Sales]]</f>
        <v>15724.800000000003</v>
      </c>
      <c r="V249" s="17">
        <f>Table5[[#This Row],[GrossProfit]]/Table5[[#This Row],[Net Sales Revenue]]</f>
        <v>0.44444444444444448</v>
      </c>
    </row>
    <row r="250" spans="1:22" ht="14.25" customHeight="1" x14ac:dyDescent="0.25">
      <c r="A250" s="1" t="s">
        <v>321</v>
      </c>
      <c r="B250" s="1" t="s">
        <v>298</v>
      </c>
      <c r="C250" s="1" t="s">
        <v>48</v>
      </c>
      <c r="D250" s="1" t="s">
        <v>23</v>
      </c>
      <c r="E250" s="1" t="s">
        <v>21</v>
      </c>
      <c r="F250" s="1">
        <v>2184</v>
      </c>
      <c r="G250" s="14">
        <v>30</v>
      </c>
      <c r="H250" s="1">
        <v>0.08</v>
      </c>
      <c r="I250" s="14">
        <v>60278.400000000001</v>
      </c>
      <c r="J250" s="14">
        <v>30576</v>
      </c>
      <c r="K250" s="15">
        <f>Table5[[#This Row],[Selling Price]]*Table5[[#This Row],[Units Sold]]</f>
        <v>65520</v>
      </c>
      <c r="L250" t="str">
        <f t="shared" si="3"/>
        <v>2023-06</v>
      </c>
      <c r="M250" t="str">
        <f>VLOOKUP(Table5[[#This Row],[Store ID]],Table4[[Store ID]:[Store Location]],2)</f>
        <v>London Stratford</v>
      </c>
      <c r="N250" t="str">
        <f>VLOOKUP(Table5[[#This Row],[Store ID]],Table4[[Store ID]:[Region]],3)</f>
        <v>South</v>
      </c>
      <c r="O250" t="str">
        <f>VLOOKUP(Table5[[#This Row],[Product ID]],'Product Master'!$A$2:$D$10,4)</f>
        <v>Supplier D</v>
      </c>
      <c r="P250" s="15">
        <f>Table5[[#This Row],[Total Revenue]]-Table5[[#This Row],[Net Sales Revenue]]</f>
        <v>5241.5999999999985</v>
      </c>
      <c r="Q250" s="15">
        <f>Table5[[#This Row],[Net Sales Revenue]]/Table5[[#This Row],[Units Sold]]</f>
        <v>27.6</v>
      </c>
      <c r="R250">
        <f>VLOOKUP(Table5[[#This Row],[Product ID]],'Product Master'!$A$1:$E$10,5,FALSE)</f>
        <v>14</v>
      </c>
      <c r="S250" s="15">
        <f>Table5[[#This Row],[standard product cost per unit]]*Table5[[#This Row],[Units Sold]]</f>
        <v>30576</v>
      </c>
      <c r="T250" s="15">
        <f>Table5[[#This Row],[Cost of Sales]]-Table5[[#This Row],[Standard cost]]</f>
        <v>0</v>
      </c>
      <c r="U250" s="15">
        <f>Table5[[#This Row],[Net Sales Revenue]]-Table5[[#This Row],[Cost of Sales]]</f>
        <v>29702.400000000001</v>
      </c>
      <c r="V250" s="17">
        <f>Table5[[#This Row],[GrossProfit]]/Table5[[#This Row],[Net Sales Revenue]]</f>
        <v>0.49275362318840582</v>
      </c>
    </row>
    <row r="251" spans="1:22" ht="14.25" customHeight="1" x14ac:dyDescent="0.25">
      <c r="A251" s="1" t="s">
        <v>322</v>
      </c>
      <c r="B251" s="1" t="s">
        <v>298</v>
      </c>
      <c r="C251" s="1" t="s">
        <v>48</v>
      </c>
      <c r="D251" s="1" t="s">
        <v>25</v>
      </c>
      <c r="E251" s="1" t="s">
        <v>27</v>
      </c>
      <c r="F251" s="1">
        <v>1884</v>
      </c>
      <c r="G251" s="14">
        <v>40</v>
      </c>
      <c r="H251" s="1">
        <v>0.08</v>
      </c>
      <c r="I251" s="14">
        <v>69331.199999999997</v>
      </c>
      <c r="J251" s="14">
        <v>37680</v>
      </c>
      <c r="K251" s="15">
        <f>Table5[[#This Row],[Selling Price]]*Table5[[#This Row],[Units Sold]]</f>
        <v>75360</v>
      </c>
      <c r="L251" t="str">
        <f t="shared" si="3"/>
        <v>2023-06</v>
      </c>
      <c r="M251" t="str">
        <f>VLOOKUP(Table5[[#This Row],[Store ID]],Table4[[Store ID]:[Store Location]],2)</f>
        <v>London Stratford</v>
      </c>
      <c r="N251" t="str">
        <f>VLOOKUP(Table5[[#This Row],[Store ID]],Table4[[Store ID]:[Region]],3)</f>
        <v>South</v>
      </c>
      <c r="O251" t="str">
        <f>VLOOKUP(Table5[[#This Row],[Product ID]],'Product Master'!$A$2:$D$10,4)</f>
        <v>Supplier E</v>
      </c>
      <c r="P251" s="15">
        <f>Table5[[#This Row],[Total Revenue]]-Table5[[#This Row],[Net Sales Revenue]]</f>
        <v>6028.8000000000029</v>
      </c>
      <c r="Q251" s="15">
        <f>Table5[[#This Row],[Net Sales Revenue]]/Table5[[#This Row],[Units Sold]]</f>
        <v>36.799999999999997</v>
      </c>
      <c r="R251">
        <f>VLOOKUP(Table5[[#This Row],[Product ID]],'Product Master'!$A$1:$E$10,5,FALSE)</f>
        <v>20</v>
      </c>
      <c r="S251" s="15">
        <f>Table5[[#This Row],[standard product cost per unit]]*Table5[[#This Row],[Units Sold]]</f>
        <v>37680</v>
      </c>
      <c r="T251" s="15">
        <f>Table5[[#This Row],[Cost of Sales]]-Table5[[#This Row],[Standard cost]]</f>
        <v>0</v>
      </c>
      <c r="U251" s="15">
        <f>Table5[[#This Row],[Net Sales Revenue]]-Table5[[#This Row],[Cost of Sales]]</f>
        <v>31651.199999999997</v>
      </c>
      <c r="V251" s="17">
        <f>Table5[[#This Row],[GrossProfit]]/Table5[[#This Row],[Net Sales Revenue]]</f>
        <v>0.45652173913043476</v>
      </c>
    </row>
    <row r="252" spans="1:22" ht="14.25" customHeight="1" x14ac:dyDescent="0.25">
      <c r="A252" s="1" t="s">
        <v>323</v>
      </c>
      <c r="B252" s="1" t="s">
        <v>298</v>
      </c>
      <c r="C252" s="1" t="s">
        <v>48</v>
      </c>
      <c r="D252" s="1" t="s">
        <v>29</v>
      </c>
      <c r="E252" s="1" t="s">
        <v>31</v>
      </c>
      <c r="F252" s="1">
        <v>2168</v>
      </c>
      <c r="G252" s="14">
        <v>10</v>
      </c>
      <c r="H252" s="1">
        <v>0.06</v>
      </c>
      <c r="I252" s="14">
        <v>20379.2</v>
      </c>
      <c r="J252" s="14">
        <v>8672</v>
      </c>
      <c r="K252" s="15">
        <f>Table5[[#This Row],[Selling Price]]*Table5[[#This Row],[Units Sold]]</f>
        <v>21680</v>
      </c>
      <c r="L252" t="str">
        <f t="shared" si="3"/>
        <v>2023-06</v>
      </c>
      <c r="M252" t="str">
        <f>VLOOKUP(Table5[[#This Row],[Store ID]],Table4[[Store ID]:[Store Location]],2)</f>
        <v>London Stratford</v>
      </c>
      <c r="N252" t="str">
        <f>VLOOKUP(Table5[[#This Row],[Store ID]],Table4[[Store ID]:[Region]],3)</f>
        <v>South</v>
      </c>
      <c r="O252" t="str">
        <f>VLOOKUP(Table5[[#This Row],[Product ID]],'Product Master'!$A$2:$D$10,4)</f>
        <v>Supplier F</v>
      </c>
      <c r="P252" s="15">
        <f>Table5[[#This Row],[Total Revenue]]-Table5[[#This Row],[Net Sales Revenue]]</f>
        <v>1300.7999999999993</v>
      </c>
      <c r="Q252" s="15">
        <f>Table5[[#This Row],[Net Sales Revenue]]/Table5[[#This Row],[Units Sold]]</f>
        <v>9.4</v>
      </c>
      <c r="R252">
        <f>VLOOKUP(Table5[[#This Row],[Product ID]],'Product Master'!$A$1:$E$10,5,FALSE)</f>
        <v>4</v>
      </c>
      <c r="S252" s="15">
        <f>Table5[[#This Row],[standard product cost per unit]]*Table5[[#This Row],[Units Sold]]</f>
        <v>8672</v>
      </c>
      <c r="T252" s="15">
        <f>Table5[[#This Row],[Cost of Sales]]-Table5[[#This Row],[Standard cost]]</f>
        <v>0</v>
      </c>
      <c r="U252" s="15">
        <f>Table5[[#This Row],[Net Sales Revenue]]-Table5[[#This Row],[Cost of Sales]]</f>
        <v>11707.2</v>
      </c>
      <c r="V252" s="17">
        <f>Table5[[#This Row],[GrossProfit]]/Table5[[#This Row],[Net Sales Revenue]]</f>
        <v>0.57446808510638303</v>
      </c>
    </row>
    <row r="253" spans="1:22" ht="14.25" customHeight="1" x14ac:dyDescent="0.25">
      <c r="A253" s="1" t="s">
        <v>324</v>
      </c>
      <c r="B253" s="1" t="s">
        <v>298</v>
      </c>
      <c r="C253" s="1" t="s">
        <v>48</v>
      </c>
      <c r="D253" s="1" t="s">
        <v>33</v>
      </c>
      <c r="E253" s="1" t="s">
        <v>31</v>
      </c>
      <c r="F253" s="1">
        <v>2584</v>
      </c>
      <c r="G253" s="14">
        <v>22</v>
      </c>
      <c r="H253" s="1">
        <v>0.09</v>
      </c>
      <c r="I253" s="14">
        <v>51731.68</v>
      </c>
      <c r="J253" s="14">
        <v>25840</v>
      </c>
      <c r="K253" s="15">
        <f>Table5[[#This Row],[Selling Price]]*Table5[[#This Row],[Units Sold]]</f>
        <v>56848</v>
      </c>
      <c r="L253" t="str">
        <f t="shared" si="3"/>
        <v>2023-06</v>
      </c>
      <c r="M253" t="str">
        <f>VLOOKUP(Table5[[#This Row],[Store ID]],Table4[[Store ID]:[Store Location]],2)</f>
        <v>London Stratford</v>
      </c>
      <c r="N253" t="str">
        <f>VLOOKUP(Table5[[#This Row],[Store ID]],Table4[[Store ID]:[Region]],3)</f>
        <v>South</v>
      </c>
      <c r="O253" t="str">
        <f>VLOOKUP(Table5[[#This Row],[Product ID]],'Product Master'!$A$2:$D$10,4)</f>
        <v>Supplier F</v>
      </c>
      <c r="P253" s="15">
        <f>Table5[[#This Row],[Total Revenue]]-Table5[[#This Row],[Net Sales Revenue]]</f>
        <v>5116.32</v>
      </c>
      <c r="Q253" s="15">
        <f>Table5[[#This Row],[Net Sales Revenue]]/Table5[[#This Row],[Units Sold]]</f>
        <v>20.02</v>
      </c>
      <c r="R253">
        <f>VLOOKUP(Table5[[#This Row],[Product ID]],'Product Master'!$A$1:$E$10,5,FALSE)</f>
        <v>10</v>
      </c>
      <c r="S253" s="15">
        <f>Table5[[#This Row],[standard product cost per unit]]*Table5[[#This Row],[Units Sold]]</f>
        <v>25840</v>
      </c>
      <c r="T253" s="15">
        <f>Table5[[#This Row],[Cost of Sales]]-Table5[[#This Row],[Standard cost]]</f>
        <v>0</v>
      </c>
      <c r="U253" s="15">
        <f>Table5[[#This Row],[Net Sales Revenue]]-Table5[[#This Row],[Cost of Sales]]</f>
        <v>25891.68</v>
      </c>
      <c r="V253" s="17">
        <f>Table5[[#This Row],[GrossProfit]]/Table5[[#This Row],[Net Sales Revenue]]</f>
        <v>0.50049950049950054</v>
      </c>
    </row>
    <row r="254" spans="1:22" ht="14.25" customHeight="1" x14ac:dyDescent="0.25">
      <c r="A254" s="1" t="s">
        <v>325</v>
      </c>
      <c r="B254" s="1" t="s">
        <v>298</v>
      </c>
      <c r="C254" s="1" t="s">
        <v>52</v>
      </c>
      <c r="D254" s="1" t="s">
        <v>6</v>
      </c>
      <c r="E254" s="1" t="s">
        <v>8</v>
      </c>
      <c r="F254" s="1">
        <v>1868</v>
      </c>
      <c r="G254" s="14">
        <v>24</v>
      </c>
      <c r="H254" s="1">
        <v>0.09</v>
      </c>
      <c r="I254" s="14">
        <v>40797.120000000003</v>
      </c>
      <c r="J254" s="14">
        <v>22416</v>
      </c>
      <c r="K254" s="15">
        <f>Table5[[#This Row],[Selling Price]]*Table5[[#This Row],[Units Sold]]</f>
        <v>44832</v>
      </c>
      <c r="L254" t="str">
        <f t="shared" si="3"/>
        <v>2023-06</v>
      </c>
      <c r="M254" t="str">
        <f>VLOOKUP(Table5[[#This Row],[Store ID]],Table4[[Store ID]:[Store Location]],2)</f>
        <v>Glasgow</v>
      </c>
      <c r="N254" t="str">
        <f>VLOOKUP(Table5[[#This Row],[Store ID]],Table4[[Store ID]:[Region]],3)</f>
        <v>Scotland</v>
      </c>
      <c r="O254" t="str">
        <f>VLOOKUP(Table5[[#This Row],[Product ID]],'Product Master'!$A$2:$D$10,4)</f>
        <v>Supplier A</v>
      </c>
      <c r="P254" s="15">
        <f>Table5[[#This Row],[Total Revenue]]-Table5[[#This Row],[Net Sales Revenue]]</f>
        <v>4034.8799999999974</v>
      </c>
      <c r="Q254" s="15">
        <f>Table5[[#This Row],[Net Sales Revenue]]/Table5[[#This Row],[Units Sold]]</f>
        <v>21.84</v>
      </c>
      <c r="R254">
        <f>VLOOKUP(Table5[[#This Row],[Product ID]],'Product Master'!$A$1:$E$10,5,FALSE)</f>
        <v>12</v>
      </c>
      <c r="S254" s="15">
        <f>Table5[[#This Row],[standard product cost per unit]]*Table5[[#This Row],[Units Sold]]</f>
        <v>22416</v>
      </c>
      <c r="T254" s="15">
        <f>Table5[[#This Row],[Cost of Sales]]-Table5[[#This Row],[Standard cost]]</f>
        <v>0</v>
      </c>
      <c r="U254" s="15">
        <f>Table5[[#This Row],[Net Sales Revenue]]-Table5[[#This Row],[Cost of Sales]]</f>
        <v>18381.120000000003</v>
      </c>
      <c r="V254" s="17">
        <f>Table5[[#This Row],[GrossProfit]]/Table5[[#This Row],[Net Sales Revenue]]</f>
        <v>0.45054945054945056</v>
      </c>
    </row>
    <row r="255" spans="1:22" ht="14.25" customHeight="1" x14ac:dyDescent="0.25">
      <c r="A255" s="1" t="s">
        <v>326</v>
      </c>
      <c r="B255" s="1" t="s">
        <v>298</v>
      </c>
      <c r="C255" s="1" t="s">
        <v>52</v>
      </c>
      <c r="D255" s="1" t="s">
        <v>10</v>
      </c>
      <c r="E255" s="1" t="s">
        <v>8</v>
      </c>
      <c r="F255" s="1">
        <v>1896</v>
      </c>
      <c r="G255" s="14">
        <v>50</v>
      </c>
      <c r="H255" s="1">
        <v>7.0000000000000007E-2</v>
      </c>
      <c r="I255" s="14">
        <v>88164</v>
      </c>
      <c r="J255" s="14">
        <v>53088</v>
      </c>
      <c r="K255" s="15">
        <f>Table5[[#This Row],[Selling Price]]*Table5[[#This Row],[Units Sold]]</f>
        <v>94800</v>
      </c>
      <c r="L255" t="str">
        <f t="shared" si="3"/>
        <v>2023-06</v>
      </c>
      <c r="M255" t="str">
        <f>VLOOKUP(Table5[[#This Row],[Store ID]],Table4[[Store ID]:[Store Location]],2)</f>
        <v>Glasgow</v>
      </c>
      <c r="N255" t="str">
        <f>VLOOKUP(Table5[[#This Row],[Store ID]],Table4[[Store ID]:[Region]],3)</f>
        <v>Scotland</v>
      </c>
      <c r="O255" t="str">
        <f>VLOOKUP(Table5[[#This Row],[Product ID]],'Product Master'!$A$2:$D$10,4)</f>
        <v>Supplier B</v>
      </c>
      <c r="P255" s="15">
        <f>Table5[[#This Row],[Total Revenue]]-Table5[[#This Row],[Net Sales Revenue]]</f>
        <v>6636</v>
      </c>
      <c r="Q255" s="15">
        <f>Table5[[#This Row],[Net Sales Revenue]]/Table5[[#This Row],[Units Sold]]</f>
        <v>46.5</v>
      </c>
      <c r="R255">
        <f>VLOOKUP(Table5[[#This Row],[Product ID]],'Product Master'!$A$1:$E$10,5,FALSE)</f>
        <v>28</v>
      </c>
      <c r="S255" s="15">
        <f>Table5[[#This Row],[standard product cost per unit]]*Table5[[#This Row],[Units Sold]]</f>
        <v>53088</v>
      </c>
      <c r="T255" s="15">
        <f>Table5[[#This Row],[Cost of Sales]]-Table5[[#This Row],[Standard cost]]</f>
        <v>0</v>
      </c>
      <c r="U255" s="15">
        <f>Table5[[#This Row],[Net Sales Revenue]]-Table5[[#This Row],[Cost of Sales]]</f>
        <v>35076</v>
      </c>
      <c r="V255" s="17">
        <f>Table5[[#This Row],[GrossProfit]]/Table5[[#This Row],[Net Sales Revenue]]</f>
        <v>0.39784946236559138</v>
      </c>
    </row>
    <row r="256" spans="1:22" ht="14.25" customHeight="1" x14ac:dyDescent="0.25">
      <c r="A256" s="1" t="s">
        <v>327</v>
      </c>
      <c r="B256" s="1" t="s">
        <v>298</v>
      </c>
      <c r="C256" s="1" t="s">
        <v>52</v>
      </c>
      <c r="D256" s="1" t="s">
        <v>13</v>
      </c>
      <c r="E256" s="1" t="s">
        <v>15</v>
      </c>
      <c r="F256" s="1">
        <v>2120</v>
      </c>
      <c r="G256" s="14">
        <v>28</v>
      </c>
      <c r="H256" s="1">
        <v>0.05</v>
      </c>
      <c r="I256" s="14">
        <v>56392</v>
      </c>
      <c r="J256" s="14">
        <v>31800</v>
      </c>
      <c r="K256" s="15">
        <f>Table5[[#This Row],[Selling Price]]*Table5[[#This Row],[Units Sold]]</f>
        <v>59360</v>
      </c>
      <c r="L256" t="str">
        <f t="shared" si="3"/>
        <v>2023-06</v>
      </c>
      <c r="M256" t="str">
        <f>VLOOKUP(Table5[[#This Row],[Store ID]],Table4[[Store ID]:[Store Location]],2)</f>
        <v>Glasgow</v>
      </c>
      <c r="N256" t="str">
        <f>VLOOKUP(Table5[[#This Row],[Store ID]],Table4[[Store ID]:[Region]],3)</f>
        <v>Scotland</v>
      </c>
      <c r="O256" t="str">
        <f>VLOOKUP(Table5[[#This Row],[Product ID]],'Product Master'!$A$2:$D$10,4)</f>
        <v>Supplier C</v>
      </c>
      <c r="P256" s="15">
        <f>Table5[[#This Row],[Total Revenue]]-Table5[[#This Row],[Net Sales Revenue]]</f>
        <v>2968</v>
      </c>
      <c r="Q256" s="15">
        <f>Table5[[#This Row],[Net Sales Revenue]]/Table5[[#This Row],[Units Sold]]</f>
        <v>26.6</v>
      </c>
      <c r="R256">
        <f>VLOOKUP(Table5[[#This Row],[Product ID]],'Product Master'!$A$1:$E$10,5,FALSE)</f>
        <v>15</v>
      </c>
      <c r="S256" s="15">
        <f>Table5[[#This Row],[standard product cost per unit]]*Table5[[#This Row],[Units Sold]]</f>
        <v>31800</v>
      </c>
      <c r="T256" s="15">
        <f>Table5[[#This Row],[Cost of Sales]]-Table5[[#This Row],[Standard cost]]</f>
        <v>0</v>
      </c>
      <c r="U256" s="15">
        <f>Table5[[#This Row],[Net Sales Revenue]]-Table5[[#This Row],[Cost of Sales]]</f>
        <v>24592</v>
      </c>
      <c r="V256" s="17">
        <f>Table5[[#This Row],[GrossProfit]]/Table5[[#This Row],[Net Sales Revenue]]</f>
        <v>0.43609022556390975</v>
      </c>
    </row>
    <row r="257" spans="1:22" ht="14.25" customHeight="1" x14ac:dyDescent="0.25">
      <c r="A257" s="1" t="s">
        <v>328</v>
      </c>
      <c r="B257" s="1" t="s">
        <v>298</v>
      </c>
      <c r="C257" s="1" t="s">
        <v>52</v>
      </c>
      <c r="D257" s="1" t="s">
        <v>17</v>
      </c>
      <c r="E257" s="1" t="s">
        <v>15</v>
      </c>
      <c r="F257" s="1">
        <v>1288</v>
      </c>
      <c r="G257" s="14">
        <v>35</v>
      </c>
      <c r="H257" s="1">
        <v>0.08</v>
      </c>
      <c r="I257" s="14">
        <v>41473.599999999999</v>
      </c>
      <c r="J257" s="14">
        <v>23184</v>
      </c>
      <c r="K257" s="15">
        <f>Table5[[#This Row],[Selling Price]]*Table5[[#This Row],[Units Sold]]</f>
        <v>45080</v>
      </c>
      <c r="L257" t="str">
        <f t="shared" si="3"/>
        <v>2023-06</v>
      </c>
      <c r="M257" t="str">
        <f>VLOOKUP(Table5[[#This Row],[Store ID]],Table4[[Store ID]:[Store Location]],2)</f>
        <v>Glasgow</v>
      </c>
      <c r="N257" t="str">
        <f>VLOOKUP(Table5[[#This Row],[Store ID]],Table4[[Store ID]:[Region]],3)</f>
        <v>Scotland</v>
      </c>
      <c r="O257" t="str">
        <f>VLOOKUP(Table5[[#This Row],[Product ID]],'Product Master'!$A$2:$D$10,4)</f>
        <v>Supplier C</v>
      </c>
      <c r="P257" s="15">
        <f>Table5[[#This Row],[Total Revenue]]-Table5[[#This Row],[Net Sales Revenue]]</f>
        <v>3606.4000000000015</v>
      </c>
      <c r="Q257" s="15">
        <f>Table5[[#This Row],[Net Sales Revenue]]/Table5[[#This Row],[Units Sold]]</f>
        <v>32.199999999999996</v>
      </c>
      <c r="R257">
        <f>VLOOKUP(Table5[[#This Row],[Product ID]],'Product Master'!$A$1:$E$10,5,FALSE)</f>
        <v>18</v>
      </c>
      <c r="S257" s="15">
        <f>Table5[[#This Row],[standard product cost per unit]]*Table5[[#This Row],[Units Sold]]</f>
        <v>23184</v>
      </c>
      <c r="T257" s="15">
        <f>Table5[[#This Row],[Cost of Sales]]-Table5[[#This Row],[Standard cost]]</f>
        <v>0</v>
      </c>
      <c r="U257" s="15">
        <f>Table5[[#This Row],[Net Sales Revenue]]-Table5[[#This Row],[Cost of Sales]]</f>
        <v>18289.599999999999</v>
      </c>
      <c r="V257" s="17">
        <f>Table5[[#This Row],[GrossProfit]]/Table5[[#This Row],[Net Sales Revenue]]</f>
        <v>0.44099378881987578</v>
      </c>
    </row>
    <row r="258" spans="1:22" ht="14.25" customHeight="1" x14ac:dyDescent="0.25">
      <c r="A258" s="1" t="s">
        <v>329</v>
      </c>
      <c r="B258" s="1" t="s">
        <v>298</v>
      </c>
      <c r="C258" s="1" t="s">
        <v>52</v>
      </c>
      <c r="D258" s="1" t="s">
        <v>19</v>
      </c>
      <c r="E258" s="1" t="s">
        <v>21</v>
      </c>
      <c r="F258" s="1">
        <v>2624</v>
      </c>
      <c r="G258" s="14">
        <v>18</v>
      </c>
      <c r="H258" s="1">
        <v>7.0000000000000007E-2</v>
      </c>
      <c r="I258" s="14">
        <v>43925.760000000002</v>
      </c>
      <c r="J258" s="14">
        <v>23616</v>
      </c>
      <c r="K258" s="15">
        <f>Table5[[#This Row],[Selling Price]]*Table5[[#This Row],[Units Sold]]</f>
        <v>47232</v>
      </c>
      <c r="L258" t="str">
        <f t="shared" ref="L258:L321" si="4">TEXT(B258,"yyyy-mm")</f>
        <v>2023-06</v>
      </c>
      <c r="M258" t="str">
        <f>VLOOKUP(Table5[[#This Row],[Store ID]],Table4[[Store ID]:[Store Location]],2)</f>
        <v>Glasgow</v>
      </c>
      <c r="N258" t="str">
        <f>VLOOKUP(Table5[[#This Row],[Store ID]],Table4[[Store ID]:[Region]],3)</f>
        <v>Scotland</v>
      </c>
      <c r="O258" t="str">
        <f>VLOOKUP(Table5[[#This Row],[Product ID]],'Product Master'!$A$2:$D$10,4)</f>
        <v>Supplier D</v>
      </c>
      <c r="P258" s="15">
        <f>Table5[[#This Row],[Total Revenue]]-Table5[[#This Row],[Net Sales Revenue]]</f>
        <v>3306.239999999998</v>
      </c>
      <c r="Q258" s="15">
        <f>Table5[[#This Row],[Net Sales Revenue]]/Table5[[#This Row],[Units Sold]]</f>
        <v>16.740000000000002</v>
      </c>
      <c r="R258">
        <f>VLOOKUP(Table5[[#This Row],[Product ID]],'Product Master'!$A$1:$E$10,5,FALSE)</f>
        <v>9</v>
      </c>
      <c r="S258" s="15">
        <f>Table5[[#This Row],[standard product cost per unit]]*Table5[[#This Row],[Units Sold]]</f>
        <v>23616</v>
      </c>
      <c r="T258" s="15">
        <f>Table5[[#This Row],[Cost of Sales]]-Table5[[#This Row],[Standard cost]]</f>
        <v>0</v>
      </c>
      <c r="U258" s="15">
        <f>Table5[[#This Row],[Net Sales Revenue]]-Table5[[#This Row],[Cost of Sales]]</f>
        <v>20309.760000000002</v>
      </c>
      <c r="V258" s="17">
        <f>Table5[[#This Row],[GrossProfit]]/Table5[[#This Row],[Net Sales Revenue]]</f>
        <v>0.4623655913978495</v>
      </c>
    </row>
    <row r="259" spans="1:22" ht="14.25" customHeight="1" x14ac:dyDescent="0.25">
      <c r="A259" s="1" t="s">
        <v>330</v>
      </c>
      <c r="B259" s="1" t="s">
        <v>298</v>
      </c>
      <c r="C259" s="1" t="s">
        <v>52</v>
      </c>
      <c r="D259" s="1" t="s">
        <v>23</v>
      </c>
      <c r="E259" s="1" t="s">
        <v>21</v>
      </c>
      <c r="F259" s="1">
        <v>2232</v>
      </c>
      <c r="G259" s="14">
        <v>30</v>
      </c>
      <c r="H259" s="1">
        <v>0.1</v>
      </c>
      <c r="I259" s="14">
        <v>60264</v>
      </c>
      <c r="J259" s="14">
        <v>31248</v>
      </c>
      <c r="K259" s="15">
        <f>Table5[[#This Row],[Selling Price]]*Table5[[#This Row],[Units Sold]]</f>
        <v>66960</v>
      </c>
      <c r="L259" t="str">
        <f t="shared" si="4"/>
        <v>2023-06</v>
      </c>
      <c r="M259" t="str">
        <f>VLOOKUP(Table5[[#This Row],[Store ID]],Table4[[Store ID]:[Store Location]],2)</f>
        <v>Glasgow</v>
      </c>
      <c r="N259" t="str">
        <f>VLOOKUP(Table5[[#This Row],[Store ID]],Table4[[Store ID]:[Region]],3)</f>
        <v>Scotland</v>
      </c>
      <c r="O259" t="str">
        <f>VLOOKUP(Table5[[#This Row],[Product ID]],'Product Master'!$A$2:$D$10,4)</f>
        <v>Supplier D</v>
      </c>
      <c r="P259" s="15">
        <f>Table5[[#This Row],[Total Revenue]]-Table5[[#This Row],[Net Sales Revenue]]</f>
        <v>6696</v>
      </c>
      <c r="Q259" s="15">
        <f>Table5[[#This Row],[Net Sales Revenue]]/Table5[[#This Row],[Units Sold]]</f>
        <v>27</v>
      </c>
      <c r="R259">
        <f>VLOOKUP(Table5[[#This Row],[Product ID]],'Product Master'!$A$1:$E$10,5,FALSE)</f>
        <v>14</v>
      </c>
      <c r="S259" s="15">
        <f>Table5[[#This Row],[standard product cost per unit]]*Table5[[#This Row],[Units Sold]]</f>
        <v>31248</v>
      </c>
      <c r="T259" s="15">
        <f>Table5[[#This Row],[Cost of Sales]]-Table5[[#This Row],[Standard cost]]</f>
        <v>0</v>
      </c>
      <c r="U259" s="15">
        <f>Table5[[#This Row],[Net Sales Revenue]]-Table5[[#This Row],[Cost of Sales]]</f>
        <v>29016</v>
      </c>
      <c r="V259" s="17">
        <f>Table5[[#This Row],[GrossProfit]]/Table5[[#This Row],[Net Sales Revenue]]</f>
        <v>0.48148148148148145</v>
      </c>
    </row>
    <row r="260" spans="1:22" ht="14.25" customHeight="1" x14ac:dyDescent="0.25">
      <c r="A260" s="1" t="s">
        <v>331</v>
      </c>
      <c r="B260" s="1" t="s">
        <v>298</v>
      </c>
      <c r="C260" s="1" t="s">
        <v>52</v>
      </c>
      <c r="D260" s="1" t="s">
        <v>25</v>
      </c>
      <c r="E260" s="1" t="s">
        <v>27</v>
      </c>
      <c r="F260" s="1">
        <v>2216</v>
      </c>
      <c r="G260" s="14">
        <v>40</v>
      </c>
      <c r="H260" s="1">
        <v>0.08</v>
      </c>
      <c r="I260" s="14">
        <v>81548.800000000003</v>
      </c>
      <c r="J260" s="14">
        <v>44320</v>
      </c>
      <c r="K260" s="15">
        <f>Table5[[#This Row],[Selling Price]]*Table5[[#This Row],[Units Sold]]</f>
        <v>88640</v>
      </c>
      <c r="L260" t="str">
        <f t="shared" si="4"/>
        <v>2023-06</v>
      </c>
      <c r="M260" t="str">
        <f>VLOOKUP(Table5[[#This Row],[Store ID]],Table4[[Store ID]:[Store Location]],2)</f>
        <v>Glasgow</v>
      </c>
      <c r="N260" t="str">
        <f>VLOOKUP(Table5[[#This Row],[Store ID]],Table4[[Store ID]:[Region]],3)</f>
        <v>Scotland</v>
      </c>
      <c r="O260" t="str">
        <f>VLOOKUP(Table5[[#This Row],[Product ID]],'Product Master'!$A$2:$D$10,4)</f>
        <v>Supplier E</v>
      </c>
      <c r="P260" s="15">
        <f>Table5[[#This Row],[Total Revenue]]-Table5[[#This Row],[Net Sales Revenue]]</f>
        <v>7091.1999999999971</v>
      </c>
      <c r="Q260" s="15">
        <f>Table5[[#This Row],[Net Sales Revenue]]/Table5[[#This Row],[Units Sold]]</f>
        <v>36.800000000000004</v>
      </c>
      <c r="R260">
        <f>VLOOKUP(Table5[[#This Row],[Product ID]],'Product Master'!$A$1:$E$10,5,FALSE)</f>
        <v>20</v>
      </c>
      <c r="S260" s="15">
        <f>Table5[[#This Row],[standard product cost per unit]]*Table5[[#This Row],[Units Sold]]</f>
        <v>44320</v>
      </c>
      <c r="T260" s="15">
        <f>Table5[[#This Row],[Cost of Sales]]-Table5[[#This Row],[Standard cost]]</f>
        <v>0</v>
      </c>
      <c r="U260" s="15">
        <f>Table5[[#This Row],[Net Sales Revenue]]-Table5[[#This Row],[Cost of Sales]]</f>
        <v>37228.800000000003</v>
      </c>
      <c r="V260" s="17">
        <f>Table5[[#This Row],[GrossProfit]]/Table5[[#This Row],[Net Sales Revenue]]</f>
        <v>0.45652173913043481</v>
      </c>
    </row>
    <row r="261" spans="1:22" ht="14.25" customHeight="1" x14ac:dyDescent="0.25">
      <c r="A261" s="1" t="s">
        <v>332</v>
      </c>
      <c r="B261" s="1" t="s">
        <v>298</v>
      </c>
      <c r="C261" s="1" t="s">
        <v>52</v>
      </c>
      <c r="D261" s="1" t="s">
        <v>29</v>
      </c>
      <c r="E261" s="1" t="s">
        <v>31</v>
      </c>
      <c r="F261" s="1">
        <v>1440</v>
      </c>
      <c r="G261" s="14">
        <v>10</v>
      </c>
      <c r="H261" s="1">
        <v>0.08</v>
      </c>
      <c r="I261" s="14">
        <v>13248</v>
      </c>
      <c r="J261" s="14">
        <v>5760</v>
      </c>
      <c r="K261" s="15">
        <f>Table5[[#This Row],[Selling Price]]*Table5[[#This Row],[Units Sold]]</f>
        <v>14400</v>
      </c>
      <c r="L261" t="str">
        <f t="shared" si="4"/>
        <v>2023-06</v>
      </c>
      <c r="M261" t="str">
        <f>VLOOKUP(Table5[[#This Row],[Store ID]],Table4[[Store ID]:[Store Location]],2)</f>
        <v>Glasgow</v>
      </c>
      <c r="N261" t="str">
        <f>VLOOKUP(Table5[[#This Row],[Store ID]],Table4[[Store ID]:[Region]],3)</f>
        <v>Scotland</v>
      </c>
      <c r="O261" t="str">
        <f>VLOOKUP(Table5[[#This Row],[Product ID]],'Product Master'!$A$2:$D$10,4)</f>
        <v>Supplier F</v>
      </c>
      <c r="P261" s="15">
        <f>Table5[[#This Row],[Total Revenue]]-Table5[[#This Row],[Net Sales Revenue]]</f>
        <v>1152</v>
      </c>
      <c r="Q261" s="15">
        <f>Table5[[#This Row],[Net Sales Revenue]]/Table5[[#This Row],[Units Sold]]</f>
        <v>9.1999999999999993</v>
      </c>
      <c r="R261">
        <f>VLOOKUP(Table5[[#This Row],[Product ID]],'Product Master'!$A$1:$E$10,5,FALSE)</f>
        <v>4</v>
      </c>
      <c r="S261" s="15">
        <f>Table5[[#This Row],[standard product cost per unit]]*Table5[[#This Row],[Units Sold]]</f>
        <v>5760</v>
      </c>
      <c r="T261" s="15">
        <f>Table5[[#This Row],[Cost of Sales]]-Table5[[#This Row],[Standard cost]]</f>
        <v>0</v>
      </c>
      <c r="U261" s="15">
        <f>Table5[[#This Row],[Net Sales Revenue]]-Table5[[#This Row],[Cost of Sales]]</f>
        <v>7488</v>
      </c>
      <c r="V261" s="17">
        <f>Table5[[#This Row],[GrossProfit]]/Table5[[#This Row],[Net Sales Revenue]]</f>
        <v>0.56521739130434778</v>
      </c>
    </row>
    <row r="262" spans="1:22" ht="14.25" customHeight="1" x14ac:dyDescent="0.25">
      <c r="A262" s="1" t="s">
        <v>333</v>
      </c>
      <c r="B262" s="1" t="s">
        <v>298</v>
      </c>
      <c r="C262" s="1" t="s">
        <v>52</v>
      </c>
      <c r="D262" s="1" t="s">
        <v>33</v>
      </c>
      <c r="E262" s="1" t="s">
        <v>31</v>
      </c>
      <c r="F262" s="1">
        <v>2020</v>
      </c>
      <c r="G262" s="14">
        <v>22</v>
      </c>
      <c r="H262" s="1">
        <v>0.09</v>
      </c>
      <c r="I262" s="14">
        <v>40440.400000000001</v>
      </c>
      <c r="J262" s="14">
        <v>20200</v>
      </c>
      <c r="K262" s="15">
        <f>Table5[[#This Row],[Selling Price]]*Table5[[#This Row],[Units Sold]]</f>
        <v>44440</v>
      </c>
      <c r="L262" t="str">
        <f t="shared" si="4"/>
        <v>2023-06</v>
      </c>
      <c r="M262" t="str">
        <f>VLOOKUP(Table5[[#This Row],[Store ID]],Table4[[Store ID]:[Store Location]],2)</f>
        <v>Glasgow</v>
      </c>
      <c r="N262" t="str">
        <f>VLOOKUP(Table5[[#This Row],[Store ID]],Table4[[Store ID]:[Region]],3)</f>
        <v>Scotland</v>
      </c>
      <c r="O262" t="str">
        <f>VLOOKUP(Table5[[#This Row],[Product ID]],'Product Master'!$A$2:$D$10,4)</f>
        <v>Supplier F</v>
      </c>
      <c r="P262" s="15">
        <f>Table5[[#This Row],[Total Revenue]]-Table5[[#This Row],[Net Sales Revenue]]</f>
        <v>3999.5999999999985</v>
      </c>
      <c r="Q262" s="15">
        <f>Table5[[#This Row],[Net Sales Revenue]]/Table5[[#This Row],[Units Sold]]</f>
        <v>20.02</v>
      </c>
      <c r="R262">
        <f>VLOOKUP(Table5[[#This Row],[Product ID]],'Product Master'!$A$1:$E$10,5,FALSE)</f>
        <v>10</v>
      </c>
      <c r="S262" s="15">
        <f>Table5[[#This Row],[standard product cost per unit]]*Table5[[#This Row],[Units Sold]]</f>
        <v>20200</v>
      </c>
      <c r="T262" s="15">
        <f>Table5[[#This Row],[Cost of Sales]]-Table5[[#This Row],[Standard cost]]</f>
        <v>0</v>
      </c>
      <c r="U262" s="15">
        <f>Table5[[#This Row],[Net Sales Revenue]]-Table5[[#This Row],[Cost of Sales]]</f>
        <v>20240.400000000001</v>
      </c>
      <c r="V262" s="17">
        <f>Table5[[#This Row],[GrossProfit]]/Table5[[#This Row],[Net Sales Revenue]]</f>
        <v>0.50049950049950054</v>
      </c>
    </row>
    <row r="263" spans="1:22" ht="14.25" customHeight="1" x14ac:dyDescent="0.25">
      <c r="A263" s="1" t="s">
        <v>334</v>
      </c>
      <c r="B263" s="1" t="s">
        <v>298</v>
      </c>
      <c r="C263" s="1" t="s">
        <v>56</v>
      </c>
      <c r="D263" s="1" t="s">
        <v>6</v>
      </c>
      <c r="E263" s="1" t="s">
        <v>8</v>
      </c>
      <c r="F263" s="1">
        <v>1592</v>
      </c>
      <c r="G263" s="14">
        <v>24</v>
      </c>
      <c r="H263" s="1">
        <v>0.06</v>
      </c>
      <c r="I263" s="14">
        <v>35915.519999999997</v>
      </c>
      <c r="J263" s="14">
        <v>19104</v>
      </c>
      <c r="K263" s="15">
        <f>Table5[[#This Row],[Selling Price]]*Table5[[#This Row],[Units Sold]]</f>
        <v>38208</v>
      </c>
      <c r="L263" t="str">
        <f t="shared" si="4"/>
        <v>2023-06</v>
      </c>
      <c r="M263" t="str">
        <f>VLOOKUP(Table5[[#This Row],[Store ID]],Table4[[Store ID]:[Store Location]],2)</f>
        <v>Leeds</v>
      </c>
      <c r="N263" t="str">
        <f>VLOOKUP(Table5[[#This Row],[Store ID]],Table4[[Store ID]:[Region]],3)</f>
        <v>North</v>
      </c>
      <c r="O263" t="str">
        <f>VLOOKUP(Table5[[#This Row],[Product ID]],'Product Master'!$A$2:$D$10,4)</f>
        <v>Supplier A</v>
      </c>
      <c r="P263" s="15">
        <f>Table5[[#This Row],[Total Revenue]]-Table5[[#This Row],[Net Sales Revenue]]</f>
        <v>2292.4800000000032</v>
      </c>
      <c r="Q263" s="15">
        <f>Table5[[#This Row],[Net Sales Revenue]]/Table5[[#This Row],[Units Sold]]</f>
        <v>22.56</v>
      </c>
      <c r="R263">
        <f>VLOOKUP(Table5[[#This Row],[Product ID]],'Product Master'!$A$1:$E$10,5,FALSE)</f>
        <v>12</v>
      </c>
      <c r="S263" s="15">
        <f>Table5[[#This Row],[standard product cost per unit]]*Table5[[#This Row],[Units Sold]]</f>
        <v>19104</v>
      </c>
      <c r="T263" s="15">
        <f>Table5[[#This Row],[Cost of Sales]]-Table5[[#This Row],[Standard cost]]</f>
        <v>0</v>
      </c>
      <c r="U263" s="15">
        <f>Table5[[#This Row],[Net Sales Revenue]]-Table5[[#This Row],[Cost of Sales]]</f>
        <v>16811.519999999997</v>
      </c>
      <c r="V263" s="17">
        <f>Table5[[#This Row],[GrossProfit]]/Table5[[#This Row],[Net Sales Revenue]]</f>
        <v>0.46808510638297868</v>
      </c>
    </row>
    <row r="264" spans="1:22" ht="14.25" customHeight="1" x14ac:dyDescent="0.25">
      <c r="A264" s="1" t="s">
        <v>335</v>
      </c>
      <c r="B264" s="1" t="s">
        <v>298</v>
      </c>
      <c r="C264" s="1" t="s">
        <v>56</v>
      </c>
      <c r="D264" s="1" t="s">
        <v>10</v>
      </c>
      <c r="E264" s="1" t="s">
        <v>8</v>
      </c>
      <c r="F264" s="1">
        <v>2660</v>
      </c>
      <c r="G264" s="14">
        <v>50</v>
      </c>
      <c r="H264" s="1">
        <v>0.08</v>
      </c>
      <c r="I264" s="14">
        <v>122360</v>
      </c>
      <c r="J264" s="14">
        <v>74480</v>
      </c>
      <c r="K264" s="15">
        <f>Table5[[#This Row],[Selling Price]]*Table5[[#This Row],[Units Sold]]</f>
        <v>133000</v>
      </c>
      <c r="L264" t="str">
        <f t="shared" si="4"/>
        <v>2023-06</v>
      </c>
      <c r="M264" t="str">
        <f>VLOOKUP(Table5[[#This Row],[Store ID]],Table4[[Store ID]:[Store Location]],2)</f>
        <v>Leeds</v>
      </c>
      <c r="N264" t="str">
        <f>VLOOKUP(Table5[[#This Row],[Store ID]],Table4[[Store ID]:[Region]],3)</f>
        <v>North</v>
      </c>
      <c r="O264" t="str">
        <f>VLOOKUP(Table5[[#This Row],[Product ID]],'Product Master'!$A$2:$D$10,4)</f>
        <v>Supplier B</v>
      </c>
      <c r="P264" s="15">
        <f>Table5[[#This Row],[Total Revenue]]-Table5[[#This Row],[Net Sales Revenue]]</f>
        <v>10640</v>
      </c>
      <c r="Q264" s="15">
        <f>Table5[[#This Row],[Net Sales Revenue]]/Table5[[#This Row],[Units Sold]]</f>
        <v>46</v>
      </c>
      <c r="R264">
        <f>VLOOKUP(Table5[[#This Row],[Product ID]],'Product Master'!$A$1:$E$10,5,FALSE)</f>
        <v>28</v>
      </c>
      <c r="S264" s="15">
        <f>Table5[[#This Row],[standard product cost per unit]]*Table5[[#This Row],[Units Sold]]</f>
        <v>74480</v>
      </c>
      <c r="T264" s="15">
        <f>Table5[[#This Row],[Cost of Sales]]-Table5[[#This Row],[Standard cost]]</f>
        <v>0</v>
      </c>
      <c r="U264" s="15">
        <f>Table5[[#This Row],[Net Sales Revenue]]-Table5[[#This Row],[Cost of Sales]]</f>
        <v>47880</v>
      </c>
      <c r="V264" s="17">
        <f>Table5[[#This Row],[GrossProfit]]/Table5[[#This Row],[Net Sales Revenue]]</f>
        <v>0.39130434782608697</v>
      </c>
    </row>
    <row r="265" spans="1:22" ht="14.25" customHeight="1" x14ac:dyDescent="0.25">
      <c r="A265" s="1" t="s">
        <v>336</v>
      </c>
      <c r="B265" s="1" t="s">
        <v>298</v>
      </c>
      <c r="C265" s="1" t="s">
        <v>56</v>
      </c>
      <c r="D265" s="1" t="s">
        <v>13</v>
      </c>
      <c r="E265" s="1" t="s">
        <v>15</v>
      </c>
      <c r="F265" s="1">
        <v>2000</v>
      </c>
      <c r="G265" s="14">
        <v>28</v>
      </c>
      <c r="H265" s="1">
        <v>7.0000000000000007E-2</v>
      </c>
      <c r="I265" s="14">
        <v>52080</v>
      </c>
      <c r="J265" s="14">
        <v>30000</v>
      </c>
      <c r="K265" s="15">
        <f>Table5[[#This Row],[Selling Price]]*Table5[[#This Row],[Units Sold]]</f>
        <v>56000</v>
      </c>
      <c r="L265" t="str">
        <f t="shared" si="4"/>
        <v>2023-06</v>
      </c>
      <c r="M265" t="str">
        <f>VLOOKUP(Table5[[#This Row],[Store ID]],Table4[[Store ID]:[Store Location]],2)</f>
        <v>Leeds</v>
      </c>
      <c r="N265" t="str">
        <f>VLOOKUP(Table5[[#This Row],[Store ID]],Table4[[Store ID]:[Region]],3)</f>
        <v>North</v>
      </c>
      <c r="O265" t="str">
        <f>VLOOKUP(Table5[[#This Row],[Product ID]],'Product Master'!$A$2:$D$10,4)</f>
        <v>Supplier C</v>
      </c>
      <c r="P265" s="15">
        <f>Table5[[#This Row],[Total Revenue]]-Table5[[#This Row],[Net Sales Revenue]]</f>
        <v>3920</v>
      </c>
      <c r="Q265" s="15">
        <f>Table5[[#This Row],[Net Sales Revenue]]/Table5[[#This Row],[Units Sold]]</f>
        <v>26.04</v>
      </c>
      <c r="R265">
        <f>VLOOKUP(Table5[[#This Row],[Product ID]],'Product Master'!$A$1:$E$10,5,FALSE)</f>
        <v>15</v>
      </c>
      <c r="S265" s="15">
        <f>Table5[[#This Row],[standard product cost per unit]]*Table5[[#This Row],[Units Sold]]</f>
        <v>30000</v>
      </c>
      <c r="T265" s="15">
        <f>Table5[[#This Row],[Cost of Sales]]-Table5[[#This Row],[Standard cost]]</f>
        <v>0</v>
      </c>
      <c r="U265" s="15">
        <f>Table5[[#This Row],[Net Sales Revenue]]-Table5[[#This Row],[Cost of Sales]]</f>
        <v>22080</v>
      </c>
      <c r="V265" s="17">
        <f>Table5[[#This Row],[GrossProfit]]/Table5[[#This Row],[Net Sales Revenue]]</f>
        <v>0.42396313364055299</v>
      </c>
    </row>
    <row r="266" spans="1:22" ht="14.25" customHeight="1" x14ac:dyDescent="0.25">
      <c r="A266" s="1" t="s">
        <v>337</v>
      </c>
      <c r="B266" s="1" t="s">
        <v>298</v>
      </c>
      <c r="C266" s="1" t="s">
        <v>56</v>
      </c>
      <c r="D266" s="1" t="s">
        <v>17</v>
      </c>
      <c r="E266" s="1" t="s">
        <v>15</v>
      </c>
      <c r="F266" s="1">
        <v>2192</v>
      </c>
      <c r="G266" s="14">
        <v>35</v>
      </c>
      <c r="H266" s="1">
        <v>0.05</v>
      </c>
      <c r="I266" s="14">
        <v>72884</v>
      </c>
      <c r="J266" s="14">
        <v>39456</v>
      </c>
      <c r="K266" s="15">
        <f>Table5[[#This Row],[Selling Price]]*Table5[[#This Row],[Units Sold]]</f>
        <v>76720</v>
      </c>
      <c r="L266" t="str">
        <f t="shared" si="4"/>
        <v>2023-06</v>
      </c>
      <c r="M266" t="str">
        <f>VLOOKUP(Table5[[#This Row],[Store ID]],Table4[[Store ID]:[Store Location]],2)</f>
        <v>Leeds</v>
      </c>
      <c r="N266" t="str">
        <f>VLOOKUP(Table5[[#This Row],[Store ID]],Table4[[Store ID]:[Region]],3)</f>
        <v>North</v>
      </c>
      <c r="O266" t="str">
        <f>VLOOKUP(Table5[[#This Row],[Product ID]],'Product Master'!$A$2:$D$10,4)</f>
        <v>Supplier C</v>
      </c>
      <c r="P266" s="15">
        <f>Table5[[#This Row],[Total Revenue]]-Table5[[#This Row],[Net Sales Revenue]]</f>
        <v>3836</v>
      </c>
      <c r="Q266" s="15">
        <f>Table5[[#This Row],[Net Sales Revenue]]/Table5[[#This Row],[Units Sold]]</f>
        <v>33.25</v>
      </c>
      <c r="R266">
        <f>VLOOKUP(Table5[[#This Row],[Product ID]],'Product Master'!$A$1:$E$10,5,FALSE)</f>
        <v>18</v>
      </c>
      <c r="S266" s="15">
        <f>Table5[[#This Row],[standard product cost per unit]]*Table5[[#This Row],[Units Sold]]</f>
        <v>39456</v>
      </c>
      <c r="T266" s="15">
        <f>Table5[[#This Row],[Cost of Sales]]-Table5[[#This Row],[Standard cost]]</f>
        <v>0</v>
      </c>
      <c r="U266" s="15">
        <f>Table5[[#This Row],[Net Sales Revenue]]-Table5[[#This Row],[Cost of Sales]]</f>
        <v>33428</v>
      </c>
      <c r="V266" s="17">
        <f>Table5[[#This Row],[GrossProfit]]/Table5[[#This Row],[Net Sales Revenue]]</f>
        <v>0.45864661654135336</v>
      </c>
    </row>
    <row r="267" spans="1:22" ht="14.25" customHeight="1" x14ac:dyDescent="0.25">
      <c r="A267" s="1" t="s">
        <v>338</v>
      </c>
      <c r="B267" s="1" t="s">
        <v>298</v>
      </c>
      <c r="C267" s="1" t="s">
        <v>56</v>
      </c>
      <c r="D267" s="1" t="s">
        <v>19</v>
      </c>
      <c r="E267" s="1" t="s">
        <v>21</v>
      </c>
      <c r="F267" s="1">
        <v>1404</v>
      </c>
      <c r="G267" s="14">
        <v>18</v>
      </c>
      <c r="H267" s="1">
        <v>0.05</v>
      </c>
      <c r="I267" s="14">
        <v>24008.400000000001</v>
      </c>
      <c r="J267" s="14">
        <v>12636</v>
      </c>
      <c r="K267" s="15">
        <f>Table5[[#This Row],[Selling Price]]*Table5[[#This Row],[Units Sold]]</f>
        <v>25272</v>
      </c>
      <c r="L267" t="str">
        <f t="shared" si="4"/>
        <v>2023-06</v>
      </c>
      <c r="M267" t="str">
        <f>VLOOKUP(Table5[[#This Row],[Store ID]],Table4[[Store ID]:[Store Location]],2)</f>
        <v>Leeds</v>
      </c>
      <c r="N267" t="str">
        <f>VLOOKUP(Table5[[#This Row],[Store ID]],Table4[[Store ID]:[Region]],3)</f>
        <v>North</v>
      </c>
      <c r="O267" t="str">
        <f>VLOOKUP(Table5[[#This Row],[Product ID]],'Product Master'!$A$2:$D$10,4)</f>
        <v>Supplier D</v>
      </c>
      <c r="P267" s="15">
        <f>Table5[[#This Row],[Total Revenue]]-Table5[[#This Row],[Net Sales Revenue]]</f>
        <v>1263.5999999999985</v>
      </c>
      <c r="Q267" s="15">
        <f>Table5[[#This Row],[Net Sales Revenue]]/Table5[[#This Row],[Units Sold]]</f>
        <v>17.100000000000001</v>
      </c>
      <c r="R267">
        <f>VLOOKUP(Table5[[#This Row],[Product ID]],'Product Master'!$A$1:$E$10,5,FALSE)</f>
        <v>9</v>
      </c>
      <c r="S267" s="15">
        <f>Table5[[#This Row],[standard product cost per unit]]*Table5[[#This Row],[Units Sold]]</f>
        <v>12636</v>
      </c>
      <c r="T267" s="15">
        <f>Table5[[#This Row],[Cost of Sales]]-Table5[[#This Row],[Standard cost]]</f>
        <v>0</v>
      </c>
      <c r="U267" s="15">
        <f>Table5[[#This Row],[Net Sales Revenue]]-Table5[[#This Row],[Cost of Sales]]</f>
        <v>11372.400000000001</v>
      </c>
      <c r="V267" s="17">
        <f>Table5[[#This Row],[GrossProfit]]/Table5[[#This Row],[Net Sales Revenue]]</f>
        <v>0.47368421052631582</v>
      </c>
    </row>
    <row r="268" spans="1:22" ht="14.25" customHeight="1" x14ac:dyDescent="0.25">
      <c r="A268" s="1" t="s">
        <v>339</v>
      </c>
      <c r="B268" s="1" t="s">
        <v>298</v>
      </c>
      <c r="C268" s="1" t="s">
        <v>56</v>
      </c>
      <c r="D268" s="1" t="s">
        <v>23</v>
      </c>
      <c r="E268" s="1" t="s">
        <v>21</v>
      </c>
      <c r="F268" s="1">
        <v>1608</v>
      </c>
      <c r="G268" s="14">
        <v>30</v>
      </c>
      <c r="H268" s="1">
        <v>0.05</v>
      </c>
      <c r="I268" s="14">
        <v>45828</v>
      </c>
      <c r="J268" s="14">
        <v>22512</v>
      </c>
      <c r="K268" s="15">
        <f>Table5[[#This Row],[Selling Price]]*Table5[[#This Row],[Units Sold]]</f>
        <v>48240</v>
      </c>
      <c r="L268" t="str">
        <f t="shared" si="4"/>
        <v>2023-06</v>
      </c>
      <c r="M268" t="str">
        <f>VLOOKUP(Table5[[#This Row],[Store ID]],Table4[[Store ID]:[Store Location]],2)</f>
        <v>Leeds</v>
      </c>
      <c r="N268" t="str">
        <f>VLOOKUP(Table5[[#This Row],[Store ID]],Table4[[Store ID]:[Region]],3)</f>
        <v>North</v>
      </c>
      <c r="O268" t="str">
        <f>VLOOKUP(Table5[[#This Row],[Product ID]],'Product Master'!$A$2:$D$10,4)</f>
        <v>Supplier D</v>
      </c>
      <c r="P268" s="15">
        <f>Table5[[#This Row],[Total Revenue]]-Table5[[#This Row],[Net Sales Revenue]]</f>
        <v>2412</v>
      </c>
      <c r="Q268" s="15">
        <f>Table5[[#This Row],[Net Sales Revenue]]/Table5[[#This Row],[Units Sold]]</f>
        <v>28.5</v>
      </c>
      <c r="R268">
        <f>VLOOKUP(Table5[[#This Row],[Product ID]],'Product Master'!$A$1:$E$10,5,FALSE)</f>
        <v>14</v>
      </c>
      <c r="S268" s="15">
        <f>Table5[[#This Row],[standard product cost per unit]]*Table5[[#This Row],[Units Sold]]</f>
        <v>22512</v>
      </c>
      <c r="T268" s="15">
        <f>Table5[[#This Row],[Cost of Sales]]-Table5[[#This Row],[Standard cost]]</f>
        <v>0</v>
      </c>
      <c r="U268" s="15">
        <f>Table5[[#This Row],[Net Sales Revenue]]-Table5[[#This Row],[Cost of Sales]]</f>
        <v>23316</v>
      </c>
      <c r="V268" s="17">
        <f>Table5[[#This Row],[GrossProfit]]/Table5[[#This Row],[Net Sales Revenue]]</f>
        <v>0.50877192982456143</v>
      </c>
    </row>
    <row r="269" spans="1:22" ht="14.25" customHeight="1" x14ac:dyDescent="0.25">
      <c r="A269" s="1" t="s">
        <v>340</v>
      </c>
      <c r="B269" s="1" t="s">
        <v>298</v>
      </c>
      <c r="C269" s="1" t="s">
        <v>56</v>
      </c>
      <c r="D269" s="1" t="s">
        <v>25</v>
      </c>
      <c r="E269" s="1" t="s">
        <v>27</v>
      </c>
      <c r="F269" s="1">
        <v>1628</v>
      </c>
      <c r="G269" s="14">
        <v>40</v>
      </c>
      <c r="H269" s="1">
        <v>0.08</v>
      </c>
      <c r="I269" s="14">
        <v>59910.400000000001</v>
      </c>
      <c r="J269" s="14">
        <v>32560</v>
      </c>
      <c r="K269" s="15">
        <f>Table5[[#This Row],[Selling Price]]*Table5[[#This Row],[Units Sold]]</f>
        <v>65120</v>
      </c>
      <c r="L269" t="str">
        <f t="shared" si="4"/>
        <v>2023-06</v>
      </c>
      <c r="M269" t="str">
        <f>VLOOKUP(Table5[[#This Row],[Store ID]],Table4[[Store ID]:[Store Location]],2)</f>
        <v>Leeds</v>
      </c>
      <c r="N269" t="str">
        <f>VLOOKUP(Table5[[#This Row],[Store ID]],Table4[[Store ID]:[Region]],3)</f>
        <v>North</v>
      </c>
      <c r="O269" t="str">
        <f>VLOOKUP(Table5[[#This Row],[Product ID]],'Product Master'!$A$2:$D$10,4)</f>
        <v>Supplier E</v>
      </c>
      <c r="P269" s="15">
        <f>Table5[[#This Row],[Total Revenue]]-Table5[[#This Row],[Net Sales Revenue]]</f>
        <v>5209.5999999999985</v>
      </c>
      <c r="Q269" s="15">
        <f>Table5[[#This Row],[Net Sales Revenue]]/Table5[[#This Row],[Units Sold]]</f>
        <v>36.800000000000004</v>
      </c>
      <c r="R269">
        <f>VLOOKUP(Table5[[#This Row],[Product ID]],'Product Master'!$A$1:$E$10,5,FALSE)</f>
        <v>20</v>
      </c>
      <c r="S269" s="15">
        <f>Table5[[#This Row],[standard product cost per unit]]*Table5[[#This Row],[Units Sold]]</f>
        <v>32560</v>
      </c>
      <c r="T269" s="15">
        <f>Table5[[#This Row],[Cost of Sales]]-Table5[[#This Row],[Standard cost]]</f>
        <v>0</v>
      </c>
      <c r="U269" s="15">
        <f>Table5[[#This Row],[Net Sales Revenue]]-Table5[[#This Row],[Cost of Sales]]</f>
        <v>27350.400000000001</v>
      </c>
      <c r="V269" s="17">
        <f>Table5[[#This Row],[GrossProfit]]/Table5[[#This Row],[Net Sales Revenue]]</f>
        <v>0.45652173913043481</v>
      </c>
    </row>
    <row r="270" spans="1:22" ht="14.25" customHeight="1" x14ac:dyDescent="0.25">
      <c r="A270" s="1" t="s">
        <v>341</v>
      </c>
      <c r="B270" s="1" t="s">
        <v>298</v>
      </c>
      <c r="C270" s="1" t="s">
        <v>56</v>
      </c>
      <c r="D270" s="1" t="s">
        <v>29</v>
      </c>
      <c r="E270" s="1" t="s">
        <v>31</v>
      </c>
      <c r="F270" s="1">
        <v>1560</v>
      </c>
      <c r="G270" s="14">
        <v>10</v>
      </c>
      <c r="H270" s="1">
        <v>0.08</v>
      </c>
      <c r="I270" s="14">
        <v>14352</v>
      </c>
      <c r="J270" s="14">
        <v>6240</v>
      </c>
      <c r="K270" s="15">
        <f>Table5[[#This Row],[Selling Price]]*Table5[[#This Row],[Units Sold]]</f>
        <v>15600</v>
      </c>
      <c r="L270" t="str">
        <f t="shared" si="4"/>
        <v>2023-06</v>
      </c>
      <c r="M270" t="str">
        <f>VLOOKUP(Table5[[#This Row],[Store ID]],Table4[[Store ID]:[Store Location]],2)</f>
        <v>Leeds</v>
      </c>
      <c r="N270" t="str">
        <f>VLOOKUP(Table5[[#This Row],[Store ID]],Table4[[Store ID]:[Region]],3)</f>
        <v>North</v>
      </c>
      <c r="O270" t="str">
        <f>VLOOKUP(Table5[[#This Row],[Product ID]],'Product Master'!$A$2:$D$10,4)</f>
        <v>Supplier F</v>
      </c>
      <c r="P270" s="15">
        <f>Table5[[#This Row],[Total Revenue]]-Table5[[#This Row],[Net Sales Revenue]]</f>
        <v>1248</v>
      </c>
      <c r="Q270" s="15">
        <f>Table5[[#This Row],[Net Sales Revenue]]/Table5[[#This Row],[Units Sold]]</f>
        <v>9.1999999999999993</v>
      </c>
      <c r="R270">
        <f>VLOOKUP(Table5[[#This Row],[Product ID]],'Product Master'!$A$1:$E$10,5,FALSE)</f>
        <v>4</v>
      </c>
      <c r="S270" s="15">
        <f>Table5[[#This Row],[standard product cost per unit]]*Table5[[#This Row],[Units Sold]]</f>
        <v>6240</v>
      </c>
      <c r="T270" s="15">
        <f>Table5[[#This Row],[Cost of Sales]]-Table5[[#This Row],[Standard cost]]</f>
        <v>0</v>
      </c>
      <c r="U270" s="15">
        <f>Table5[[#This Row],[Net Sales Revenue]]-Table5[[#This Row],[Cost of Sales]]</f>
        <v>8112</v>
      </c>
      <c r="V270" s="17">
        <f>Table5[[#This Row],[GrossProfit]]/Table5[[#This Row],[Net Sales Revenue]]</f>
        <v>0.56521739130434778</v>
      </c>
    </row>
    <row r="271" spans="1:22" ht="14.25" customHeight="1" x14ac:dyDescent="0.25">
      <c r="A271" s="1" t="s">
        <v>342</v>
      </c>
      <c r="B271" s="1" t="s">
        <v>298</v>
      </c>
      <c r="C271" s="1" t="s">
        <v>56</v>
      </c>
      <c r="D271" s="1" t="s">
        <v>33</v>
      </c>
      <c r="E271" s="1" t="s">
        <v>31</v>
      </c>
      <c r="F271" s="1">
        <v>1440</v>
      </c>
      <c r="G271" s="14">
        <v>22</v>
      </c>
      <c r="H271" s="1">
        <v>0.06</v>
      </c>
      <c r="I271" s="14">
        <v>29779.200000000001</v>
      </c>
      <c r="J271" s="14">
        <v>14400</v>
      </c>
      <c r="K271" s="15">
        <f>Table5[[#This Row],[Selling Price]]*Table5[[#This Row],[Units Sold]]</f>
        <v>31680</v>
      </c>
      <c r="L271" t="str">
        <f t="shared" si="4"/>
        <v>2023-06</v>
      </c>
      <c r="M271" t="str">
        <f>VLOOKUP(Table5[[#This Row],[Store ID]],Table4[[Store ID]:[Store Location]],2)</f>
        <v>Leeds</v>
      </c>
      <c r="N271" t="str">
        <f>VLOOKUP(Table5[[#This Row],[Store ID]],Table4[[Store ID]:[Region]],3)</f>
        <v>North</v>
      </c>
      <c r="O271" t="str">
        <f>VLOOKUP(Table5[[#This Row],[Product ID]],'Product Master'!$A$2:$D$10,4)</f>
        <v>Supplier F</v>
      </c>
      <c r="P271" s="15">
        <f>Table5[[#This Row],[Total Revenue]]-Table5[[#This Row],[Net Sales Revenue]]</f>
        <v>1900.7999999999993</v>
      </c>
      <c r="Q271" s="15">
        <f>Table5[[#This Row],[Net Sales Revenue]]/Table5[[#This Row],[Units Sold]]</f>
        <v>20.68</v>
      </c>
      <c r="R271">
        <f>VLOOKUP(Table5[[#This Row],[Product ID]],'Product Master'!$A$1:$E$10,5,FALSE)</f>
        <v>10</v>
      </c>
      <c r="S271" s="15">
        <f>Table5[[#This Row],[standard product cost per unit]]*Table5[[#This Row],[Units Sold]]</f>
        <v>14400</v>
      </c>
      <c r="T271" s="15">
        <f>Table5[[#This Row],[Cost of Sales]]-Table5[[#This Row],[Standard cost]]</f>
        <v>0</v>
      </c>
      <c r="U271" s="15">
        <f>Table5[[#This Row],[Net Sales Revenue]]-Table5[[#This Row],[Cost of Sales]]</f>
        <v>15379.2</v>
      </c>
      <c r="V271" s="17">
        <f>Table5[[#This Row],[GrossProfit]]/Table5[[#This Row],[Net Sales Revenue]]</f>
        <v>0.51644100580270791</v>
      </c>
    </row>
    <row r="272" spans="1:22" ht="14.25" customHeight="1" x14ac:dyDescent="0.25">
      <c r="A272" s="1" t="s">
        <v>343</v>
      </c>
      <c r="B272" s="1" t="s">
        <v>344</v>
      </c>
      <c r="C272" s="1" t="s">
        <v>40</v>
      </c>
      <c r="D272" s="1" t="s">
        <v>6</v>
      </c>
      <c r="E272" s="1" t="s">
        <v>8</v>
      </c>
      <c r="F272" s="1">
        <v>1716</v>
      </c>
      <c r="G272" s="14">
        <v>24</v>
      </c>
      <c r="H272" s="1">
        <v>0.09</v>
      </c>
      <c r="I272" s="14">
        <v>37477.440000000002</v>
      </c>
      <c r="J272" s="14">
        <v>20592</v>
      </c>
      <c r="K272" s="15">
        <f>Table5[[#This Row],[Selling Price]]*Table5[[#This Row],[Units Sold]]</f>
        <v>41184</v>
      </c>
      <c r="L272" t="str">
        <f t="shared" si="4"/>
        <v>2023-07</v>
      </c>
      <c r="M272" t="str">
        <f>VLOOKUP(Table5[[#This Row],[Store ID]],Table4[[Store ID]:[Store Location]],2)</f>
        <v>Manchester</v>
      </c>
      <c r="N272" t="str">
        <f>VLOOKUP(Table5[[#This Row],[Store ID]],Table4[[Store ID]:[Region]],3)</f>
        <v>North</v>
      </c>
      <c r="O272" t="str">
        <f>VLOOKUP(Table5[[#This Row],[Product ID]],'Product Master'!$A$2:$D$10,4)</f>
        <v>Supplier A</v>
      </c>
      <c r="P272" s="15">
        <f>Table5[[#This Row],[Total Revenue]]-Table5[[#This Row],[Net Sales Revenue]]</f>
        <v>3706.5599999999977</v>
      </c>
      <c r="Q272" s="15">
        <f>Table5[[#This Row],[Net Sales Revenue]]/Table5[[#This Row],[Units Sold]]</f>
        <v>21.84</v>
      </c>
      <c r="R272">
        <f>VLOOKUP(Table5[[#This Row],[Product ID]],'Product Master'!$A$1:$E$10,5,FALSE)</f>
        <v>12</v>
      </c>
      <c r="S272" s="15">
        <f>Table5[[#This Row],[standard product cost per unit]]*Table5[[#This Row],[Units Sold]]</f>
        <v>20592</v>
      </c>
      <c r="T272" s="15">
        <f>Table5[[#This Row],[Cost of Sales]]-Table5[[#This Row],[Standard cost]]</f>
        <v>0</v>
      </c>
      <c r="U272" s="15">
        <f>Table5[[#This Row],[Net Sales Revenue]]-Table5[[#This Row],[Cost of Sales]]</f>
        <v>16885.440000000002</v>
      </c>
      <c r="V272" s="17">
        <f>Table5[[#This Row],[GrossProfit]]/Table5[[#This Row],[Net Sales Revenue]]</f>
        <v>0.45054945054945056</v>
      </c>
    </row>
    <row r="273" spans="1:22" ht="14.25" customHeight="1" x14ac:dyDescent="0.25">
      <c r="A273" s="1" t="s">
        <v>345</v>
      </c>
      <c r="B273" s="1" t="s">
        <v>344</v>
      </c>
      <c r="C273" s="1" t="s">
        <v>40</v>
      </c>
      <c r="D273" s="1" t="s">
        <v>10</v>
      </c>
      <c r="E273" s="1" t="s">
        <v>8</v>
      </c>
      <c r="F273" s="1">
        <v>2472</v>
      </c>
      <c r="G273" s="14">
        <v>50</v>
      </c>
      <c r="H273" s="1">
        <v>0.06</v>
      </c>
      <c r="I273" s="14">
        <v>116184</v>
      </c>
      <c r="J273" s="14">
        <v>69216</v>
      </c>
      <c r="K273" s="15">
        <f>Table5[[#This Row],[Selling Price]]*Table5[[#This Row],[Units Sold]]</f>
        <v>123600</v>
      </c>
      <c r="L273" t="str">
        <f t="shared" si="4"/>
        <v>2023-07</v>
      </c>
      <c r="M273" t="str">
        <f>VLOOKUP(Table5[[#This Row],[Store ID]],Table4[[Store ID]:[Store Location]],2)</f>
        <v>Manchester</v>
      </c>
      <c r="N273" t="str">
        <f>VLOOKUP(Table5[[#This Row],[Store ID]],Table4[[Store ID]:[Region]],3)</f>
        <v>North</v>
      </c>
      <c r="O273" t="str">
        <f>VLOOKUP(Table5[[#This Row],[Product ID]],'Product Master'!$A$2:$D$10,4)</f>
        <v>Supplier B</v>
      </c>
      <c r="P273" s="15">
        <f>Table5[[#This Row],[Total Revenue]]-Table5[[#This Row],[Net Sales Revenue]]</f>
        <v>7416</v>
      </c>
      <c r="Q273" s="15">
        <f>Table5[[#This Row],[Net Sales Revenue]]/Table5[[#This Row],[Units Sold]]</f>
        <v>47</v>
      </c>
      <c r="R273">
        <f>VLOOKUP(Table5[[#This Row],[Product ID]],'Product Master'!$A$1:$E$10,5,FALSE)</f>
        <v>28</v>
      </c>
      <c r="S273" s="15">
        <f>Table5[[#This Row],[standard product cost per unit]]*Table5[[#This Row],[Units Sold]]</f>
        <v>69216</v>
      </c>
      <c r="T273" s="15">
        <f>Table5[[#This Row],[Cost of Sales]]-Table5[[#This Row],[Standard cost]]</f>
        <v>0</v>
      </c>
      <c r="U273" s="15">
        <f>Table5[[#This Row],[Net Sales Revenue]]-Table5[[#This Row],[Cost of Sales]]</f>
        <v>46968</v>
      </c>
      <c r="V273" s="17">
        <f>Table5[[#This Row],[GrossProfit]]/Table5[[#This Row],[Net Sales Revenue]]</f>
        <v>0.40425531914893614</v>
      </c>
    </row>
    <row r="274" spans="1:22" ht="14.25" customHeight="1" x14ac:dyDescent="0.25">
      <c r="A274" s="1" t="s">
        <v>346</v>
      </c>
      <c r="B274" s="1" t="s">
        <v>344</v>
      </c>
      <c r="C274" s="1" t="s">
        <v>40</v>
      </c>
      <c r="D274" s="1" t="s">
        <v>13</v>
      </c>
      <c r="E274" s="1" t="s">
        <v>15</v>
      </c>
      <c r="F274" s="1">
        <v>1264</v>
      </c>
      <c r="G274" s="14">
        <v>28</v>
      </c>
      <c r="H274" s="1">
        <v>0.05</v>
      </c>
      <c r="I274" s="14">
        <v>33622.400000000001</v>
      </c>
      <c r="J274" s="14">
        <v>18960</v>
      </c>
      <c r="K274" s="15">
        <f>Table5[[#This Row],[Selling Price]]*Table5[[#This Row],[Units Sold]]</f>
        <v>35392</v>
      </c>
      <c r="L274" t="str">
        <f t="shared" si="4"/>
        <v>2023-07</v>
      </c>
      <c r="M274" t="str">
        <f>VLOOKUP(Table5[[#This Row],[Store ID]],Table4[[Store ID]:[Store Location]],2)</f>
        <v>Manchester</v>
      </c>
      <c r="N274" t="str">
        <f>VLOOKUP(Table5[[#This Row],[Store ID]],Table4[[Store ID]:[Region]],3)</f>
        <v>North</v>
      </c>
      <c r="O274" t="str">
        <f>VLOOKUP(Table5[[#This Row],[Product ID]],'Product Master'!$A$2:$D$10,4)</f>
        <v>Supplier C</v>
      </c>
      <c r="P274" s="15">
        <f>Table5[[#This Row],[Total Revenue]]-Table5[[#This Row],[Net Sales Revenue]]</f>
        <v>1769.5999999999985</v>
      </c>
      <c r="Q274" s="15">
        <f>Table5[[#This Row],[Net Sales Revenue]]/Table5[[#This Row],[Units Sold]]</f>
        <v>26.6</v>
      </c>
      <c r="R274">
        <f>VLOOKUP(Table5[[#This Row],[Product ID]],'Product Master'!$A$1:$E$10,5,FALSE)</f>
        <v>15</v>
      </c>
      <c r="S274" s="15">
        <f>Table5[[#This Row],[standard product cost per unit]]*Table5[[#This Row],[Units Sold]]</f>
        <v>18960</v>
      </c>
      <c r="T274" s="15">
        <f>Table5[[#This Row],[Cost of Sales]]-Table5[[#This Row],[Standard cost]]</f>
        <v>0</v>
      </c>
      <c r="U274" s="15">
        <f>Table5[[#This Row],[Net Sales Revenue]]-Table5[[#This Row],[Cost of Sales]]</f>
        <v>14662.400000000001</v>
      </c>
      <c r="V274" s="17">
        <f>Table5[[#This Row],[GrossProfit]]/Table5[[#This Row],[Net Sales Revenue]]</f>
        <v>0.43609022556390981</v>
      </c>
    </row>
    <row r="275" spans="1:22" ht="14.25" customHeight="1" x14ac:dyDescent="0.25">
      <c r="A275" s="1" t="s">
        <v>347</v>
      </c>
      <c r="B275" s="1" t="s">
        <v>344</v>
      </c>
      <c r="C275" s="1" t="s">
        <v>40</v>
      </c>
      <c r="D275" s="1" t="s">
        <v>17</v>
      </c>
      <c r="E275" s="1" t="s">
        <v>15</v>
      </c>
      <c r="F275" s="1">
        <v>2616</v>
      </c>
      <c r="G275" s="14">
        <v>35</v>
      </c>
      <c r="H275" s="1">
        <v>0.08</v>
      </c>
      <c r="I275" s="14">
        <v>84235.199999999997</v>
      </c>
      <c r="J275" s="14">
        <v>47088</v>
      </c>
      <c r="K275" s="15">
        <f>Table5[[#This Row],[Selling Price]]*Table5[[#This Row],[Units Sold]]</f>
        <v>91560</v>
      </c>
      <c r="L275" t="str">
        <f t="shared" si="4"/>
        <v>2023-07</v>
      </c>
      <c r="M275" t="str">
        <f>VLOOKUP(Table5[[#This Row],[Store ID]],Table4[[Store ID]:[Store Location]],2)</f>
        <v>Manchester</v>
      </c>
      <c r="N275" t="str">
        <f>VLOOKUP(Table5[[#This Row],[Store ID]],Table4[[Store ID]:[Region]],3)</f>
        <v>North</v>
      </c>
      <c r="O275" t="str">
        <f>VLOOKUP(Table5[[#This Row],[Product ID]],'Product Master'!$A$2:$D$10,4)</f>
        <v>Supplier C</v>
      </c>
      <c r="P275" s="15">
        <f>Table5[[#This Row],[Total Revenue]]-Table5[[#This Row],[Net Sales Revenue]]</f>
        <v>7324.8000000000029</v>
      </c>
      <c r="Q275" s="15">
        <f>Table5[[#This Row],[Net Sales Revenue]]/Table5[[#This Row],[Units Sold]]</f>
        <v>32.199999999999996</v>
      </c>
      <c r="R275">
        <f>VLOOKUP(Table5[[#This Row],[Product ID]],'Product Master'!$A$1:$E$10,5,FALSE)</f>
        <v>18</v>
      </c>
      <c r="S275" s="15">
        <f>Table5[[#This Row],[standard product cost per unit]]*Table5[[#This Row],[Units Sold]]</f>
        <v>47088</v>
      </c>
      <c r="T275" s="15">
        <f>Table5[[#This Row],[Cost of Sales]]-Table5[[#This Row],[Standard cost]]</f>
        <v>0</v>
      </c>
      <c r="U275" s="15">
        <f>Table5[[#This Row],[Net Sales Revenue]]-Table5[[#This Row],[Cost of Sales]]</f>
        <v>37147.199999999997</v>
      </c>
      <c r="V275" s="17">
        <f>Table5[[#This Row],[GrossProfit]]/Table5[[#This Row],[Net Sales Revenue]]</f>
        <v>0.44099378881987578</v>
      </c>
    </row>
    <row r="276" spans="1:22" ht="14.25" customHeight="1" x14ac:dyDescent="0.25">
      <c r="A276" s="1" t="s">
        <v>348</v>
      </c>
      <c r="B276" s="1" t="s">
        <v>344</v>
      </c>
      <c r="C276" s="1" t="s">
        <v>40</v>
      </c>
      <c r="D276" s="1" t="s">
        <v>19</v>
      </c>
      <c r="E276" s="1" t="s">
        <v>21</v>
      </c>
      <c r="F276" s="1">
        <v>1952</v>
      </c>
      <c r="G276" s="14">
        <v>18</v>
      </c>
      <c r="H276" s="1">
        <v>0.08</v>
      </c>
      <c r="I276" s="14">
        <v>32325.119999999999</v>
      </c>
      <c r="J276" s="14">
        <v>17568</v>
      </c>
      <c r="K276" s="15">
        <f>Table5[[#This Row],[Selling Price]]*Table5[[#This Row],[Units Sold]]</f>
        <v>35136</v>
      </c>
      <c r="L276" t="str">
        <f t="shared" si="4"/>
        <v>2023-07</v>
      </c>
      <c r="M276" t="str">
        <f>VLOOKUP(Table5[[#This Row],[Store ID]],Table4[[Store ID]:[Store Location]],2)</f>
        <v>Manchester</v>
      </c>
      <c r="N276" t="str">
        <f>VLOOKUP(Table5[[#This Row],[Store ID]],Table4[[Store ID]:[Region]],3)</f>
        <v>North</v>
      </c>
      <c r="O276" t="str">
        <f>VLOOKUP(Table5[[#This Row],[Product ID]],'Product Master'!$A$2:$D$10,4)</f>
        <v>Supplier D</v>
      </c>
      <c r="P276" s="15">
        <f>Table5[[#This Row],[Total Revenue]]-Table5[[#This Row],[Net Sales Revenue]]</f>
        <v>2810.880000000001</v>
      </c>
      <c r="Q276" s="15">
        <f>Table5[[#This Row],[Net Sales Revenue]]/Table5[[#This Row],[Units Sold]]</f>
        <v>16.559999999999999</v>
      </c>
      <c r="R276">
        <f>VLOOKUP(Table5[[#This Row],[Product ID]],'Product Master'!$A$1:$E$10,5,FALSE)</f>
        <v>9</v>
      </c>
      <c r="S276" s="15">
        <f>Table5[[#This Row],[standard product cost per unit]]*Table5[[#This Row],[Units Sold]]</f>
        <v>17568</v>
      </c>
      <c r="T276" s="15">
        <f>Table5[[#This Row],[Cost of Sales]]-Table5[[#This Row],[Standard cost]]</f>
        <v>0</v>
      </c>
      <c r="U276" s="15">
        <f>Table5[[#This Row],[Net Sales Revenue]]-Table5[[#This Row],[Cost of Sales]]</f>
        <v>14757.119999999999</v>
      </c>
      <c r="V276" s="17">
        <f>Table5[[#This Row],[GrossProfit]]/Table5[[#This Row],[Net Sales Revenue]]</f>
        <v>0.45652173913043476</v>
      </c>
    </row>
    <row r="277" spans="1:22" ht="14.25" customHeight="1" x14ac:dyDescent="0.25">
      <c r="A277" s="1" t="s">
        <v>349</v>
      </c>
      <c r="B277" s="1" t="s">
        <v>344</v>
      </c>
      <c r="C277" s="1" t="s">
        <v>40</v>
      </c>
      <c r="D277" s="1" t="s">
        <v>23</v>
      </c>
      <c r="E277" s="1" t="s">
        <v>21</v>
      </c>
      <c r="F277" s="1">
        <v>2436</v>
      </c>
      <c r="G277" s="14">
        <v>30</v>
      </c>
      <c r="H277" s="1">
        <v>0.06</v>
      </c>
      <c r="I277" s="14">
        <v>68695.199999999997</v>
      </c>
      <c r="J277" s="14">
        <v>34104</v>
      </c>
      <c r="K277" s="15">
        <f>Table5[[#This Row],[Selling Price]]*Table5[[#This Row],[Units Sold]]</f>
        <v>73080</v>
      </c>
      <c r="L277" t="str">
        <f t="shared" si="4"/>
        <v>2023-07</v>
      </c>
      <c r="M277" t="str">
        <f>VLOOKUP(Table5[[#This Row],[Store ID]],Table4[[Store ID]:[Store Location]],2)</f>
        <v>Manchester</v>
      </c>
      <c r="N277" t="str">
        <f>VLOOKUP(Table5[[#This Row],[Store ID]],Table4[[Store ID]:[Region]],3)</f>
        <v>North</v>
      </c>
      <c r="O277" t="str">
        <f>VLOOKUP(Table5[[#This Row],[Product ID]],'Product Master'!$A$2:$D$10,4)</f>
        <v>Supplier D</v>
      </c>
      <c r="P277" s="15">
        <f>Table5[[#This Row],[Total Revenue]]-Table5[[#This Row],[Net Sales Revenue]]</f>
        <v>4384.8000000000029</v>
      </c>
      <c r="Q277" s="15">
        <f>Table5[[#This Row],[Net Sales Revenue]]/Table5[[#This Row],[Units Sold]]</f>
        <v>28.2</v>
      </c>
      <c r="R277">
        <f>VLOOKUP(Table5[[#This Row],[Product ID]],'Product Master'!$A$1:$E$10,5,FALSE)</f>
        <v>14</v>
      </c>
      <c r="S277" s="15">
        <f>Table5[[#This Row],[standard product cost per unit]]*Table5[[#This Row],[Units Sold]]</f>
        <v>34104</v>
      </c>
      <c r="T277" s="15">
        <f>Table5[[#This Row],[Cost of Sales]]-Table5[[#This Row],[Standard cost]]</f>
        <v>0</v>
      </c>
      <c r="U277" s="15">
        <f>Table5[[#This Row],[Net Sales Revenue]]-Table5[[#This Row],[Cost of Sales]]</f>
        <v>34591.199999999997</v>
      </c>
      <c r="V277" s="17">
        <f>Table5[[#This Row],[GrossProfit]]/Table5[[#This Row],[Net Sales Revenue]]</f>
        <v>0.50354609929078009</v>
      </c>
    </row>
    <row r="278" spans="1:22" ht="14.25" customHeight="1" x14ac:dyDescent="0.25">
      <c r="A278" s="1" t="s">
        <v>350</v>
      </c>
      <c r="B278" s="1" t="s">
        <v>344</v>
      </c>
      <c r="C278" s="1" t="s">
        <v>40</v>
      </c>
      <c r="D278" s="1" t="s">
        <v>25</v>
      </c>
      <c r="E278" s="1" t="s">
        <v>27</v>
      </c>
      <c r="F278" s="1">
        <v>2596</v>
      </c>
      <c r="G278" s="14">
        <v>40</v>
      </c>
      <c r="H278" s="1">
        <v>7.0000000000000007E-2</v>
      </c>
      <c r="I278" s="14">
        <v>96571.199999999997</v>
      </c>
      <c r="J278" s="14">
        <v>51920</v>
      </c>
      <c r="K278" s="15">
        <f>Table5[[#This Row],[Selling Price]]*Table5[[#This Row],[Units Sold]]</f>
        <v>103840</v>
      </c>
      <c r="L278" t="str">
        <f t="shared" si="4"/>
        <v>2023-07</v>
      </c>
      <c r="M278" t="str">
        <f>VLOOKUP(Table5[[#This Row],[Store ID]],Table4[[Store ID]:[Store Location]],2)</f>
        <v>Manchester</v>
      </c>
      <c r="N278" t="str">
        <f>VLOOKUP(Table5[[#This Row],[Store ID]],Table4[[Store ID]:[Region]],3)</f>
        <v>North</v>
      </c>
      <c r="O278" t="str">
        <f>VLOOKUP(Table5[[#This Row],[Product ID]],'Product Master'!$A$2:$D$10,4)</f>
        <v>Supplier E</v>
      </c>
      <c r="P278" s="15">
        <f>Table5[[#This Row],[Total Revenue]]-Table5[[#This Row],[Net Sales Revenue]]</f>
        <v>7268.8000000000029</v>
      </c>
      <c r="Q278" s="15">
        <f>Table5[[#This Row],[Net Sales Revenue]]/Table5[[#This Row],[Units Sold]]</f>
        <v>37.199999999999996</v>
      </c>
      <c r="R278">
        <f>VLOOKUP(Table5[[#This Row],[Product ID]],'Product Master'!$A$1:$E$10,5,FALSE)</f>
        <v>20</v>
      </c>
      <c r="S278" s="15">
        <f>Table5[[#This Row],[standard product cost per unit]]*Table5[[#This Row],[Units Sold]]</f>
        <v>51920</v>
      </c>
      <c r="T278" s="15">
        <f>Table5[[#This Row],[Cost of Sales]]-Table5[[#This Row],[Standard cost]]</f>
        <v>0</v>
      </c>
      <c r="U278" s="15">
        <f>Table5[[#This Row],[Net Sales Revenue]]-Table5[[#This Row],[Cost of Sales]]</f>
        <v>44651.199999999997</v>
      </c>
      <c r="V278" s="17">
        <f>Table5[[#This Row],[GrossProfit]]/Table5[[#This Row],[Net Sales Revenue]]</f>
        <v>0.46236559139784944</v>
      </c>
    </row>
    <row r="279" spans="1:22" ht="14.25" customHeight="1" x14ac:dyDescent="0.25">
      <c r="A279" s="1" t="s">
        <v>351</v>
      </c>
      <c r="B279" s="1" t="s">
        <v>344</v>
      </c>
      <c r="C279" s="1" t="s">
        <v>40</v>
      </c>
      <c r="D279" s="1" t="s">
        <v>29</v>
      </c>
      <c r="E279" s="1" t="s">
        <v>31</v>
      </c>
      <c r="F279" s="1">
        <v>2756</v>
      </c>
      <c r="G279" s="14">
        <v>10</v>
      </c>
      <c r="H279" s="1">
        <v>0.1</v>
      </c>
      <c r="I279" s="14">
        <v>24804</v>
      </c>
      <c r="J279" s="14">
        <v>11024</v>
      </c>
      <c r="K279" s="15">
        <f>Table5[[#This Row],[Selling Price]]*Table5[[#This Row],[Units Sold]]</f>
        <v>27560</v>
      </c>
      <c r="L279" t="str">
        <f t="shared" si="4"/>
        <v>2023-07</v>
      </c>
      <c r="M279" t="str">
        <f>VLOOKUP(Table5[[#This Row],[Store ID]],Table4[[Store ID]:[Store Location]],2)</f>
        <v>Manchester</v>
      </c>
      <c r="N279" t="str">
        <f>VLOOKUP(Table5[[#This Row],[Store ID]],Table4[[Store ID]:[Region]],3)</f>
        <v>North</v>
      </c>
      <c r="O279" t="str">
        <f>VLOOKUP(Table5[[#This Row],[Product ID]],'Product Master'!$A$2:$D$10,4)</f>
        <v>Supplier F</v>
      </c>
      <c r="P279" s="15">
        <f>Table5[[#This Row],[Total Revenue]]-Table5[[#This Row],[Net Sales Revenue]]</f>
        <v>2756</v>
      </c>
      <c r="Q279" s="15">
        <f>Table5[[#This Row],[Net Sales Revenue]]/Table5[[#This Row],[Units Sold]]</f>
        <v>9</v>
      </c>
      <c r="R279">
        <f>VLOOKUP(Table5[[#This Row],[Product ID]],'Product Master'!$A$1:$E$10,5,FALSE)</f>
        <v>4</v>
      </c>
      <c r="S279" s="15">
        <f>Table5[[#This Row],[standard product cost per unit]]*Table5[[#This Row],[Units Sold]]</f>
        <v>11024</v>
      </c>
      <c r="T279" s="15">
        <f>Table5[[#This Row],[Cost of Sales]]-Table5[[#This Row],[Standard cost]]</f>
        <v>0</v>
      </c>
      <c r="U279" s="15">
        <f>Table5[[#This Row],[Net Sales Revenue]]-Table5[[#This Row],[Cost of Sales]]</f>
        <v>13780</v>
      </c>
      <c r="V279" s="17">
        <f>Table5[[#This Row],[GrossProfit]]/Table5[[#This Row],[Net Sales Revenue]]</f>
        <v>0.55555555555555558</v>
      </c>
    </row>
    <row r="280" spans="1:22" ht="14.25" customHeight="1" x14ac:dyDescent="0.25">
      <c r="A280" s="1" t="s">
        <v>352</v>
      </c>
      <c r="B280" s="1" t="s">
        <v>344</v>
      </c>
      <c r="C280" s="1" t="s">
        <v>40</v>
      </c>
      <c r="D280" s="1" t="s">
        <v>33</v>
      </c>
      <c r="E280" s="1" t="s">
        <v>31</v>
      </c>
      <c r="F280" s="1">
        <v>1708</v>
      </c>
      <c r="G280" s="14">
        <v>22</v>
      </c>
      <c r="H280" s="1">
        <v>0.09</v>
      </c>
      <c r="I280" s="14">
        <v>34194.160000000003</v>
      </c>
      <c r="J280" s="14">
        <v>17080</v>
      </c>
      <c r="K280" s="15">
        <f>Table5[[#This Row],[Selling Price]]*Table5[[#This Row],[Units Sold]]</f>
        <v>37576</v>
      </c>
      <c r="L280" t="str">
        <f t="shared" si="4"/>
        <v>2023-07</v>
      </c>
      <c r="M280" t="str">
        <f>VLOOKUP(Table5[[#This Row],[Store ID]],Table4[[Store ID]:[Store Location]],2)</f>
        <v>Manchester</v>
      </c>
      <c r="N280" t="str">
        <f>VLOOKUP(Table5[[#This Row],[Store ID]],Table4[[Store ID]:[Region]],3)</f>
        <v>North</v>
      </c>
      <c r="O280" t="str">
        <f>VLOOKUP(Table5[[#This Row],[Product ID]],'Product Master'!$A$2:$D$10,4)</f>
        <v>Supplier F</v>
      </c>
      <c r="P280" s="15">
        <f>Table5[[#This Row],[Total Revenue]]-Table5[[#This Row],[Net Sales Revenue]]</f>
        <v>3381.8399999999965</v>
      </c>
      <c r="Q280" s="15">
        <f>Table5[[#This Row],[Net Sales Revenue]]/Table5[[#This Row],[Units Sold]]</f>
        <v>20.020000000000003</v>
      </c>
      <c r="R280">
        <f>VLOOKUP(Table5[[#This Row],[Product ID]],'Product Master'!$A$1:$E$10,5,FALSE)</f>
        <v>10</v>
      </c>
      <c r="S280" s="15">
        <f>Table5[[#This Row],[standard product cost per unit]]*Table5[[#This Row],[Units Sold]]</f>
        <v>17080</v>
      </c>
      <c r="T280" s="15">
        <f>Table5[[#This Row],[Cost of Sales]]-Table5[[#This Row],[Standard cost]]</f>
        <v>0</v>
      </c>
      <c r="U280" s="15">
        <f>Table5[[#This Row],[Net Sales Revenue]]-Table5[[#This Row],[Cost of Sales]]</f>
        <v>17114.160000000003</v>
      </c>
      <c r="V280" s="17">
        <f>Table5[[#This Row],[GrossProfit]]/Table5[[#This Row],[Net Sales Revenue]]</f>
        <v>0.50049950049950054</v>
      </c>
    </row>
    <row r="281" spans="1:22" ht="14.25" customHeight="1" x14ac:dyDescent="0.25">
      <c r="A281" s="1" t="s">
        <v>353</v>
      </c>
      <c r="B281" s="1" t="s">
        <v>344</v>
      </c>
      <c r="C281" s="1" t="s">
        <v>44</v>
      </c>
      <c r="D281" s="1" t="s">
        <v>6</v>
      </c>
      <c r="E281" s="1" t="s">
        <v>8</v>
      </c>
      <c r="F281" s="1">
        <v>1672</v>
      </c>
      <c r="G281" s="14">
        <v>24</v>
      </c>
      <c r="H281" s="1">
        <v>0.1</v>
      </c>
      <c r="I281" s="14">
        <v>36115.199999999997</v>
      </c>
      <c r="J281" s="14">
        <v>20064</v>
      </c>
      <c r="K281" s="15">
        <f>Table5[[#This Row],[Selling Price]]*Table5[[#This Row],[Units Sold]]</f>
        <v>40128</v>
      </c>
      <c r="L281" t="str">
        <f t="shared" si="4"/>
        <v>2023-07</v>
      </c>
      <c r="M281" t="str">
        <f>VLOOKUP(Table5[[#This Row],[Store ID]],Table4[[Store ID]:[Store Location]],2)</f>
        <v>Birmingham</v>
      </c>
      <c r="N281" t="str">
        <f>VLOOKUP(Table5[[#This Row],[Store ID]],Table4[[Store ID]:[Region]],3)</f>
        <v>Midlands</v>
      </c>
      <c r="O281" t="str">
        <f>VLOOKUP(Table5[[#This Row],[Product ID]],'Product Master'!$A$2:$D$10,4)</f>
        <v>Supplier A</v>
      </c>
      <c r="P281" s="15">
        <f>Table5[[#This Row],[Total Revenue]]-Table5[[#This Row],[Net Sales Revenue]]</f>
        <v>4012.8000000000029</v>
      </c>
      <c r="Q281" s="15">
        <f>Table5[[#This Row],[Net Sales Revenue]]/Table5[[#This Row],[Units Sold]]</f>
        <v>21.599999999999998</v>
      </c>
      <c r="R281">
        <f>VLOOKUP(Table5[[#This Row],[Product ID]],'Product Master'!$A$1:$E$10,5,FALSE)</f>
        <v>12</v>
      </c>
      <c r="S281" s="15">
        <f>Table5[[#This Row],[standard product cost per unit]]*Table5[[#This Row],[Units Sold]]</f>
        <v>20064</v>
      </c>
      <c r="T281" s="15">
        <f>Table5[[#This Row],[Cost of Sales]]-Table5[[#This Row],[Standard cost]]</f>
        <v>0</v>
      </c>
      <c r="U281" s="15">
        <f>Table5[[#This Row],[Net Sales Revenue]]-Table5[[#This Row],[Cost of Sales]]</f>
        <v>16051.199999999997</v>
      </c>
      <c r="V281" s="17">
        <f>Table5[[#This Row],[GrossProfit]]/Table5[[#This Row],[Net Sales Revenue]]</f>
        <v>0.44444444444444442</v>
      </c>
    </row>
    <row r="282" spans="1:22" ht="14.25" customHeight="1" x14ac:dyDescent="0.25">
      <c r="A282" s="1" t="s">
        <v>354</v>
      </c>
      <c r="B282" s="1" t="s">
        <v>344</v>
      </c>
      <c r="C282" s="1" t="s">
        <v>44</v>
      </c>
      <c r="D282" s="1" t="s">
        <v>10</v>
      </c>
      <c r="E282" s="1" t="s">
        <v>8</v>
      </c>
      <c r="F282" s="1">
        <v>2652</v>
      </c>
      <c r="G282" s="14">
        <v>50</v>
      </c>
      <c r="H282" s="1">
        <v>0.05</v>
      </c>
      <c r="I282" s="14">
        <v>125970</v>
      </c>
      <c r="J282" s="14">
        <v>74256</v>
      </c>
      <c r="K282" s="15">
        <f>Table5[[#This Row],[Selling Price]]*Table5[[#This Row],[Units Sold]]</f>
        <v>132600</v>
      </c>
      <c r="L282" t="str">
        <f t="shared" si="4"/>
        <v>2023-07</v>
      </c>
      <c r="M282" t="str">
        <f>VLOOKUP(Table5[[#This Row],[Store ID]],Table4[[Store ID]:[Store Location]],2)</f>
        <v>Birmingham</v>
      </c>
      <c r="N282" t="str">
        <f>VLOOKUP(Table5[[#This Row],[Store ID]],Table4[[Store ID]:[Region]],3)</f>
        <v>Midlands</v>
      </c>
      <c r="O282" t="str">
        <f>VLOOKUP(Table5[[#This Row],[Product ID]],'Product Master'!$A$2:$D$10,4)</f>
        <v>Supplier B</v>
      </c>
      <c r="P282" s="15">
        <f>Table5[[#This Row],[Total Revenue]]-Table5[[#This Row],[Net Sales Revenue]]</f>
        <v>6630</v>
      </c>
      <c r="Q282" s="15">
        <f>Table5[[#This Row],[Net Sales Revenue]]/Table5[[#This Row],[Units Sold]]</f>
        <v>47.5</v>
      </c>
      <c r="R282">
        <f>VLOOKUP(Table5[[#This Row],[Product ID]],'Product Master'!$A$1:$E$10,5,FALSE)</f>
        <v>28</v>
      </c>
      <c r="S282" s="15">
        <f>Table5[[#This Row],[standard product cost per unit]]*Table5[[#This Row],[Units Sold]]</f>
        <v>74256</v>
      </c>
      <c r="T282" s="15">
        <f>Table5[[#This Row],[Cost of Sales]]-Table5[[#This Row],[Standard cost]]</f>
        <v>0</v>
      </c>
      <c r="U282" s="15">
        <f>Table5[[#This Row],[Net Sales Revenue]]-Table5[[#This Row],[Cost of Sales]]</f>
        <v>51714</v>
      </c>
      <c r="V282" s="17">
        <f>Table5[[#This Row],[GrossProfit]]/Table5[[#This Row],[Net Sales Revenue]]</f>
        <v>0.41052631578947368</v>
      </c>
    </row>
    <row r="283" spans="1:22" ht="14.25" customHeight="1" x14ac:dyDescent="0.25">
      <c r="A283" s="1" t="s">
        <v>355</v>
      </c>
      <c r="B283" s="1" t="s">
        <v>344</v>
      </c>
      <c r="C283" s="1" t="s">
        <v>44</v>
      </c>
      <c r="D283" s="1" t="s">
        <v>13</v>
      </c>
      <c r="E283" s="1" t="s">
        <v>15</v>
      </c>
      <c r="F283" s="1">
        <v>1572</v>
      </c>
      <c r="G283" s="14">
        <v>28</v>
      </c>
      <c r="H283" s="1">
        <v>0.08</v>
      </c>
      <c r="I283" s="14">
        <v>40494.720000000001</v>
      </c>
      <c r="J283" s="14">
        <v>23580</v>
      </c>
      <c r="K283" s="15">
        <f>Table5[[#This Row],[Selling Price]]*Table5[[#This Row],[Units Sold]]</f>
        <v>44016</v>
      </c>
      <c r="L283" t="str">
        <f t="shared" si="4"/>
        <v>2023-07</v>
      </c>
      <c r="M283" t="str">
        <f>VLOOKUP(Table5[[#This Row],[Store ID]],Table4[[Store ID]:[Store Location]],2)</f>
        <v>Birmingham</v>
      </c>
      <c r="N283" t="str">
        <f>VLOOKUP(Table5[[#This Row],[Store ID]],Table4[[Store ID]:[Region]],3)</f>
        <v>Midlands</v>
      </c>
      <c r="O283" t="str">
        <f>VLOOKUP(Table5[[#This Row],[Product ID]],'Product Master'!$A$2:$D$10,4)</f>
        <v>Supplier C</v>
      </c>
      <c r="P283" s="15">
        <f>Table5[[#This Row],[Total Revenue]]-Table5[[#This Row],[Net Sales Revenue]]</f>
        <v>3521.2799999999988</v>
      </c>
      <c r="Q283" s="15">
        <f>Table5[[#This Row],[Net Sales Revenue]]/Table5[[#This Row],[Units Sold]]</f>
        <v>25.76</v>
      </c>
      <c r="R283">
        <f>VLOOKUP(Table5[[#This Row],[Product ID]],'Product Master'!$A$1:$E$10,5,FALSE)</f>
        <v>15</v>
      </c>
      <c r="S283" s="15">
        <f>Table5[[#This Row],[standard product cost per unit]]*Table5[[#This Row],[Units Sold]]</f>
        <v>23580</v>
      </c>
      <c r="T283" s="15">
        <f>Table5[[#This Row],[Cost of Sales]]-Table5[[#This Row],[Standard cost]]</f>
        <v>0</v>
      </c>
      <c r="U283" s="15">
        <f>Table5[[#This Row],[Net Sales Revenue]]-Table5[[#This Row],[Cost of Sales]]</f>
        <v>16914.72</v>
      </c>
      <c r="V283" s="17">
        <f>Table5[[#This Row],[GrossProfit]]/Table5[[#This Row],[Net Sales Revenue]]</f>
        <v>0.41770186335403731</v>
      </c>
    </row>
    <row r="284" spans="1:22" ht="14.25" customHeight="1" x14ac:dyDescent="0.25">
      <c r="A284" s="1" t="s">
        <v>356</v>
      </c>
      <c r="B284" s="1" t="s">
        <v>344</v>
      </c>
      <c r="C284" s="1" t="s">
        <v>44</v>
      </c>
      <c r="D284" s="1" t="s">
        <v>17</v>
      </c>
      <c r="E284" s="1" t="s">
        <v>15</v>
      </c>
      <c r="F284" s="1">
        <v>2036</v>
      </c>
      <c r="G284" s="14">
        <v>35</v>
      </c>
      <c r="H284" s="1">
        <v>0.09</v>
      </c>
      <c r="I284" s="14">
        <v>64846.6</v>
      </c>
      <c r="J284" s="14">
        <v>36648</v>
      </c>
      <c r="K284" s="15">
        <f>Table5[[#This Row],[Selling Price]]*Table5[[#This Row],[Units Sold]]</f>
        <v>71260</v>
      </c>
      <c r="L284" t="str">
        <f t="shared" si="4"/>
        <v>2023-07</v>
      </c>
      <c r="M284" t="str">
        <f>VLOOKUP(Table5[[#This Row],[Store ID]],Table4[[Store ID]:[Store Location]],2)</f>
        <v>Birmingham</v>
      </c>
      <c r="N284" t="str">
        <f>VLOOKUP(Table5[[#This Row],[Store ID]],Table4[[Store ID]:[Region]],3)</f>
        <v>Midlands</v>
      </c>
      <c r="O284" t="str">
        <f>VLOOKUP(Table5[[#This Row],[Product ID]],'Product Master'!$A$2:$D$10,4)</f>
        <v>Supplier C</v>
      </c>
      <c r="P284" s="15">
        <f>Table5[[#This Row],[Total Revenue]]-Table5[[#This Row],[Net Sales Revenue]]</f>
        <v>6413.4000000000015</v>
      </c>
      <c r="Q284" s="15">
        <f>Table5[[#This Row],[Net Sales Revenue]]/Table5[[#This Row],[Units Sold]]</f>
        <v>31.849999999999998</v>
      </c>
      <c r="R284">
        <f>VLOOKUP(Table5[[#This Row],[Product ID]],'Product Master'!$A$1:$E$10,5,FALSE)</f>
        <v>18</v>
      </c>
      <c r="S284" s="15">
        <f>Table5[[#This Row],[standard product cost per unit]]*Table5[[#This Row],[Units Sold]]</f>
        <v>36648</v>
      </c>
      <c r="T284" s="15">
        <f>Table5[[#This Row],[Cost of Sales]]-Table5[[#This Row],[Standard cost]]</f>
        <v>0</v>
      </c>
      <c r="U284" s="15">
        <f>Table5[[#This Row],[Net Sales Revenue]]-Table5[[#This Row],[Cost of Sales]]</f>
        <v>28198.6</v>
      </c>
      <c r="V284" s="17">
        <f>Table5[[#This Row],[GrossProfit]]/Table5[[#This Row],[Net Sales Revenue]]</f>
        <v>0.43485086342229196</v>
      </c>
    </row>
    <row r="285" spans="1:22" ht="14.25" customHeight="1" x14ac:dyDescent="0.25">
      <c r="A285" s="1" t="s">
        <v>357</v>
      </c>
      <c r="B285" s="1" t="s">
        <v>344</v>
      </c>
      <c r="C285" s="1" t="s">
        <v>44</v>
      </c>
      <c r="D285" s="1" t="s">
        <v>19</v>
      </c>
      <c r="E285" s="1" t="s">
        <v>21</v>
      </c>
      <c r="F285" s="1">
        <v>1356</v>
      </c>
      <c r="G285" s="14">
        <v>18</v>
      </c>
      <c r="H285" s="1">
        <v>0.06</v>
      </c>
      <c r="I285" s="14">
        <v>22943.52</v>
      </c>
      <c r="J285" s="14">
        <v>12204</v>
      </c>
      <c r="K285" s="15">
        <f>Table5[[#This Row],[Selling Price]]*Table5[[#This Row],[Units Sold]]</f>
        <v>24408</v>
      </c>
      <c r="L285" t="str">
        <f t="shared" si="4"/>
        <v>2023-07</v>
      </c>
      <c r="M285" t="str">
        <f>VLOOKUP(Table5[[#This Row],[Store ID]],Table4[[Store ID]:[Store Location]],2)</f>
        <v>Birmingham</v>
      </c>
      <c r="N285" t="str">
        <f>VLOOKUP(Table5[[#This Row],[Store ID]],Table4[[Store ID]:[Region]],3)</f>
        <v>Midlands</v>
      </c>
      <c r="O285" t="str">
        <f>VLOOKUP(Table5[[#This Row],[Product ID]],'Product Master'!$A$2:$D$10,4)</f>
        <v>Supplier D</v>
      </c>
      <c r="P285" s="15">
        <f>Table5[[#This Row],[Total Revenue]]-Table5[[#This Row],[Net Sales Revenue]]</f>
        <v>1464.4799999999996</v>
      </c>
      <c r="Q285" s="15">
        <f>Table5[[#This Row],[Net Sales Revenue]]/Table5[[#This Row],[Units Sold]]</f>
        <v>16.920000000000002</v>
      </c>
      <c r="R285">
        <f>VLOOKUP(Table5[[#This Row],[Product ID]],'Product Master'!$A$1:$E$10,5,FALSE)</f>
        <v>9</v>
      </c>
      <c r="S285" s="15">
        <f>Table5[[#This Row],[standard product cost per unit]]*Table5[[#This Row],[Units Sold]]</f>
        <v>12204</v>
      </c>
      <c r="T285" s="15">
        <f>Table5[[#This Row],[Cost of Sales]]-Table5[[#This Row],[Standard cost]]</f>
        <v>0</v>
      </c>
      <c r="U285" s="15">
        <f>Table5[[#This Row],[Net Sales Revenue]]-Table5[[#This Row],[Cost of Sales]]</f>
        <v>10739.52</v>
      </c>
      <c r="V285" s="17">
        <f>Table5[[#This Row],[GrossProfit]]/Table5[[#This Row],[Net Sales Revenue]]</f>
        <v>0.46808510638297873</v>
      </c>
    </row>
    <row r="286" spans="1:22" ht="14.25" customHeight="1" x14ac:dyDescent="0.25">
      <c r="A286" s="1" t="s">
        <v>358</v>
      </c>
      <c r="B286" s="1" t="s">
        <v>344</v>
      </c>
      <c r="C286" s="1" t="s">
        <v>44</v>
      </c>
      <c r="D286" s="1" t="s">
        <v>23</v>
      </c>
      <c r="E286" s="1" t="s">
        <v>21</v>
      </c>
      <c r="F286" s="1">
        <v>1276</v>
      </c>
      <c r="G286" s="14">
        <v>30</v>
      </c>
      <c r="H286" s="1">
        <v>0.05</v>
      </c>
      <c r="I286" s="14">
        <v>36366</v>
      </c>
      <c r="J286" s="14">
        <v>17864</v>
      </c>
      <c r="K286" s="15">
        <f>Table5[[#This Row],[Selling Price]]*Table5[[#This Row],[Units Sold]]</f>
        <v>38280</v>
      </c>
      <c r="L286" t="str">
        <f t="shared" si="4"/>
        <v>2023-07</v>
      </c>
      <c r="M286" t="str">
        <f>VLOOKUP(Table5[[#This Row],[Store ID]],Table4[[Store ID]:[Store Location]],2)</f>
        <v>Birmingham</v>
      </c>
      <c r="N286" t="str">
        <f>VLOOKUP(Table5[[#This Row],[Store ID]],Table4[[Store ID]:[Region]],3)</f>
        <v>Midlands</v>
      </c>
      <c r="O286" t="str">
        <f>VLOOKUP(Table5[[#This Row],[Product ID]],'Product Master'!$A$2:$D$10,4)</f>
        <v>Supplier D</v>
      </c>
      <c r="P286" s="15">
        <f>Table5[[#This Row],[Total Revenue]]-Table5[[#This Row],[Net Sales Revenue]]</f>
        <v>1914</v>
      </c>
      <c r="Q286" s="15">
        <f>Table5[[#This Row],[Net Sales Revenue]]/Table5[[#This Row],[Units Sold]]</f>
        <v>28.5</v>
      </c>
      <c r="R286">
        <f>VLOOKUP(Table5[[#This Row],[Product ID]],'Product Master'!$A$1:$E$10,5,FALSE)</f>
        <v>14</v>
      </c>
      <c r="S286" s="15">
        <f>Table5[[#This Row],[standard product cost per unit]]*Table5[[#This Row],[Units Sold]]</f>
        <v>17864</v>
      </c>
      <c r="T286" s="15">
        <f>Table5[[#This Row],[Cost of Sales]]-Table5[[#This Row],[Standard cost]]</f>
        <v>0</v>
      </c>
      <c r="U286" s="15">
        <f>Table5[[#This Row],[Net Sales Revenue]]-Table5[[#This Row],[Cost of Sales]]</f>
        <v>18502</v>
      </c>
      <c r="V286" s="17">
        <f>Table5[[#This Row],[GrossProfit]]/Table5[[#This Row],[Net Sales Revenue]]</f>
        <v>0.50877192982456143</v>
      </c>
    </row>
    <row r="287" spans="1:22" ht="14.25" customHeight="1" x14ac:dyDescent="0.25">
      <c r="A287" s="1" t="s">
        <v>359</v>
      </c>
      <c r="B287" s="1" t="s">
        <v>344</v>
      </c>
      <c r="C287" s="1" t="s">
        <v>44</v>
      </c>
      <c r="D287" s="1" t="s">
        <v>25</v>
      </c>
      <c r="E287" s="1" t="s">
        <v>27</v>
      </c>
      <c r="F287" s="1">
        <v>1816</v>
      </c>
      <c r="G287" s="14">
        <v>40</v>
      </c>
      <c r="H287" s="1">
        <v>0.1</v>
      </c>
      <c r="I287" s="14">
        <v>65376</v>
      </c>
      <c r="J287" s="14">
        <v>36320</v>
      </c>
      <c r="K287" s="15">
        <f>Table5[[#This Row],[Selling Price]]*Table5[[#This Row],[Units Sold]]</f>
        <v>72640</v>
      </c>
      <c r="L287" t="str">
        <f t="shared" si="4"/>
        <v>2023-07</v>
      </c>
      <c r="M287" t="str">
        <f>VLOOKUP(Table5[[#This Row],[Store ID]],Table4[[Store ID]:[Store Location]],2)</f>
        <v>Birmingham</v>
      </c>
      <c r="N287" t="str">
        <f>VLOOKUP(Table5[[#This Row],[Store ID]],Table4[[Store ID]:[Region]],3)</f>
        <v>Midlands</v>
      </c>
      <c r="O287" t="str">
        <f>VLOOKUP(Table5[[#This Row],[Product ID]],'Product Master'!$A$2:$D$10,4)</f>
        <v>Supplier E</v>
      </c>
      <c r="P287" s="15">
        <f>Table5[[#This Row],[Total Revenue]]-Table5[[#This Row],[Net Sales Revenue]]</f>
        <v>7264</v>
      </c>
      <c r="Q287" s="15">
        <f>Table5[[#This Row],[Net Sales Revenue]]/Table5[[#This Row],[Units Sold]]</f>
        <v>36</v>
      </c>
      <c r="R287">
        <f>VLOOKUP(Table5[[#This Row],[Product ID]],'Product Master'!$A$1:$E$10,5,FALSE)</f>
        <v>20</v>
      </c>
      <c r="S287" s="15">
        <f>Table5[[#This Row],[standard product cost per unit]]*Table5[[#This Row],[Units Sold]]</f>
        <v>36320</v>
      </c>
      <c r="T287" s="15">
        <f>Table5[[#This Row],[Cost of Sales]]-Table5[[#This Row],[Standard cost]]</f>
        <v>0</v>
      </c>
      <c r="U287" s="15">
        <f>Table5[[#This Row],[Net Sales Revenue]]-Table5[[#This Row],[Cost of Sales]]</f>
        <v>29056</v>
      </c>
      <c r="V287" s="17">
        <f>Table5[[#This Row],[GrossProfit]]/Table5[[#This Row],[Net Sales Revenue]]</f>
        <v>0.44444444444444442</v>
      </c>
    </row>
    <row r="288" spans="1:22" ht="14.25" customHeight="1" x14ac:dyDescent="0.25">
      <c r="A288" s="1" t="s">
        <v>360</v>
      </c>
      <c r="B288" s="1" t="s">
        <v>344</v>
      </c>
      <c r="C288" s="1" t="s">
        <v>44</v>
      </c>
      <c r="D288" s="1" t="s">
        <v>29</v>
      </c>
      <c r="E288" s="1" t="s">
        <v>31</v>
      </c>
      <c r="F288" s="1">
        <v>1672</v>
      </c>
      <c r="G288" s="14">
        <v>10</v>
      </c>
      <c r="H288" s="1">
        <v>0.1</v>
      </c>
      <c r="I288" s="14">
        <v>15048</v>
      </c>
      <c r="J288" s="14">
        <v>6688</v>
      </c>
      <c r="K288" s="15">
        <f>Table5[[#This Row],[Selling Price]]*Table5[[#This Row],[Units Sold]]</f>
        <v>16720</v>
      </c>
      <c r="L288" t="str">
        <f t="shared" si="4"/>
        <v>2023-07</v>
      </c>
      <c r="M288" t="str">
        <f>VLOOKUP(Table5[[#This Row],[Store ID]],Table4[[Store ID]:[Store Location]],2)</f>
        <v>Birmingham</v>
      </c>
      <c r="N288" t="str">
        <f>VLOOKUP(Table5[[#This Row],[Store ID]],Table4[[Store ID]:[Region]],3)</f>
        <v>Midlands</v>
      </c>
      <c r="O288" t="str">
        <f>VLOOKUP(Table5[[#This Row],[Product ID]],'Product Master'!$A$2:$D$10,4)</f>
        <v>Supplier F</v>
      </c>
      <c r="P288" s="15">
        <f>Table5[[#This Row],[Total Revenue]]-Table5[[#This Row],[Net Sales Revenue]]</f>
        <v>1672</v>
      </c>
      <c r="Q288" s="15">
        <f>Table5[[#This Row],[Net Sales Revenue]]/Table5[[#This Row],[Units Sold]]</f>
        <v>9</v>
      </c>
      <c r="R288">
        <f>VLOOKUP(Table5[[#This Row],[Product ID]],'Product Master'!$A$1:$E$10,5,FALSE)</f>
        <v>4</v>
      </c>
      <c r="S288" s="15">
        <f>Table5[[#This Row],[standard product cost per unit]]*Table5[[#This Row],[Units Sold]]</f>
        <v>6688</v>
      </c>
      <c r="T288" s="15">
        <f>Table5[[#This Row],[Cost of Sales]]-Table5[[#This Row],[Standard cost]]</f>
        <v>0</v>
      </c>
      <c r="U288" s="15">
        <f>Table5[[#This Row],[Net Sales Revenue]]-Table5[[#This Row],[Cost of Sales]]</f>
        <v>8360</v>
      </c>
      <c r="V288" s="17">
        <f>Table5[[#This Row],[GrossProfit]]/Table5[[#This Row],[Net Sales Revenue]]</f>
        <v>0.55555555555555558</v>
      </c>
    </row>
    <row r="289" spans="1:22" ht="14.25" customHeight="1" x14ac:dyDescent="0.25">
      <c r="A289" s="1" t="s">
        <v>361</v>
      </c>
      <c r="B289" s="1" t="s">
        <v>344</v>
      </c>
      <c r="C289" s="1" t="s">
        <v>44</v>
      </c>
      <c r="D289" s="1" t="s">
        <v>33</v>
      </c>
      <c r="E289" s="1" t="s">
        <v>31</v>
      </c>
      <c r="F289" s="1">
        <v>1448</v>
      </c>
      <c r="G289" s="14">
        <v>22</v>
      </c>
      <c r="H289" s="1">
        <v>0.09</v>
      </c>
      <c r="I289" s="14">
        <v>28988.959999999999</v>
      </c>
      <c r="J289" s="14">
        <v>14480</v>
      </c>
      <c r="K289" s="15">
        <f>Table5[[#This Row],[Selling Price]]*Table5[[#This Row],[Units Sold]]</f>
        <v>31856</v>
      </c>
      <c r="L289" t="str">
        <f t="shared" si="4"/>
        <v>2023-07</v>
      </c>
      <c r="M289" t="str">
        <f>VLOOKUP(Table5[[#This Row],[Store ID]],Table4[[Store ID]:[Store Location]],2)</f>
        <v>Birmingham</v>
      </c>
      <c r="N289" t="str">
        <f>VLOOKUP(Table5[[#This Row],[Store ID]],Table4[[Store ID]:[Region]],3)</f>
        <v>Midlands</v>
      </c>
      <c r="O289" t="str">
        <f>VLOOKUP(Table5[[#This Row],[Product ID]],'Product Master'!$A$2:$D$10,4)</f>
        <v>Supplier F</v>
      </c>
      <c r="P289" s="15">
        <f>Table5[[#This Row],[Total Revenue]]-Table5[[#This Row],[Net Sales Revenue]]</f>
        <v>2867.0400000000009</v>
      </c>
      <c r="Q289" s="15">
        <f>Table5[[#This Row],[Net Sales Revenue]]/Table5[[#This Row],[Units Sold]]</f>
        <v>20.02</v>
      </c>
      <c r="R289">
        <f>VLOOKUP(Table5[[#This Row],[Product ID]],'Product Master'!$A$1:$E$10,5,FALSE)</f>
        <v>10</v>
      </c>
      <c r="S289" s="15">
        <f>Table5[[#This Row],[standard product cost per unit]]*Table5[[#This Row],[Units Sold]]</f>
        <v>14480</v>
      </c>
      <c r="T289" s="15">
        <f>Table5[[#This Row],[Cost of Sales]]-Table5[[#This Row],[Standard cost]]</f>
        <v>0</v>
      </c>
      <c r="U289" s="15">
        <f>Table5[[#This Row],[Net Sales Revenue]]-Table5[[#This Row],[Cost of Sales]]</f>
        <v>14508.96</v>
      </c>
      <c r="V289" s="17">
        <f>Table5[[#This Row],[GrossProfit]]/Table5[[#This Row],[Net Sales Revenue]]</f>
        <v>0.50049950049950054</v>
      </c>
    </row>
    <row r="290" spans="1:22" ht="14.25" customHeight="1" x14ac:dyDescent="0.25">
      <c r="A290" s="1" t="s">
        <v>362</v>
      </c>
      <c r="B290" s="1" t="s">
        <v>344</v>
      </c>
      <c r="C290" s="1" t="s">
        <v>48</v>
      </c>
      <c r="D290" s="1" t="s">
        <v>6</v>
      </c>
      <c r="E290" s="1" t="s">
        <v>8</v>
      </c>
      <c r="F290" s="1">
        <v>2596</v>
      </c>
      <c r="G290" s="14">
        <v>24</v>
      </c>
      <c r="H290" s="1">
        <v>0.06</v>
      </c>
      <c r="I290" s="14">
        <v>58565.760000000002</v>
      </c>
      <c r="J290" s="14">
        <v>31152</v>
      </c>
      <c r="K290" s="15">
        <f>Table5[[#This Row],[Selling Price]]*Table5[[#This Row],[Units Sold]]</f>
        <v>62304</v>
      </c>
      <c r="L290" t="str">
        <f t="shared" si="4"/>
        <v>2023-07</v>
      </c>
      <c r="M290" t="str">
        <f>VLOOKUP(Table5[[#This Row],[Store ID]],Table4[[Store ID]:[Store Location]],2)</f>
        <v>London Stratford</v>
      </c>
      <c r="N290" t="str">
        <f>VLOOKUP(Table5[[#This Row],[Store ID]],Table4[[Store ID]:[Region]],3)</f>
        <v>South</v>
      </c>
      <c r="O290" t="str">
        <f>VLOOKUP(Table5[[#This Row],[Product ID]],'Product Master'!$A$2:$D$10,4)</f>
        <v>Supplier A</v>
      </c>
      <c r="P290" s="15">
        <f>Table5[[#This Row],[Total Revenue]]-Table5[[#This Row],[Net Sales Revenue]]</f>
        <v>3738.239999999998</v>
      </c>
      <c r="Q290" s="15">
        <f>Table5[[#This Row],[Net Sales Revenue]]/Table5[[#This Row],[Units Sold]]</f>
        <v>22.560000000000002</v>
      </c>
      <c r="R290">
        <f>VLOOKUP(Table5[[#This Row],[Product ID]],'Product Master'!$A$1:$E$10,5,FALSE)</f>
        <v>12</v>
      </c>
      <c r="S290" s="15">
        <f>Table5[[#This Row],[standard product cost per unit]]*Table5[[#This Row],[Units Sold]]</f>
        <v>31152</v>
      </c>
      <c r="T290" s="15">
        <f>Table5[[#This Row],[Cost of Sales]]-Table5[[#This Row],[Standard cost]]</f>
        <v>0</v>
      </c>
      <c r="U290" s="15">
        <f>Table5[[#This Row],[Net Sales Revenue]]-Table5[[#This Row],[Cost of Sales]]</f>
        <v>27413.760000000002</v>
      </c>
      <c r="V290" s="17">
        <f>Table5[[#This Row],[GrossProfit]]/Table5[[#This Row],[Net Sales Revenue]]</f>
        <v>0.46808510638297873</v>
      </c>
    </row>
    <row r="291" spans="1:22" ht="14.25" customHeight="1" x14ac:dyDescent="0.25">
      <c r="A291" s="1" t="s">
        <v>363</v>
      </c>
      <c r="B291" s="1" t="s">
        <v>344</v>
      </c>
      <c r="C291" s="1" t="s">
        <v>48</v>
      </c>
      <c r="D291" s="1" t="s">
        <v>10</v>
      </c>
      <c r="E291" s="1" t="s">
        <v>8</v>
      </c>
      <c r="F291" s="1">
        <v>1524</v>
      </c>
      <c r="G291" s="14">
        <v>50</v>
      </c>
      <c r="H291" s="1">
        <v>0.1</v>
      </c>
      <c r="I291" s="14">
        <v>68580</v>
      </c>
      <c r="J291" s="14">
        <v>42672</v>
      </c>
      <c r="K291" s="15">
        <f>Table5[[#This Row],[Selling Price]]*Table5[[#This Row],[Units Sold]]</f>
        <v>76200</v>
      </c>
      <c r="L291" t="str">
        <f t="shared" si="4"/>
        <v>2023-07</v>
      </c>
      <c r="M291" t="str">
        <f>VLOOKUP(Table5[[#This Row],[Store ID]],Table4[[Store ID]:[Store Location]],2)</f>
        <v>London Stratford</v>
      </c>
      <c r="N291" t="str">
        <f>VLOOKUP(Table5[[#This Row],[Store ID]],Table4[[Store ID]:[Region]],3)</f>
        <v>South</v>
      </c>
      <c r="O291" t="str">
        <f>VLOOKUP(Table5[[#This Row],[Product ID]],'Product Master'!$A$2:$D$10,4)</f>
        <v>Supplier B</v>
      </c>
      <c r="P291" s="15">
        <f>Table5[[#This Row],[Total Revenue]]-Table5[[#This Row],[Net Sales Revenue]]</f>
        <v>7620</v>
      </c>
      <c r="Q291" s="15">
        <f>Table5[[#This Row],[Net Sales Revenue]]/Table5[[#This Row],[Units Sold]]</f>
        <v>45</v>
      </c>
      <c r="R291">
        <f>VLOOKUP(Table5[[#This Row],[Product ID]],'Product Master'!$A$1:$E$10,5,FALSE)</f>
        <v>28</v>
      </c>
      <c r="S291" s="15">
        <f>Table5[[#This Row],[standard product cost per unit]]*Table5[[#This Row],[Units Sold]]</f>
        <v>42672</v>
      </c>
      <c r="T291" s="15">
        <f>Table5[[#This Row],[Cost of Sales]]-Table5[[#This Row],[Standard cost]]</f>
        <v>0</v>
      </c>
      <c r="U291" s="15">
        <f>Table5[[#This Row],[Net Sales Revenue]]-Table5[[#This Row],[Cost of Sales]]</f>
        <v>25908</v>
      </c>
      <c r="V291" s="17">
        <f>Table5[[#This Row],[GrossProfit]]/Table5[[#This Row],[Net Sales Revenue]]</f>
        <v>0.37777777777777777</v>
      </c>
    </row>
    <row r="292" spans="1:22" ht="14.25" customHeight="1" x14ac:dyDescent="0.25">
      <c r="A292" s="1" t="s">
        <v>364</v>
      </c>
      <c r="B292" s="1" t="s">
        <v>344</v>
      </c>
      <c r="C292" s="1" t="s">
        <v>48</v>
      </c>
      <c r="D292" s="1" t="s">
        <v>13</v>
      </c>
      <c r="E292" s="1" t="s">
        <v>15</v>
      </c>
      <c r="F292" s="1">
        <v>1536</v>
      </c>
      <c r="G292" s="14">
        <v>28</v>
      </c>
      <c r="H292" s="1">
        <v>0.08</v>
      </c>
      <c r="I292" s="14">
        <v>39567.360000000001</v>
      </c>
      <c r="J292" s="14">
        <v>23040</v>
      </c>
      <c r="K292" s="15">
        <f>Table5[[#This Row],[Selling Price]]*Table5[[#This Row],[Units Sold]]</f>
        <v>43008</v>
      </c>
      <c r="L292" t="str">
        <f t="shared" si="4"/>
        <v>2023-07</v>
      </c>
      <c r="M292" t="str">
        <f>VLOOKUP(Table5[[#This Row],[Store ID]],Table4[[Store ID]:[Store Location]],2)</f>
        <v>London Stratford</v>
      </c>
      <c r="N292" t="str">
        <f>VLOOKUP(Table5[[#This Row],[Store ID]],Table4[[Store ID]:[Region]],3)</f>
        <v>South</v>
      </c>
      <c r="O292" t="str">
        <f>VLOOKUP(Table5[[#This Row],[Product ID]],'Product Master'!$A$2:$D$10,4)</f>
        <v>Supplier C</v>
      </c>
      <c r="P292" s="15">
        <f>Table5[[#This Row],[Total Revenue]]-Table5[[#This Row],[Net Sales Revenue]]</f>
        <v>3440.6399999999994</v>
      </c>
      <c r="Q292" s="15">
        <f>Table5[[#This Row],[Net Sales Revenue]]/Table5[[#This Row],[Units Sold]]</f>
        <v>25.76</v>
      </c>
      <c r="R292">
        <f>VLOOKUP(Table5[[#This Row],[Product ID]],'Product Master'!$A$1:$E$10,5,FALSE)</f>
        <v>15</v>
      </c>
      <c r="S292" s="15">
        <f>Table5[[#This Row],[standard product cost per unit]]*Table5[[#This Row],[Units Sold]]</f>
        <v>23040</v>
      </c>
      <c r="T292" s="15">
        <f>Table5[[#This Row],[Cost of Sales]]-Table5[[#This Row],[Standard cost]]</f>
        <v>0</v>
      </c>
      <c r="U292" s="15">
        <f>Table5[[#This Row],[Net Sales Revenue]]-Table5[[#This Row],[Cost of Sales]]</f>
        <v>16527.36</v>
      </c>
      <c r="V292" s="17">
        <f>Table5[[#This Row],[GrossProfit]]/Table5[[#This Row],[Net Sales Revenue]]</f>
        <v>0.41770186335403725</v>
      </c>
    </row>
    <row r="293" spans="1:22" ht="14.25" customHeight="1" x14ac:dyDescent="0.25">
      <c r="A293" s="1" t="s">
        <v>365</v>
      </c>
      <c r="B293" s="1" t="s">
        <v>344</v>
      </c>
      <c r="C293" s="1" t="s">
        <v>48</v>
      </c>
      <c r="D293" s="1" t="s">
        <v>17</v>
      </c>
      <c r="E293" s="1" t="s">
        <v>15</v>
      </c>
      <c r="F293" s="1">
        <v>1848</v>
      </c>
      <c r="G293" s="14">
        <v>35</v>
      </c>
      <c r="H293" s="1">
        <v>0.06</v>
      </c>
      <c r="I293" s="14">
        <v>60799.199999999997</v>
      </c>
      <c r="J293" s="14">
        <v>33264</v>
      </c>
      <c r="K293" s="15">
        <f>Table5[[#This Row],[Selling Price]]*Table5[[#This Row],[Units Sold]]</f>
        <v>64680</v>
      </c>
      <c r="L293" t="str">
        <f t="shared" si="4"/>
        <v>2023-07</v>
      </c>
      <c r="M293" t="str">
        <f>VLOOKUP(Table5[[#This Row],[Store ID]],Table4[[Store ID]:[Store Location]],2)</f>
        <v>London Stratford</v>
      </c>
      <c r="N293" t="str">
        <f>VLOOKUP(Table5[[#This Row],[Store ID]],Table4[[Store ID]:[Region]],3)</f>
        <v>South</v>
      </c>
      <c r="O293" t="str">
        <f>VLOOKUP(Table5[[#This Row],[Product ID]],'Product Master'!$A$2:$D$10,4)</f>
        <v>Supplier C</v>
      </c>
      <c r="P293" s="15">
        <f>Table5[[#This Row],[Total Revenue]]-Table5[[#This Row],[Net Sales Revenue]]</f>
        <v>3880.8000000000029</v>
      </c>
      <c r="Q293" s="15">
        <f>Table5[[#This Row],[Net Sales Revenue]]/Table5[[#This Row],[Units Sold]]</f>
        <v>32.9</v>
      </c>
      <c r="R293">
        <f>VLOOKUP(Table5[[#This Row],[Product ID]],'Product Master'!$A$1:$E$10,5,FALSE)</f>
        <v>18</v>
      </c>
      <c r="S293" s="15">
        <f>Table5[[#This Row],[standard product cost per unit]]*Table5[[#This Row],[Units Sold]]</f>
        <v>33264</v>
      </c>
      <c r="T293" s="15">
        <f>Table5[[#This Row],[Cost of Sales]]-Table5[[#This Row],[Standard cost]]</f>
        <v>0</v>
      </c>
      <c r="U293" s="15">
        <f>Table5[[#This Row],[Net Sales Revenue]]-Table5[[#This Row],[Cost of Sales]]</f>
        <v>27535.199999999997</v>
      </c>
      <c r="V293" s="17">
        <f>Table5[[#This Row],[GrossProfit]]/Table5[[#This Row],[Net Sales Revenue]]</f>
        <v>0.45288753799392095</v>
      </c>
    </row>
    <row r="294" spans="1:22" ht="14.25" customHeight="1" x14ac:dyDescent="0.25">
      <c r="A294" s="1" t="s">
        <v>366</v>
      </c>
      <c r="B294" s="1" t="s">
        <v>344</v>
      </c>
      <c r="C294" s="1" t="s">
        <v>48</v>
      </c>
      <c r="D294" s="1" t="s">
        <v>19</v>
      </c>
      <c r="E294" s="1" t="s">
        <v>21</v>
      </c>
      <c r="F294" s="1">
        <v>2188</v>
      </c>
      <c r="G294" s="14">
        <v>18</v>
      </c>
      <c r="H294" s="1">
        <v>0.05</v>
      </c>
      <c r="I294" s="14">
        <v>37414.800000000003</v>
      </c>
      <c r="J294" s="14">
        <v>19692</v>
      </c>
      <c r="K294" s="15">
        <f>Table5[[#This Row],[Selling Price]]*Table5[[#This Row],[Units Sold]]</f>
        <v>39384</v>
      </c>
      <c r="L294" t="str">
        <f t="shared" si="4"/>
        <v>2023-07</v>
      </c>
      <c r="M294" t="str">
        <f>VLOOKUP(Table5[[#This Row],[Store ID]],Table4[[Store ID]:[Store Location]],2)</f>
        <v>London Stratford</v>
      </c>
      <c r="N294" t="str">
        <f>VLOOKUP(Table5[[#This Row],[Store ID]],Table4[[Store ID]:[Region]],3)</f>
        <v>South</v>
      </c>
      <c r="O294" t="str">
        <f>VLOOKUP(Table5[[#This Row],[Product ID]],'Product Master'!$A$2:$D$10,4)</f>
        <v>Supplier D</v>
      </c>
      <c r="P294" s="15">
        <f>Table5[[#This Row],[Total Revenue]]-Table5[[#This Row],[Net Sales Revenue]]</f>
        <v>1969.1999999999971</v>
      </c>
      <c r="Q294" s="15">
        <f>Table5[[#This Row],[Net Sales Revenue]]/Table5[[#This Row],[Units Sold]]</f>
        <v>17.100000000000001</v>
      </c>
      <c r="R294">
        <f>VLOOKUP(Table5[[#This Row],[Product ID]],'Product Master'!$A$1:$E$10,5,FALSE)</f>
        <v>9</v>
      </c>
      <c r="S294" s="15">
        <f>Table5[[#This Row],[standard product cost per unit]]*Table5[[#This Row],[Units Sold]]</f>
        <v>19692</v>
      </c>
      <c r="T294" s="15">
        <f>Table5[[#This Row],[Cost of Sales]]-Table5[[#This Row],[Standard cost]]</f>
        <v>0</v>
      </c>
      <c r="U294" s="15">
        <f>Table5[[#This Row],[Net Sales Revenue]]-Table5[[#This Row],[Cost of Sales]]</f>
        <v>17722.800000000003</v>
      </c>
      <c r="V294" s="17">
        <f>Table5[[#This Row],[GrossProfit]]/Table5[[#This Row],[Net Sales Revenue]]</f>
        <v>0.47368421052631582</v>
      </c>
    </row>
    <row r="295" spans="1:22" ht="14.25" customHeight="1" x14ac:dyDescent="0.25">
      <c r="A295" s="1" t="s">
        <v>367</v>
      </c>
      <c r="B295" s="1" t="s">
        <v>344</v>
      </c>
      <c r="C295" s="1" t="s">
        <v>48</v>
      </c>
      <c r="D295" s="1" t="s">
        <v>23</v>
      </c>
      <c r="E295" s="1" t="s">
        <v>21</v>
      </c>
      <c r="F295" s="1">
        <v>1236</v>
      </c>
      <c r="G295" s="14">
        <v>30</v>
      </c>
      <c r="H295" s="1">
        <v>0.09</v>
      </c>
      <c r="I295" s="14">
        <v>33742.800000000003</v>
      </c>
      <c r="J295" s="14">
        <v>17304</v>
      </c>
      <c r="K295" s="15">
        <f>Table5[[#This Row],[Selling Price]]*Table5[[#This Row],[Units Sold]]</f>
        <v>37080</v>
      </c>
      <c r="L295" t="str">
        <f t="shared" si="4"/>
        <v>2023-07</v>
      </c>
      <c r="M295" t="str">
        <f>VLOOKUP(Table5[[#This Row],[Store ID]],Table4[[Store ID]:[Store Location]],2)</f>
        <v>London Stratford</v>
      </c>
      <c r="N295" t="str">
        <f>VLOOKUP(Table5[[#This Row],[Store ID]],Table4[[Store ID]:[Region]],3)</f>
        <v>South</v>
      </c>
      <c r="O295" t="str">
        <f>VLOOKUP(Table5[[#This Row],[Product ID]],'Product Master'!$A$2:$D$10,4)</f>
        <v>Supplier D</v>
      </c>
      <c r="P295" s="15">
        <f>Table5[[#This Row],[Total Revenue]]-Table5[[#This Row],[Net Sales Revenue]]</f>
        <v>3337.1999999999971</v>
      </c>
      <c r="Q295" s="15">
        <f>Table5[[#This Row],[Net Sales Revenue]]/Table5[[#This Row],[Units Sold]]</f>
        <v>27.3</v>
      </c>
      <c r="R295">
        <f>VLOOKUP(Table5[[#This Row],[Product ID]],'Product Master'!$A$1:$E$10,5,FALSE)</f>
        <v>14</v>
      </c>
      <c r="S295" s="15">
        <f>Table5[[#This Row],[standard product cost per unit]]*Table5[[#This Row],[Units Sold]]</f>
        <v>17304</v>
      </c>
      <c r="T295" s="15">
        <f>Table5[[#This Row],[Cost of Sales]]-Table5[[#This Row],[Standard cost]]</f>
        <v>0</v>
      </c>
      <c r="U295" s="15">
        <f>Table5[[#This Row],[Net Sales Revenue]]-Table5[[#This Row],[Cost of Sales]]</f>
        <v>16438.800000000003</v>
      </c>
      <c r="V295" s="17">
        <f>Table5[[#This Row],[GrossProfit]]/Table5[[#This Row],[Net Sales Revenue]]</f>
        <v>0.48717948717948723</v>
      </c>
    </row>
    <row r="296" spans="1:22" ht="14.25" customHeight="1" x14ac:dyDescent="0.25">
      <c r="A296" s="1" t="s">
        <v>368</v>
      </c>
      <c r="B296" s="1" t="s">
        <v>344</v>
      </c>
      <c r="C296" s="1" t="s">
        <v>48</v>
      </c>
      <c r="D296" s="1" t="s">
        <v>25</v>
      </c>
      <c r="E296" s="1" t="s">
        <v>27</v>
      </c>
      <c r="F296" s="1">
        <v>1256</v>
      </c>
      <c r="G296" s="14">
        <v>40</v>
      </c>
      <c r="H296" s="1">
        <v>0.09</v>
      </c>
      <c r="I296" s="14">
        <v>45718.400000000001</v>
      </c>
      <c r="J296" s="14">
        <v>25120</v>
      </c>
      <c r="K296" s="15">
        <f>Table5[[#This Row],[Selling Price]]*Table5[[#This Row],[Units Sold]]</f>
        <v>50240</v>
      </c>
      <c r="L296" t="str">
        <f t="shared" si="4"/>
        <v>2023-07</v>
      </c>
      <c r="M296" t="str">
        <f>VLOOKUP(Table5[[#This Row],[Store ID]],Table4[[Store ID]:[Store Location]],2)</f>
        <v>London Stratford</v>
      </c>
      <c r="N296" t="str">
        <f>VLOOKUP(Table5[[#This Row],[Store ID]],Table4[[Store ID]:[Region]],3)</f>
        <v>South</v>
      </c>
      <c r="O296" t="str">
        <f>VLOOKUP(Table5[[#This Row],[Product ID]],'Product Master'!$A$2:$D$10,4)</f>
        <v>Supplier E</v>
      </c>
      <c r="P296" s="15">
        <f>Table5[[#This Row],[Total Revenue]]-Table5[[#This Row],[Net Sales Revenue]]</f>
        <v>4521.5999999999985</v>
      </c>
      <c r="Q296" s="15">
        <f>Table5[[#This Row],[Net Sales Revenue]]/Table5[[#This Row],[Units Sold]]</f>
        <v>36.4</v>
      </c>
      <c r="R296">
        <f>VLOOKUP(Table5[[#This Row],[Product ID]],'Product Master'!$A$1:$E$10,5,FALSE)</f>
        <v>20</v>
      </c>
      <c r="S296" s="15">
        <f>Table5[[#This Row],[standard product cost per unit]]*Table5[[#This Row],[Units Sold]]</f>
        <v>25120</v>
      </c>
      <c r="T296" s="15">
        <f>Table5[[#This Row],[Cost of Sales]]-Table5[[#This Row],[Standard cost]]</f>
        <v>0</v>
      </c>
      <c r="U296" s="15">
        <f>Table5[[#This Row],[Net Sales Revenue]]-Table5[[#This Row],[Cost of Sales]]</f>
        <v>20598.400000000001</v>
      </c>
      <c r="V296" s="17">
        <f>Table5[[#This Row],[GrossProfit]]/Table5[[#This Row],[Net Sales Revenue]]</f>
        <v>0.45054945054945056</v>
      </c>
    </row>
    <row r="297" spans="1:22" ht="14.25" customHeight="1" x14ac:dyDescent="0.25">
      <c r="A297" s="1" t="s">
        <v>369</v>
      </c>
      <c r="B297" s="1" t="s">
        <v>344</v>
      </c>
      <c r="C297" s="1" t="s">
        <v>48</v>
      </c>
      <c r="D297" s="1" t="s">
        <v>29</v>
      </c>
      <c r="E297" s="1" t="s">
        <v>31</v>
      </c>
      <c r="F297" s="1">
        <v>1384</v>
      </c>
      <c r="G297" s="14">
        <v>10</v>
      </c>
      <c r="H297" s="1">
        <v>0.08</v>
      </c>
      <c r="I297" s="14">
        <v>12732.8</v>
      </c>
      <c r="J297" s="14">
        <v>5536</v>
      </c>
      <c r="K297" s="15">
        <f>Table5[[#This Row],[Selling Price]]*Table5[[#This Row],[Units Sold]]</f>
        <v>13840</v>
      </c>
      <c r="L297" t="str">
        <f t="shared" si="4"/>
        <v>2023-07</v>
      </c>
      <c r="M297" t="str">
        <f>VLOOKUP(Table5[[#This Row],[Store ID]],Table4[[Store ID]:[Store Location]],2)</f>
        <v>London Stratford</v>
      </c>
      <c r="N297" t="str">
        <f>VLOOKUP(Table5[[#This Row],[Store ID]],Table4[[Store ID]:[Region]],3)</f>
        <v>South</v>
      </c>
      <c r="O297" t="str">
        <f>VLOOKUP(Table5[[#This Row],[Product ID]],'Product Master'!$A$2:$D$10,4)</f>
        <v>Supplier F</v>
      </c>
      <c r="P297" s="15">
        <f>Table5[[#This Row],[Total Revenue]]-Table5[[#This Row],[Net Sales Revenue]]</f>
        <v>1107.2000000000007</v>
      </c>
      <c r="Q297" s="15">
        <f>Table5[[#This Row],[Net Sales Revenue]]/Table5[[#This Row],[Units Sold]]</f>
        <v>9.1999999999999993</v>
      </c>
      <c r="R297">
        <f>VLOOKUP(Table5[[#This Row],[Product ID]],'Product Master'!$A$1:$E$10,5,FALSE)</f>
        <v>4</v>
      </c>
      <c r="S297" s="15">
        <f>Table5[[#This Row],[standard product cost per unit]]*Table5[[#This Row],[Units Sold]]</f>
        <v>5536</v>
      </c>
      <c r="T297" s="15">
        <f>Table5[[#This Row],[Cost of Sales]]-Table5[[#This Row],[Standard cost]]</f>
        <v>0</v>
      </c>
      <c r="U297" s="15">
        <f>Table5[[#This Row],[Net Sales Revenue]]-Table5[[#This Row],[Cost of Sales]]</f>
        <v>7196.7999999999993</v>
      </c>
      <c r="V297" s="17">
        <f>Table5[[#This Row],[GrossProfit]]/Table5[[#This Row],[Net Sales Revenue]]</f>
        <v>0.56521739130434778</v>
      </c>
    </row>
    <row r="298" spans="1:22" ht="14.25" customHeight="1" x14ac:dyDescent="0.25">
      <c r="A298" s="1" t="s">
        <v>370</v>
      </c>
      <c r="B298" s="1" t="s">
        <v>344</v>
      </c>
      <c r="C298" s="1" t="s">
        <v>48</v>
      </c>
      <c r="D298" s="1" t="s">
        <v>33</v>
      </c>
      <c r="E298" s="1" t="s">
        <v>31</v>
      </c>
      <c r="F298" s="1">
        <v>2032</v>
      </c>
      <c r="G298" s="14">
        <v>22</v>
      </c>
      <c r="H298" s="1">
        <v>0.06</v>
      </c>
      <c r="I298" s="14">
        <v>42021.760000000002</v>
      </c>
      <c r="J298" s="14">
        <v>20320</v>
      </c>
      <c r="K298" s="15">
        <f>Table5[[#This Row],[Selling Price]]*Table5[[#This Row],[Units Sold]]</f>
        <v>44704</v>
      </c>
      <c r="L298" t="str">
        <f t="shared" si="4"/>
        <v>2023-07</v>
      </c>
      <c r="M298" t="str">
        <f>VLOOKUP(Table5[[#This Row],[Store ID]],Table4[[Store ID]:[Store Location]],2)</f>
        <v>London Stratford</v>
      </c>
      <c r="N298" t="str">
        <f>VLOOKUP(Table5[[#This Row],[Store ID]],Table4[[Store ID]:[Region]],3)</f>
        <v>South</v>
      </c>
      <c r="O298" t="str">
        <f>VLOOKUP(Table5[[#This Row],[Product ID]],'Product Master'!$A$2:$D$10,4)</f>
        <v>Supplier F</v>
      </c>
      <c r="P298" s="15">
        <f>Table5[[#This Row],[Total Revenue]]-Table5[[#This Row],[Net Sales Revenue]]</f>
        <v>2682.239999999998</v>
      </c>
      <c r="Q298" s="15">
        <f>Table5[[#This Row],[Net Sales Revenue]]/Table5[[#This Row],[Units Sold]]</f>
        <v>20.68</v>
      </c>
      <c r="R298">
        <f>VLOOKUP(Table5[[#This Row],[Product ID]],'Product Master'!$A$1:$E$10,5,FALSE)</f>
        <v>10</v>
      </c>
      <c r="S298" s="15">
        <f>Table5[[#This Row],[standard product cost per unit]]*Table5[[#This Row],[Units Sold]]</f>
        <v>20320</v>
      </c>
      <c r="T298" s="15">
        <f>Table5[[#This Row],[Cost of Sales]]-Table5[[#This Row],[Standard cost]]</f>
        <v>0</v>
      </c>
      <c r="U298" s="15">
        <f>Table5[[#This Row],[Net Sales Revenue]]-Table5[[#This Row],[Cost of Sales]]</f>
        <v>21701.760000000002</v>
      </c>
      <c r="V298" s="17">
        <f>Table5[[#This Row],[GrossProfit]]/Table5[[#This Row],[Net Sales Revenue]]</f>
        <v>0.51644100580270791</v>
      </c>
    </row>
    <row r="299" spans="1:22" ht="14.25" customHeight="1" x14ac:dyDescent="0.25">
      <c r="A299" s="1" t="s">
        <v>371</v>
      </c>
      <c r="B299" s="1" t="s">
        <v>344</v>
      </c>
      <c r="C299" s="1" t="s">
        <v>52</v>
      </c>
      <c r="D299" s="1" t="s">
        <v>6</v>
      </c>
      <c r="E299" s="1" t="s">
        <v>8</v>
      </c>
      <c r="F299" s="1">
        <v>2368</v>
      </c>
      <c r="G299" s="14">
        <v>24</v>
      </c>
      <c r="H299" s="1">
        <v>0.09</v>
      </c>
      <c r="I299" s="14">
        <v>51717.120000000003</v>
      </c>
      <c r="J299" s="14">
        <v>28416</v>
      </c>
      <c r="K299" s="15">
        <f>Table5[[#This Row],[Selling Price]]*Table5[[#This Row],[Units Sold]]</f>
        <v>56832</v>
      </c>
      <c r="L299" t="str">
        <f t="shared" si="4"/>
        <v>2023-07</v>
      </c>
      <c r="M299" t="str">
        <f>VLOOKUP(Table5[[#This Row],[Store ID]],Table4[[Store ID]:[Store Location]],2)</f>
        <v>Glasgow</v>
      </c>
      <c r="N299" t="str">
        <f>VLOOKUP(Table5[[#This Row],[Store ID]],Table4[[Store ID]:[Region]],3)</f>
        <v>Scotland</v>
      </c>
      <c r="O299" t="str">
        <f>VLOOKUP(Table5[[#This Row],[Product ID]],'Product Master'!$A$2:$D$10,4)</f>
        <v>Supplier A</v>
      </c>
      <c r="P299" s="15">
        <f>Table5[[#This Row],[Total Revenue]]-Table5[[#This Row],[Net Sales Revenue]]</f>
        <v>5114.8799999999974</v>
      </c>
      <c r="Q299" s="15">
        <f>Table5[[#This Row],[Net Sales Revenue]]/Table5[[#This Row],[Units Sold]]</f>
        <v>21.84</v>
      </c>
      <c r="R299">
        <f>VLOOKUP(Table5[[#This Row],[Product ID]],'Product Master'!$A$1:$E$10,5,FALSE)</f>
        <v>12</v>
      </c>
      <c r="S299" s="15">
        <f>Table5[[#This Row],[standard product cost per unit]]*Table5[[#This Row],[Units Sold]]</f>
        <v>28416</v>
      </c>
      <c r="T299" s="15">
        <f>Table5[[#This Row],[Cost of Sales]]-Table5[[#This Row],[Standard cost]]</f>
        <v>0</v>
      </c>
      <c r="U299" s="15">
        <f>Table5[[#This Row],[Net Sales Revenue]]-Table5[[#This Row],[Cost of Sales]]</f>
        <v>23301.120000000003</v>
      </c>
      <c r="V299" s="17">
        <f>Table5[[#This Row],[GrossProfit]]/Table5[[#This Row],[Net Sales Revenue]]</f>
        <v>0.45054945054945056</v>
      </c>
    </row>
    <row r="300" spans="1:22" ht="14.25" customHeight="1" x14ac:dyDescent="0.25">
      <c r="A300" s="1" t="s">
        <v>372</v>
      </c>
      <c r="B300" s="1" t="s">
        <v>344</v>
      </c>
      <c r="C300" s="1" t="s">
        <v>52</v>
      </c>
      <c r="D300" s="1" t="s">
        <v>10</v>
      </c>
      <c r="E300" s="1" t="s">
        <v>8</v>
      </c>
      <c r="F300" s="1">
        <v>1724</v>
      </c>
      <c r="G300" s="14">
        <v>50</v>
      </c>
      <c r="H300" s="1">
        <v>0.09</v>
      </c>
      <c r="I300" s="14">
        <v>78442</v>
      </c>
      <c r="J300" s="14">
        <v>48272</v>
      </c>
      <c r="K300" s="15">
        <f>Table5[[#This Row],[Selling Price]]*Table5[[#This Row],[Units Sold]]</f>
        <v>86200</v>
      </c>
      <c r="L300" t="str">
        <f t="shared" si="4"/>
        <v>2023-07</v>
      </c>
      <c r="M300" t="str">
        <f>VLOOKUP(Table5[[#This Row],[Store ID]],Table4[[Store ID]:[Store Location]],2)</f>
        <v>Glasgow</v>
      </c>
      <c r="N300" t="str">
        <f>VLOOKUP(Table5[[#This Row],[Store ID]],Table4[[Store ID]:[Region]],3)</f>
        <v>Scotland</v>
      </c>
      <c r="O300" t="str">
        <f>VLOOKUP(Table5[[#This Row],[Product ID]],'Product Master'!$A$2:$D$10,4)</f>
        <v>Supplier B</v>
      </c>
      <c r="P300" s="15">
        <f>Table5[[#This Row],[Total Revenue]]-Table5[[#This Row],[Net Sales Revenue]]</f>
        <v>7758</v>
      </c>
      <c r="Q300" s="15">
        <f>Table5[[#This Row],[Net Sales Revenue]]/Table5[[#This Row],[Units Sold]]</f>
        <v>45.5</v>
      </c>
      <c r="R300">
        <f>VLOOKUP(Table5[[#This Row],[Product ID]],'Product Master'!$A$1:$E$10,5,FALSE)</f>
        <v>28</v>
      </c>
      <c r="S300" s="15">
        <f>Table5[[#This Row],[standard product cost per unit]]*Table5[[#This Row],[Units Sold]]</f>
        <v>48272</v>
      </c>
      <c r="T300" s="15">
        <f>Table5[[#This Row],[Cost of Sales]]-Table5[[#This Row],[Standard cost]]</f>
        <v>0</v>
      </c>
      <c r="U300" s="15">
        <f>Table5[[#This Row],[Net Sales Revenue]]-Table5[[#This Row],[Cost of Sales]]</f>
        <v>30170</v>
      </c>
      <c r="V300" s="17">
        <f>Table5[[#This Row],[GrossProfit]]/Table5[[#This Row],[Net Sales Revenue]]</f>
        <v>0.38461538461538464</v>
      </c>
    </row>
    <row r="301" spans="1:22" ht="14.25" customHeight="1" x14ac:dyDescent="0.25">
      <c r="A301" s="1" t="s">
        <v>373</v>
      </c>
      <c r="B301" s="1" t="s">
        <v>344</v>
      </c>
      <c r="C301" s="1" t="s">
        <v>52</v>
      </c>
      <c r="D301" s="1" t="s">
        <v>13</v>
      </c>
      <c r="E301" s="1" t="s">
        <v>15</v>
      </c>
      <c r="F301" s="1">
        <v>1808</v>
      </c>
      <c r="G301" s="14">
        <v>28</v>
      </c>
      <c r="H301" s="1">
        <v>0.06</v>
      </c>
      <c r="I301" s="14">
        <v>47586.559999999998</v>
      </c>
      <c r="J301" s="14">
        <v>27120</v>
      </c>
      <c r="K301" s="15">
        <f>Table5[[#This Row],[Selling Price]]*Table5[[#This Row],[Units Sold]]</f>
        <v>50624</v>
      </c>
      <c r="L301" t="str">
        <f t="shared" si="4"/>
        <v>2023-07</v>
      </c>
      <c r="M301" t="str">
        <f>VLOOKUP(Table5[[#This Row],[Store ID]],Table4[[Store ID]:[Store Location]],2)</f>
        <v>Glasgow</v>
      </c>
      <c r="N301" t="str">
        <f>VLOOKUP(Table5[[#This Row],[Store ID]],Table4[[Store ID]:[Region]],3)</f>
        <v>Scotland</v>
      </c>
      <c r="O301" t="str">
        <f>VLOOKUP(Table5[[#This Row],[Product ID]],'Product Master'!$A$2:$D$10,4)</f>
        <v>Supplier C</v>
      </c>
      <c r="P301" s="15">
        <f>Table5[[#This Row],[Total Revenue]]-Table5[[#This Row],[Net Sales Revenue]]</f>
        <v>3037.4400000000023</v>
      </c>
      <c r="Q301" s="15">
        <f>Table5[[#This Row],[Net Sales Revenue]]/Table5[[#This Row],[Units Sold]]</f>
        <v>26.32</v>
      </c>
      <c r="R301">
        <f>VLOOKUP(Table5[[#This Row],[Product ID]],'Product Master'!$A$1:$E$10,5,FALSE)</f>
        <v>15</v>
      </c>
      <c r="S301" s="15">
        <f>Table5[[#This Row],[standard product cost per unit]]*Table5[[#This Row],[Units Sold]]</f>
        <v>27120</v>
      </c>
      <c r="T301" s="15">
        <f>Table5[[#This Row],[Cost of Sales]]-Table5[[#This Row],[Standard cost]]</f>
        <v>0</v>
      </c>
      <c r="U301" s="15">
        <f>Table5[[#This Row],[Net Sales Revenue]]-Table5[[#This Row],[Cost of Sales]]</f>
        <v>20466.559999999998</v>
      </c>
      <c r="V301" s="17">
        <f>Table5[[#This Row],[GrossProfit]]/Table5[[#This Row],[Net Sales Revenue]]</f>
        <v>0.43009118541033431</v>
      </c>
    </row>
    <row r="302" spans="1:22" ht="14.25" customHeight="1" x14ac:dyDescent="0.25">
      <c r="A302" s="1" t="s">
        <v>374</v>
      </c>
      <c r="B302" s="1" t="s">
        <v>344</v>
      </c>
      <c r="C302" s="1" t="s">
        <v>52</v>
      </c>
      <c r="D302" s="1" t="s">
        <v>17</v>
      </c>
      <c r="E302" s="1" t="s">
        <v>15</v>
      </c>
      <c r="F302" s="1">
        <v>1684</v>
      </c>
      <c r="G302" s="14">
        <v>35</v>
      </c>
      <c r="H302" s="1">
        <v>0.05</v>
      </c>
      <c r="I302" s="14">
        <v>55993</v>
      </c>
      <c r="J302" s="14">
        <v>30312</v>
      </c>
      <c r="K302" s="15">
        <f>Table5[[#This Row],[Selling Price]]*Table5[[#This Row],[Units Sold]]</f>
        <v>58940</v>
      </c>
      <c r="L302" t="str">
        <f t="shared" si="4"/>
        <v>2023-07</v>
      </c>
      <c r="M302" t="str">
        <f>VLOOKUP(Table5[[#This Row],[Store ID]],Table4[[Store ID]:[Store Location]],2)</f>
        <v>Glasgow</v>
      </c>
      <c r="N302" t="str">
        <f>VLOOKUP(Table5[[#This Row],[Store ID]],Table4[[Store ID]:[Region]],3)</f>
        <v>Scotland</v>
      </c>
      <c r="O302" t="str">
        <f>VLOOKUP(Table5[[#This Row],[Product ID]],'Product Master'!$A$2:$D$10,4)</f>
        <v>Supplier C</v>
      </c>
      <c r="P302" s="15">
        <f>Table5[[#This Row],[Total Revenue]]-Table5[[#This Row],[Net Sales Revenue]]</f>
        <v>2947</v>
      </c>
      <c r="Q302" s="15">
        <f>Table5[[#This Row],[Net Sales Revenue]]/Table5[[#This Row],[Units Sold]]</f>
        <v>33.25</v>
      </c>
      <c r="R302">
        <f>VLOOKUP(Table5[[#This Row],[Product ID]],'Product Master'!$A$1:$E$10,5,FALSE)</f>
        <v>18</v>
      </c>
      <c r="S302" s="15">
        <f>Table5[[#This Row],[standard product cost per unit]]*Table5[[#This Row],[Units Sold]]</f>
        <v>30312</v>
      </c>
      <c r="T302" s="15">
        <f>Table5[[#This Row],[Cost of Sales]]-Table5[[#This Row],[Standard cost]]</f>
        <v>0</v>
      </c>
      <c r="U302" s="15">
        <f>Table5[[#This Row],[Net Sales Revenue]]-Table5[[#This Row],[Cost of Sales]]</f>
        <v>25681</v>
      </c>
      <c r="V302" s="17">
        <f>Table5[[#This Row],[GrossProfit]]/Table5[[#This Row],[Net Sales Revenue]]</f>
        <v>0.45864661654135336</v>
      </c>
    </row>
    <row r="303" spans="1:22" ht="14.25" customHeight="1" x14ac:dyDescent="0.25">
      <c r="A303" s="1" t="s">
        <v>375</v>
      </c>
      <c r="B303" s="1" t="s">
        <v>344</v>
      </c>
      <c r="C303" s="1" t="s">
        <v>52</v>
      </c>
      <c r="D303" s="1" t="s">
        <v>19</v>
      </c>
      <c r="E303" s="1" t="s">
        <v>21</v>
      </c>
      <c r="F303" s="1">
        <v>1208</v>
      </c>
      <c r="G303" s="14">
        <v>18</v>
      </c>
      <c r="H303" s="1">
        <v>7.0000000000000007E-2</v>
      </c>
      <c r="I303" s="14">
        <v>20221.919999999998</v>
      </c>
      <c r="J303" s="14">
        <v>10872</v>
      </c>
      <c r="K303" s="15">
        <f>Table5[[#This Row],[Selling Price]]*Table5[[#This Row],[Units Sold]]</f>
        <v>21744</v>
      </c>
      <c r="L303" t="str">
        <f t="shared" si="4"/>
        <v>2023-07</v>
      </c>
      <c r="M303" t="str">
        <f>VLOOKUP(Table5[[#This Row],[Store ID]],Table4[[Store ID]:[Store Location]],2)</f>
        <v>Glasgow</v>
      </c>
      <c r="N303" t="str">
        <f>VLOOKUP(Table5[[#This Row],[Store ID]],Table4[[Store ID]:[Region]],3)</f>
        <v>Scotland</v>
      </c>
      <c r="O303" t="str">
        <f>VLOOKUP(Table5[[#This Row],[Product ID]],'Product Master'!$A$2:$D$10,4)</f>
        <v>Supplier D</v>
      </c>
      <c r="P303" s="15">
        <f>Table5[[#This Row],[Total Revenue]]-Table5[[#This Row],[Net Sales Revenue]]</f>
        <v>1522.0800000000017</v>
      </c>
      <c r="Q303" s="15">
        <f>Table5[[#This Row],[Net Sales Revenue]]/Table5[[#This Row],[Units Sold]]</f>
        <v>16.739999999999998</v>
      </c>
      <c r="R303">
        <f>VLOOKUP(Table5[[#This Row],[Product ID]],'Product Master'!$A$1:$E$10,5,FALSE)</f>
        <v>9</v>
      </c>
      <c r="S303" s="15">
        <f>Table5[[#This Row],[standard product cost per unit]]*Table5[[#This Row],[Units Sold]]</f>
        <v>10872</v>
      </c>
      <c r="T303" s="15">
        <f>Table5[[#This Row],[Cost of Sales]]-Table5[[#This Row],[Standard cost]]</f>
        <v>0</v>
      </c>
      <c r="U303" s="15">
        <f>Table5[[#This Row],[Net Sales Revenue]]-Table5[[#This Row],[Cost of Sales]]</f>
        <v>9349.9199999999983</v>
      </c>
      <c r="V303" s="17">
        <f>Table5[[#This Row],[GrossProfit]]/Table5[[#This Row],[Net Sales Revenue]]</f>
        <v>0.46236559139784944</v>
      </c>
    </row>
    <row r="304" spans="1:22" ht="14.25" customHeight="1" x14ac:dyDescent="0.25">
      <c r="A304" s="1" t="s">
        <v>376</v>
      </c>
      <c r="B304" s="1" t="s">
        <v>344</v>
      </c>
      <c r="C304" s="1" t="s">
        <v>52</v>
      </c>
      <c r="D304" s="1" t="s">
        <v>23</v>
      </c>
      <c r="E304" s="1" t="s">
        <v>21</v>
      </c>
      <c r="F304" s="1">
        <v>1604</v>
      </c>
      <c r="G304" s="14">
        <v>30</v>
      </c>
      <c r="H304" s="1">
        <v>0.09</v>
      </c>
      <c r="I304" s="14">
        <v>43789.2</v>
      </c>
      <c r="J304" s="14">
        <v>22456</v>
      </c>
      <c r="K304" s="15">
        <f>Table5[[#This Row],[Selling Price]]*Table5[[#This Row],[Units Sold]]</f>
        <v>48120</v>
      </c>
      <c r="L304" t="str">
        <f t="shared" si="4"/>
        <v>2023-07</v>
      </c>
      <c r="M304" t="str">
        <f>VLOOKUP(Table5[[#This Row],[Store ID]],Table4[[Store ID]:[Store Location]],2)</f>
        <v>Glasgow</v>
      </c>
      <c r="N304" t="str">
        <f>VLOOKUP(Table5[[#This Row],[Store ID]],Table4[[Store ID]:[Region]],3)</f>
        <v>Scotland</v>
      </c>
      <c r="O304" t="str">
        <f>VLOOKUP(Table5[[#This Row],[Product ID]],'Product Master'!$A$2:$D$10,4)</f>
        <v>Supplier D</v>
      </c>
      <c r="P304" s="15">
        <f>Table5[[#This Row],[Total Revenue]]-Table5[[#This Row],[Net Sales Revenue]]</f>
        <v>4330.8000000000029</v>
      </c>
      <c r="Q304" s="15">
        <f>Table5[[#This Row],[Net Sales Revenue]]/Table5[[#This Row],[Units Sold]]</f>
        <v>27.299999999999997</v>
      </c>
      <c r="R304">
        <f>VLOOKUP(Table5[[#This Row],[Product ID]],'Product Master'!$A$1:$E$10,5,FALSE)</f>
        <v>14</v>
      </c>
      <c r="S304" s="15">
        <f>Table5[[#This Row],[standard product cost per unit]]*Table5[[#This Row],[Units Sold]]</f>
        <v>22456</v>
      </c>
      <c r="T304" s="15">
        <f>Table5[[#This Row],[Cost of Sales]]-Table5[[#This Row],[Standard cost]]</f>
        <v>0</v>
      </c>
      <c r="U304" s="15">
        <f>Table5[[#This Row],[Net Sales Revenue]]-Table5[[#This Row],[Cost of Sales]]</f>
        <v>21333.199999999997</v>
      </c>
      <c r="V304" s="17">
        <f>Table5[[#This Row],[GrossProfit]]/Table5[[#This Row],[Net Sales Revenue]]</f>
        <v>0.48717948717948717</v>
      </c>
    </row>
    <row r="305" spans="1:22" ht="14.25" customHeight="1" x14ac:dyDescent="0.25">
      <c r="A305" s="1" t="s">
        <v>377</v>
      </c>
      <c r="B305" s="1" t="s">
        <v>344</v>
      </c>
      <c r="C305" s="1" t="s">
        <v>52</v>
      </c>
      <c r="D305" s="1" t="s">
        <v>25</v>
      </c>
      <c r="E305" s="1" t="s">
        <v>27</v>
      </c>
      <c r="F305" s="1">
        <v>1540</v>
      </c>
      <c r="G305" s="14">
        <v>40</v>
      </c>
      <c r="H305" s="1">
        <v>7.0000000000000007E-2</v>
      </c>
      <c r="I305" s="14">
        <v>57288</v>
      </c>
      <c r="J305" s="14">
        <v>30800</v>
      </c>
      <c r="K305" s="15">
        <f>Table5[[#This Row],[Selling Price]]*Table5[[#This Row],[Units Sold]]</f>
        <v>61600</v>
      </c>
      <c r="L305" t="str">
        <f t="shared" si="4"/>
        <v>2023-07</v>
      </c>
      <c r="M305" t="str">
        <f>VLOOKUP(Table5[[#This Row],[Store ID]],Table4[[Store ID]:[Store Location]],2)</f>
        <v>Glasgow</v>
      </c>
      <c r="N305" t="str">
        <f>VLOOKUP(Table5[[#This Row],[Store ID]],Table4[[Store ID]:[Region]],3)</f>
        <v>Scotland</v>
      </c>
      <c r="O305" t="str">
        <f>VLOOKUP(Table5[[#This Row],[Product ID]],'Product Master'!$A$2:$D$10,4)</f>
        <v>Supplier E</v>
      </c>
      <c r="P305" s="15">
        <f>Table5[[#This Row],[Total Revenue]]-Table5[[#This Row],[Net Sales Revenue]]</f>
        <v>4312</v>
      </c>
      <c r="Q305" s="15">
        <f>Table5[[#This Row],[Net Sales Revenue]]/Table5[[#This Row],[Units Sold]]</f>
        <v>37.200000000000003</v>
      </c>
      <c r="R305">
        <f>VLOOKUP(Table5[[#This Row],[Product ID]],'Product Master'!$A$1:$E$10,5,FALSE)</f>
        <v>20</v>
      </c>
      <c r="S305" s="15">
        <f>Table5[[#This Row],[standard product cost per unit]]*Table5[[#This Row],[Units Sold]]</f>
        <v>30800</v>
      </c>
      <c r="T305" s="15">
        <f>Table5[[#This Row],[Cost of Sales]]-Table5[[#This Row],[Standard cost]]</f>
        <v>0</v>
      </c>
      <c r="U305" s="15">
        <f>Table5[[#This Row],[Net Sales Revenue]]-Table5[[#This Row],[Cost of Sales]]</f>
        <v>26488</v>
      </c>
      <c r="V305" s="17">
        <f>Table5[[#This Row],[GrossProfit]]/Table5[[#This Row],[Net Sales Revenue]]</f>
        <v>0.46236559139784944</v>
      </c>
    </row>
    <row r="306" spans="1:22" ht="14.25" customHeight="1" x14ac:dyDescent="0.25">
      <c r="A306" s="1" t="s">
        <v>378</v>
      </c>
      <c r="B306" s="1" t="s">
        <v>344</v>
      </c>
      <c r="C306" s="1" t="s">
        <v>52</v>
      </c>
      <c r="D306" s="1" t="s">
        <v>29</v>
      </c>
      <c r="E306" s="1" t="s">
        <v>31</v>
      </c>
      <c r="F306" s="1">
        <v>1724</v>
      </c>
      <c r="G306" s="14">
        <v>10</v>
      </c>
      <c r="H306" s="1">
        <v>0.05</v>
      </c>
      <c r="I306" s="14">
        <v>16378</v>
      </c>
      <c r="J306" s="14">
        <v>6896</v>
      </c>
      <c r="K306" s="15">
        <f>Table5[[#This Row],[Selling Price]]*Table5[[#This Row],[Units Sold]]</f>
        <v>17240</v>
      </c>
      <c r="L306" t="str">
        <f t="shared" si="4"/>
        <v>2023-07</v>
      </c>
      <c r="M306" t="str">
        <f>VLOOKUP(Table5[[#This Row],[Store ID]],Table4[[Store ID]:[Store Location]],2)</f>
        <v>Glasgow</v>
      </c>
      <c r="N306" t="str">
        <f>VLOOKUP(Table5[[#This Row],[Store ID]],Table4[[Store ID]:[Region]],3)</f>
        <v>Scotland</v>
      </c>
      <c r="O306" t="str">
        <f>VLOOKUP(Table5[[#This Row],[Product ID]],'Product Master'!$A$2:$D$10,4)</f>
        <v>Supplier F</v>
      </c>
      <c r="P306" s="15">
        <f>Table5[[#This Row],[Total Revenue]]-Table5[[#This Row],[Net Sales Revenue]]</f>
        <v>862</v>
      </c>
      <c r="Q306" s="15">
        <f>Table5[[#This Row],[Net Sales Revenue]]/Table5[[#This Row],[Units Sold]]</f>
        <v>9.5</v>
      </c>
      <c r="R306">
        <f>VLOOKUP(Table5[[#This Row],[Product ID]],'Product Master'!$A$1:$E$10,5,FALSE)</f>
        <v>4</v>
      </c>
      <c r="S306" s="15">
        <f>Table5[[#This Row],[standard product cost per unit]]*Table5[[#This Row],[Units Sold]]</f>
        <v>6896</v>
      </c>
      <c r="T306" s="15">
        <f>Table5[[#This Row],[Cost of Sales]]-Table5[[#This Row],[Standard cost]]</f>
        <v>0</v>
      </c>
      <c r="U306" s="15">
        <f>Table5[[#This Row],[Net Sales Revenue]]-Table5[[#This Row],[Cost of Sales]]</f>
        <v>9482</v>
      </c>
      <c r="V306" s="17">
        <f>Table5[[#This Row],[GrossProfit]]/Table5[[#This Row],[Net Sales Revenue]]</f>
        <v>0.57894736842105265</v>
      </c>
    </row>
    <row r="307" spans="1:22" ht="14.25" customHeight="1" x14ac:dyDescent="0.25">
      <c r="A307" s="1" t="s">
        <v>379</v>
      </c>
      <c r="B307" s="1" t="s">
        <v>344</v>
      </c>
      <c r="C307" s="1" t="s">
        <v>52</v>
      </c>
      <c r="D307" s="1" t="s">
        <v>33</v>
      </c>
      <c r="E307" s="1" t="s">
        <v>31</v>
      </c>
      <c r="F307" s="1">
        <v>2116</v>
      </c>
      <c r="G307" s="14">
        <v>22</v>
      </c>
      <c r="H307" s="1">
        <v>0.08</v>
      </c>
      <c r="I307" s="14">
        <v>42827.839999999997</v>
      </c>
      <c r="J307" s="14">
        <v>21160</v>
      </c>
      <c r="K307" s="15">
        <f>Table5[[#This Row],[Selling Price]]*Table5[[#This Row],[Units Sold]]</f>
        <v>46552</v>
      </c>
      <c r="L307" t="str">
        <f t="shared" si="4"/>
        <v>2023-07</v>
      </c>
      <c r="M307" t="str">
        <f>VLOOKUP(Table5[[#This Row],[Store ID]],Table4[[Store ID]:[Store Location]],2)</f>
        <v>Glasgow</v>
      </c>
      <c r="N307" t="str">
        <f>VLOOKUP(Table5[[#This Row],[Store ID]],Table4[[Store ID]:[Region]],3)</f>
        <v>Scotland</v>
      </c>
      <c r="O307" t="str">
        <f>VLOOKUP(Table5[[#This Row],[Product ID]],'Product Master'!$A$2:$D$10,4)</f>
        <v>Supplier F</v>
      </c>
      <c r="P307" s="15">
        <f>Table5[[#This Row],[Total Revenue]]-Table5[[#This Row],[Net Sales Revenue]]</f>
        <v>3724.1600000000035</v>
      </c>
      <c r="Q307" s="15">
        <f>Table5[[#This Row],[Net Sales Revenue]]/Table5[[#This Row],[Units Sold]]</f>
        <v>20.239999999999998</v>
      </c>
      <c r="R307">
        <f>VLOOKUP(Table5[[#This Row],[Product ID]],'Product Master'!$A$1:$E$10,5,FALSE)</f>
        <v>10</v>
      </c>
      <c r="S307" s="15">
        <f>Table5[[#This Row],[standard product cost per unit]]*Table5[[#This Row],[Units Sold]]</f>
        <v>21160</v>
      </c>
      <c r="T307" s="15">
        <f>Table5[[#This Row],[Cost of Sales]]-Table5[[#This Row],[Standard cost]]</f>
        <v>0</v>
      </c>
      <c r="U307" s="15">
        <f>Table5[[#This Row],[Net Sales Revenue]]-Table5[[#This Row],[Cost of Sales]]</f>
        <v>21667.839999999997</v>
      </c>
      <c r="V307" s="17">
        <f>Table5[[#This Row],[GrossProfit]]/Table5[[#This Row],[Net Sales Revenue]]</f>
        <v>0.50592885375494068</v>
      </c>
    </row>
    <row r="308" spans="1:22" ht="14.25" customHeight="1" x14ac:dyDescent="0.25">
      <c r="A308" s="1" t="s">
        <v>380</v>
      </c>
      <c r="B308" s="1" t="s">
        <v>344</v>
      </c>
      <c r="C308" s="1" t="s">
        <v>56</v>
      </c>
      <c r="D308" s="1" t="s">
        <v>6</v>
      </c>
      <c r="E308" s="1" t="s">
        <v>8</v>
      </c>
      <c r="F308" s="1">
        <v>2452</v>
      </c>
      <c r="G308" s="14">
        <v>24</v>
      </c>
      <c r="H308" s="1">
        <v>0.08</v>
      </c>
      <c r="I308" s="14">
        <v>54140.160000000003</v>
      </c>
      <c r="J308" s="14">
        <v>29424</v>
      </c>
      <c r="K308" s="15">
        <f>Table5[[#This Row],[Selling Price]]*Table5[[#This Row],[Units Sold]]</f>
        <v>58848</v>
      </c>
      <c r="L308" t="str">
        <f t="shared" si="4"/>
        <v>2023-07</v>
      </c>
      <c r="M308" t="str">
        <f>VLOOKUP(Table5[[#This Row],[Store ID]],Table4[[Store ID]:[Store Location]],2)</f>
        <v>Leeds</v>
      </c>
      <c r="N308" t="str">
        <f>VLOOKUP(Table5[[#This Row],[Store ID]],Table4[[Store ID]:[Region]],3)</f>
        <v>North</v>
      </c>
      <c r="O308" t="str">
        <f>VLOOKUP(Table5[[#This Row],[Product ID]],'Product Master'!$A$2:$D$10,4)</f>
        <v>Supplier A</v>
      </c>
      <c r="P308" s="15">
        <f>Table5[[#This Row],[Total Revenue]]-Table5[[#This Row],[Net Sales Revenue]]</f>
        <v>4707.8399999999965</v>
      </c>
      <c r="Q308" s="15">
        <f>Table5[[#This Row],[Net Sales Revenue]]/Table5[[#This Row],[Units Sold]]</f>
        <v>22.080000000000002</v>
      </c>
      <c r="R308">
        <f>VLOOKUP(Table5[[#This Row],[Product ID]],'Product Master'!$A$1:$E$10,5,FALSE)</f>
        <v>12</v>
      </c>
      <c r="S308" s="15">
        <f>Table5[[#This Row],[standard product cost per unit]]*Table5[[#This Row],[Units Sold]]</f>
        <v>29424</v>
      </c>
      <c r="T308" s="15">
        <f>Table5[[#This Row],[Cost of Sales]]-Table5[[#This Row],[Standard cost]]</f>
        <v>0</v>
      </c>
      <c r="U308" s="15">
        <f>Table5[[#This Row],[Net Sales Revenue]]-Table5[[#This Row],[Cost of Sales]]</f>
        <v>24716.160000000003</v>
      </c>
      <c r="V308" s="17">
        <f>Table5[[#This Row],[GrossProfit]]/Table5[[#This Row],[Net Sales Revenue]]</f>
        <v>0.45652173913043481</v>
      </c>
    </row>
    <row r="309" spans="1:22" ht="14.25" customHeight="1" x14ac:dyDescent="0.25">
      <c r="A309" s="1" t="s">
        <v>381</v>
      </c>
      <c r="B309" s="1" t="s">
        <v>344</v>
      </c>
      <c r="C309" s="1" t="s">
        <v>56</v>
      </c>
      <c r="D309" s="1" t="s">
        <v>10</v>
      </c>
      <c r="E309" s="1" t="s">
        <v>8</v>
      </c>
      <c r="F309" s="1">
        <v>1388</v>
      </c>
      <c r="G309" s="14">
        <v>50</v>
      </c>
      <c r="H309" s="1">
        <v>0.08</v>
      </c>
      <c r="I309" s="14">
        <v>63848</v>
      </c>
      <c r="J309" s="14">
        <v>38864</v>
      </c>
      <c r="K309" s="15">
        <f>Table5[[#This Row],[Selling Price]]*Table5[[#This Row],[Units Sold]]</f>
        <v>69400</v>
      </c>
      <c r="L309" t="str">
        <f t="shared" si="4"/>
        <v>2023-07</v>
      </c>
      <c r="M309" t="str">
        <f>VLOOKUP(Table5[[#This Row],[Store ID]],Table4[[Store ID]:[Store Location]],2)</f>
        <v>Leeds</v>
      </c>
      <c r="N309" t="str">
        <f>VLOOKUP(Table5[[#This Row],[Store ID]],Table4[[Store ID]:[Region]],3)</f>
        <v>North</v>
      </c>
      <c r="O309" t="str">
        <f>VLOOKUP(Table5[[#This Row],[Product ID]],'Product Master'!$A$2:$D$10,4)</f>
        <v>Supplier B</v>
      </c>
      <c r="P309" s="15">
        <f>Table5[[#This Row],[Total Revenue]]-Table5[[#This Row],[Net Sales Revenue]]</f>
        <v>5552</v>
      </c>
      <c r="Q309" s="15">
        <f>Table5[[#This Row],[Net Sales Revenue]]/Table5[[#This Row],[Units Sold]]</f>
        <v>46</v>
      </c>
      <c r="R309">
        <f>VLOOKUP(Table5[[#This Row],[Product ID]],'Product Master'!$A$1:$E$10,5,FALSE)</f>
        <v>28</v>
      </c>
      <c r="S309" s="15">
        <f>Table5[[#This Row],[standard product cost per unit]]*Table5[[#This Row],[Units Sold]]</f>
        <v>38864</v>
      </c>
      <c r="T309" s="15">
        <f>Table5[[#This Row],[Cost of Sales]]-Table5[[#This Row],[Standard cost]]</f>
        <v>0</v>
      </c>
      <c r="U309" s="15">
        <f>Table5[[#This Row],[Net Sales Revenue]]-Table5[[#This Row],[Cost of Sales]]</f>
        <v>24984</v>
      </c>
      <c r="V309" s="17">
        <f>Table5[[#This Row],[GrossProfit]]/Table5[[#This Row],[Net Sales Revenue]]</f>
        <v>0.39130434782608697</v>
      </c>
    </row>
    <row r="310" spans="1:22" ht="14.25" customHeight="1" x14ac:dyDescent="0.25">
      <c r="A310" s="1" t="s">
        <v>382</v>
      </c>
      <c r="B310" s="1" t="s">
        <v>344</v>
      </c>
      <c r="C310" s="1" t="s">
        <v>56</v>
      </c>
      <c r="D310" s="1" t="s">
        <v>13</v>
      </c>
      <c r="E310" s="1" t="s">
        <v>15</v>
      </c>
      <c r="F310" s="1">
        <v>2596</v>
      </c>
      <c r="G310" s="14">
        <v>28</v>
      </c>
      <c r="H310" s="1">
        <v>0.05</v>
      </c>
      <c r="I310" s="14">
        <v>69053.600000000006</v>
      </c>
      <c r="J310" s="14">
        <v>38940</v>
      </c>
      <c r="K310" s="15">
        <f>Table5[[#This Row],[Selling Price]]*Table5[[#This Row],[Units Sold]]</f>
        <v>72688</v>
      </c>
      <c r="L310" t="str">
        <f t="shared" si="4"/>
        <v>2023-07</v>
      </c>
      <c r="M310" t="str">
        <f>VLOOKUP(Table5[[#This Row],[Store ID]],Table4[[Store ID]:[Store Location]],2)</f>
        <v>Leeds</v>
      </c>
      <c r="N310" t="str">
        <f>VLOOKUP(Table5[[#This Row],[Store ID]],Table4[[Store ID]:[Region]],3)</f>
        <v>North</v>
      </c>
      <c r="O310" t="str">
        <f>VLOOKUP(Table5[[#This Row],[Product ID]],'Product Master'!$A$2:$D$10,4)</f>
        <v>Supplier C</v>
      </c>
      <c r="P310" s="15">
        <f>Table5[[#This Row],[Total Revenue]]-Table5[[#This Row],[Net Sales Revenue]]</f>
        <v>3634.3999999999942</v>
      </c>
      <c r="Q310" s="15">
        <f>Table5[[#This Row],[Net Sales Revenue]]/Table5[[#This Row],[Units Sold]]</f>
        <v>26.6</v>
      </c>
      <c r="R310">
        <f>VLOOKUP(Table5[[#This Row],[Product ID]],'Product Master'!$A$1:$E$10,5,FALSE)</f>
        <v>15</v>
      </c>
      <c r="S310" s="15">
        <f>Table5[[#This Row],[standard product cost per unit]]*Table5[[#This Row],[Units Sold]]</f>
        <v>38940</v>
      </c>
      <c r="T310" s="15">
        <f>Table5[[#This Row],[Cost of Sales]]-Table5[[#This Row],[Standard cost]]</f>
        <v>0</v>
      </c>
      <c r="U310" s="15">
        <f>Table5[[#This Row],[Net Sales Revenue]]-Table5[[#This Row],[Cost of Sales]]</f>
        <v>30113.600000000006</v>
      </c>
      <c r="V310" s="17">
        <f>Table5[[#This Row],[GrossProfit]]/Table5[[#This Row],[Net Sales Revenue]]</f>
        <v>0.43609022556390981</v>
      </c>
    </row>
    <row r="311" spans="1:22" ht="14.25" customHeight="1" x14ac:dyDescent="0.25">
      <c r="A311" s="1" t="s">
        <v>383</v>
      </c>
      <c r="B311" s="1" t="s">
        <v>344</v>
      </c>
      <c r="C311" s="1" t="s">
        <v>56</v>
      </c>
      <c r="D311" s="1" t="s">
        <v>17</v>
      </c>
      <c r="E311" s="1" t="s">
        <v>15</v>
      </c>
      <c r="F311" s="1">
        <v>1368</v>
      </c>
      <c r="G311" s="14">
        <v>35</v>
      </c>
      <c r="H311" s="1">
        <v>0.06</v>
      </c>
      <c r="I311" s="14">
        <v>45007.199999999997</v>
      </c>
      <c r="J311" s="14">
        <v>24624</v>
      </c>
      <c r="K311" s="15">
        <f>Table5[[#This Row],[Selling Price]]*Table5[[#This Row],[Units Sold]]</f>
        <v>47880</v>
      </c>
      <c r="L311" t="str">
        <f t="shared" si="4"/>
        <v>2023-07</v>
      </c>
      <c r="M311" t="str">
        <f>VLOOKUP(Table5[[#This Row],[Store ID]],Table4[[Store ID]:[Store Location]],2)</f>
        <v>Leeds</v>
      </c>
      <c r="N311" t="str">
        <f>VLOOKUP(Table5[[#This Row],[Store ID]],Table4[[Store ID]:[Region]],3)</f>
        <v>North</v>
      </c>
      <c r="O311" t="str">
        <f>VLOOKUP(Table5[[#This Row],[Product ID]],'Product Master'!$A$2:$D$10,4)</f>
        <v>Supplier C</v>
      </c>
      <c r="P311" s="15">
        <f>Table5[[#This Row],[Total Revenue]]-Table5[[#This Row],[Net Sales Revenue]]</f>
        <v>2872.8000000000029</v>
      </c>
      <c r="Q311" s="15">
        <f>Table5[[#This Row],[Net Sales Revenue]]/Table5[[#This Row],[Units Sold]]</f>
        <v>32.9</v>
      </c>
      <c r="R311">
        <f>VLOOKUP(Table5[[#This Row],[Product ID]],'Product Master'!$A$1:$E$10,5,FALSE)</f>
        <v>18</v>
      </c>
      <c r="S311" s="15">
        <f>Table5[[#This Row],[standard product cost per unit]]*Table5[[#This Row],[Units Sold]]</f>
        <v>24624</v>
      </c>
      <c r="T311" s="15">
        <f>Table5[[#This Row],[Cost of Sales]]-Table5[[#This Row],[Standard cost]]</f>
        <v>0</v>
      </c>
      <c r="U311" s="15">
        <f>Table5[[#This Row],[Net Sales Revenue]]-Table5[[#This Row],[Cost of Sales]]</f>
        <v>20383.199999999997</v>
      </c>
      <c r="V311" s="17">
        <f>Table5[[#This Row],[GrossProfit]]/Table5[[#This Row],[Net Sales Revenue]]</f>
        <v>0.45288753799392095</v>
      </c>
    </row>
    <row r="312" spans="1:22" ht="14.25" customHeight="1" x14ac:dyDescent="0.25">
      <c r="A312" s="1" t="s">
        <v>384</v>
      </c>
      <c r="B312" s="1" t="s">
        <v>344</v>
      </c>
      <c r="C312" s="1" t="s">
        <v>56</v>
      </c>
      <c r="D312" s="1" t="s">
        <v>19</v>
      </c>
      <c r="E312" s="1" t="s">
        <v>21</v>
      </c>
      <c r="F312" s="1">
        <v>1884</v>
      </c>
      <c r="G312" s="14">
        <v>18</v>
      </c>
      <c r="H312" s="1">
        <v>0.05</v>
      </c>
      <c r="I312" s="14">
        <v>32216.400000000001</v>
      </c>
      <c r="J312" s="14">
        <v>16956</v>
      </c>
      <c r="K312" s="15">
        <f>Table5[[#This Row],[Selling Price]]*Table5[[#This Row],[Units Sold]]</f>
        <v>33912</v>
      </c>
      <c r="L312" t="str">
        <f t="shared" si="4"/>
        <v>2023-07</v>
      </c>
      <c r="M312" t="str">
        <f>VLOOKUP(Table5[[#This Row],[Store ID]],Table4[[Store ID]:[Store Location]],2)</f>
        <v>Leeds</v>
      </c>
      <c r="N312" t="str">
        <f>VLOOKUP(Table5[[#This Row],[Store ID]],Table4[[Store ID]:[Region]],3)</f>
        <v>North</v>
      </c>
      <c r="O312" t="str">
        <f>VLOOKUP(Table5[[#This Row],[Product ID]],'Product Master'!$A$2:$D$10,4)</f>
        <v>Supplier D</v>
      </c>
      <c r="P312" s="15">
        <f>Table5[[#This Row],[Total Revenue]]-Table5[[#This Row],[Net Sales Revenue]]</f>
        <v>1695.5999999999985</v>
      </c>
      <c r="Q312" s="15">
        <f>Table5[[#This Row],[Net Sales Revenue]]/Table5[[#This Row],[Units Sold]]</f>
        <v>17.100000000000001</v>
      </c>
      <c r="R312">
        <f>VLOOKUP(Table5[[#This Row],[Product ID]],'Product Master'!$A$1:$E$10,5,FALSE)</f>
        <v>9</v>
      </c>
      <c r="S312" s="15">
        <f>Table5[[#This Row],[standard product cost per unit]]*Table5[[#This Row],[Units Sold]]</f>
        <v>16956</v>
      </c>
      <c r="T312" s="15">
        <f>Table5[[#This Row],[Cost of Sales]]-Table5[[#This Row],[Standard cost]]</f>
        <v>0</v>
      </c>
      <c r="U312" s="15">
        <f>Table5[[#This Row],[Net Sales Revenue]]-Table5[[#This Row],[Cost of Sales]]</f>
        <v>15260.400000000001</v>
      </c>
      <c r="V312" s="17">
        <f>Table5[[#This Row],[GrossProfit]]/Table5[[#This Row],[Net Sales Revenue]]</f>
        <v>0.47368421052631582</v>
      </c>
    </row>
    <row r="313" spans="1:22" ht="14.25" customHeight="1" x14ac:dyDescent="0.25">
      <c r="A313" s="1" t="s">
        <v>385</v>
      </c>
      <c r="B313" s="1" t="s">
        <v>344</v>
      </c>
      <c r="C313" s="1" t="s">
        <v>56</v>
      </c>
      <c r="D313" s="1" t="s">
        <v>23</v>
      </c>
      <c r="E313" s="1" t="s">
        <v>21</v>
      </c>
      <c r="F313" s="1">
        <v>2532</v>
      </c>
      <c r="G313" s="14">
        <v>30</v>
      </c>
      <c r="H313" s="1">
        <v>0.06</v>
      </c>
      <c r="I313" s="14">
        <v>71402.399999999994</v>
      </c>
      <c r="J313" s="14">
        <v>35448</v>
      </c>
      <c r="K313" s="15">
        <f>Table5[[#This Row],[Selling Price]]*Table5[[#This Row],[Units Sold]]</f>
        <v>75960</v>
      </c>
      <c r="L313" t="str">
        <f t="shared" si="4"/>
        <v>2023-07</v>
      </c>
      <c r="M313" t="str">
        <f>VLOOKUP(Table5[[#This Row],[Store ID]],Table4[[Store ID]:[Store Location]],2)</f>
        <v>Leeds</v>
      </c>
      <c r="N313" t="str">
        <f>VLOOKUP(Table5[[#This Row],[Store ID]],Table4[[Store ID]:[Region]],3)</f>
        <v>North</v>
      </c>
      <c r="O313" t="str">
        <f>VLOOKUP(Table5[[#This Row],[Product ID]],'Product Master'!$A$2:$D$10,4)</f>
        <v>Supplier D</v>
      </c>
      <c r="P313" s="15">
        <f>Table5[[#This Row],[Total Revenue]]-Table5[[#This Row],[Net Sales Revenue]]</f>
        <v>4557.6000000000058</v>
      </c>
      <c r="Q313" s="15">
        <f>Table5[[#This Row],[Net Sales Revenue]]/Table5[[#This Row],[Units Sold]]</f>
        <v>28.2</v>
      </c>
      <c r="R313">
        <f>VLOOKUP(Table5[[#This Row],[Product ID]],'Product Master'!$A$1:$E$10,5,FALSE)</f>
        <v>14</v>
      </c>
      <c r="S313" s="15">
        <f>Table5[[#This Row],[standard product cost per unit]]*Table5[[#This Row],[Units Sold]]</f>
        <v>35448</v>
      </c>
      <c r="T313" s="15">
        <f>Table5[[#This Row],[Cost of Sales]]-Table5[[#This Row],[Standard cost]]</f>
        <v>0</v>
      </c>
      <c r="U313" s="15">
        <f>Table5[[#This Row],[Net Sales Revenue]]-Table5[[#This Row],[Cost of Sales]]</f>
        <v>35954.399999999994</v>
      </c>
      <c r="V313" s="17">
        <f>Table5[[#This Row],[GrossProfit]]/Table5[[#This Row],[Net Sales Revenue]]</f>
        <v>0.50354609929078009</v>
      </c>
    </row>
    <row r="314" spans="1:22" ht="14.25" customHeight="1" x14ac:dyDescent="0.25">
      <c r="A314" s="1" t="s">
        <v>386</v>
      </c>
      <c r="B314" s="1" t="s">
        <v>344</v>
      </c>
      <c r="C314" s="1" t="s">
        <v>56</v>
      </c>
      <c r="D314" s="1" t="s">
        <v>25</v>
      </c>
      <c r="E314" s="1" t="s">
        <v>27</v>
      </c>
      <c r="F314" s="1">
        <v>1352</v>
      </c>
      <c r="G314" s="14">
        <v>40</v>
      </c>
      <c r="H314" s="1">
        <v>0.09</v>
      </c>
      <c r="I314" s="14">
        <v>49212.800000000003</v>
      </c>
      <c r="J314" s="14">
        <v>27040</v>
      </c>
      <c r="K314" s="15">
        <f>Table5[[#This Row],[Selling Price]]*Table5[[#This Row],[Units Sold]]</f>
        <v>54080</v>
      </c>
      <c r="L314" t="str">
        <f t="shared" si="4"/>
        <v>2023-07</v>
      </c>
      <c r="M314" t="str">
        <f>VLOOKUP(Table5[[#This Row],[Store ID]],Table4[[Store ID]:[Store Location]],2)</f>
        <v>Leeds</v>
      </c>
      <c r="N314" t="str">
        <f>VLOOKUP(Table5[[#This Row],[Store ID]],Table4[[Store ID]:[Region]],3)</f>
        <v>North</v>
      </c>
      <c r="O314" t="str">
        <f>VLOOKUP(Table5[[#This Row],[Product ID]],'Product Master'!$A$2:$D$10,4)</f>
        <v>Supplier E</v>
      </c>
      <c r="P314" s="15">
        <f>Table5[[#This Row],[Total Revenue]]-Table5[[#This Row],[Net Sales Revenue]]</f>
        <v>4867.1999999999971</v>
      </c>
      <c r="Q314" s="15">
        <f>Table5[[#This Row],[Net Sales Revenue]]/Table5[[#This Row],[Units Sold]]</f>
        <v>36.400000000000006</v>
      </c>
      <c r="R314">
        <f>VLOOKUP(Table5[[#This Row],[Product ID]],'Product Master'!$A$1:$E$10,5,FALSE)</f>
        <v>20</v>
      </c>
      <c r="S314" s="15">
        <f>Table5[[#This Row],[standard product cost per unit]]*Table5[[#This Row],[Units Sold]]</f>
        <v>27040</v>
      </c>
      <c r="T314" s="15">
        <f>Table5[[#This Row],[Cost of Sales]]-Table5[[#This Row],[Standard cost]]</f>
        <v>0</v>
      </c>
      <c r="U314" s="15">
        <f>Table5[[#This Row],[Net Sales Revenue]]-Table5[[#This Row],[Cost of Sales]]</f>
        <v>22172.800000000003</v>
      </c>
      <c r="V314" s="17">
        <f>Table5[[#This Row],[GrossProfit]]/Table5[[#This Row],[Net Sales Revenue]]</f>
        <v>0.45054945054945056</v>
      </c>
    </row>
    <row r="315" spans="1:22" ht="14.25" customHeight="1" x14ac:dyDescent="0.25">
      <c r="A315" s="1" t="s">
        <v>387</v>
      </c>
      <c r="B315" s="1" t="s">
        <v>344</v>
      </c>
      <c r="C315" s="1" t="s">
        <v>56</v>
      </c>
      <c r="D315" s="1" t="s">
        <v>29</v>
      </c>
      <c r="E315" s="1" t="s">
        <v>31</v>
      </c>
      <c r="F315" s="1">
        <v>2032</v>
      </c>
      <c r="G315" s="14">
        <v>10</v>
      </c>
      <c r="H315" s="1">
        <v>7.0000000000000007E-2</v>
      </c>
      <c r="I315" s="14">
        <v>18897.599999999999</v>
      </c>
      <c r="J315" s="14">
        <v>8128</v>
      </c>
      <c r="K315" s="15">
        <f>Table5[[#This Row],[Selling Price]]*Table5[[#This Row],[Units Sold]]</f>
        <v>20320</v>
      </c>
      <c r="L315" t="str">
        <f t="shared" si="4"/>
        <v>2023-07</v>
      </c>
      <c r="M315" t="str">
        <f>VLOOKUP(Table5[[#This Row],[Store ID]],Table4[[Store ID]:[Store Location]],2)</f>
        <v>Leeds</v>
      </c>
      <c r="N315" t="str">
        <f>VLOOKUP(Table5[[#This Row],[Store ID]],Table4[[Store ID]:[Region]],3)</f>
        <v>North</v>
      </c>
      <c r="O315" t="str">
        <f>VLOOKUP(Table5[[#This Row],[Product ID]],'Product Master'!$A$2:$D$10,4)</f>
        <v>Supplier F</v>
      </c>
      <c r="P315" s="15">
        <f>Table5[[#This Row],[Total Revenue]]-Table5[[#This Row],[Net Sales Revenue]]</f>
        <v>1422.4000000000015</v>
      </c>
      <c r="Q315" s="15">
        <f>Table5[[#This Row],[Net Sales Revenue]]/Table5[[#This Row],[Units Sold]]</f>
        <v>9.2999999999999989</v>
      </c>
      <c r="R315">
        <f>VLOOKUP(Table5[[#This Row],[Product ID]],'Product Master'!$A$1:$E$10,5,FALSE)</f>
        <v>4</v>
      </c>
      <c r="S315" s="15">
        <f>Table5[[#This Row],[standard product cost per unit]]*Table5[[#This Row],[Units Sold]]</f>
        <v>8128</v>
      </c>
      <c r="T315" s="15">
        <f>Table5[[#This Row],[Cost of Sales]]-Table5[[#This Row],[Standard cost]]</f>
        <v>0</v>
      </c>
      <c r="U315" s="15">
        <f>Table5[[#This Row],[Net Sales Revenue]]-Table5[[#This Row],[Cost of Sales]]</f>
        <v>10769.599999999999</v>
      </c>
      <c r="V315" s="17">
        <f>Table5[[#This Row],[GrossProfit]]/Table5[[#This Row],[Net Sales Revenue]]</f>
        <v>0.56989247311827951</v>
      </c>
    </row>
    <row r="316" spans="1:22" ht="14.25" customHeight="1" x14ac:dyDescent="0.25">
      <c r="A316" s="1" t="s">
        <v>388</v>
      </c>
      <c r="B316" s="1" t="s">
        <v>344</v>
      </c>
      <c r="C316" s="1" t="s">
        <v>56</v>
      </c>
      <c r="D316" s="1" t="s">
        <v>33</v>
      </c>
      <c r="E316" s="1" t="s">
        <v>31</v>
      </c>
      <c r="F316" s="1">
        <v>1888</v>
      </c>
      <c r="G316" s="14">
        <v>22</v>
      </c>
      <c r="H316" s="1">
        <v>0.09</v>
      </c>
      <c r="I316" s="14">
        <v>37797.760000000002</v>
      </c>
      <c r="J316" s="14">
        <v>18880</v>
      </c>
      <c r="K316" s="15">
        <f>Table5[[#This Row],[Selling Price]]*Table5[[#This Row],[Units Sold]]</f>
        <v>41536</v>
      </c>
      <c r="L316" t="str">
        <f t="shared" si="4"/>
        <v>2023-07</v>
      </c>
      <c r="M316" t="str">
        <f>VLOOKUP(Table5[[#This Row],[Store ID]],Table4[[Store ID]:[Store Location]],2)</f>
        <v>Leeds</v>
      </c>
      <c r="N316" t="str">
        <f>VLOOKUP(Table5[[#This Row],[Store ID]],Table4[[Store ID]:[Region]],3)</f>
        <v>North</v>
      </c>
      <c r="O316" t="str">
        <f>VLOOKUP(Table5[[#This Row],[Product ID]],'Product Master'!$A$2:$D$10,4)</f>
        <v>Supplier F</v>
      </c>
      <c r="P316" s="15">
        <f>Table5[[#This Row],[Total Revenue]]-Table5[[#This Row],[Net Sales Revenue]]</f>
        <v>3738.239999999998</v>
      </c>
      <c r="Q316" s="15">
        <f>Table5[[#This Row],[Net Sales Revenue]]/Table5[[#This Row],[Units Sold]]</f>
        <v>20.02</v>
      </c>
      <c r="R316">
        <f>VLOOKUP(Table5[[#This Row],[Product ID]],'Product Master'!$A$1:$E$10,5,FALSE)</f>
        <v>10</v>
      </c>
      <c r="S316" s="15">
        <f>Table5[[#This Row],[standard product cost per unit]]*Table5[[#This Row],[Units Sold]]</f>
        <v>18880</v>
      </c>
      <c r="T316" s="15">
        <f>Table5[[#This Row],[Cost of Sales]]-Table5[[#This Row],[Standard cost]]</f>
        <v>0</v>
      </c>
      <c r="U316" s="15">
        <f>Table5[[#This Row],[Net Sales Revenue]]-Table5[[#This Row],[Cost of Sales]]</f>
        <v>18917.760000000002</v>
      </c>
      <c r="V316" s="17">
        <f>Table5[[#This Row],[GrossProfit]]/Table5[[#This Row],[Net Sales Revenue]]</f>
        <v>0.50049950049950054</v>
      </c>
    </row>
    <row r="317" spans="1:22" ht="14.25" customHeight="1" x14ac:dyDescent="0.25">
      <c r="A317" s="1" t="s">
        <v>389</v>
      </c>
      <c r="B317" s="1" t="s">
        <v>390</v>
      </c>
      <c r="C317" s="1" t="s">
        <v>40</v>
      </c>
      <c r="D317" s="1" t="s">
        <v>6</v>
      </c>
      <c r="E317" s="1" t="s">
        <v>8</v>
      </c>
      <c r="F317" s="1">
        <v>1916</v>
      </c>
      <c r="G317" s="14">
        <v>24</v>
      </c>
      <c r="H317" s="1">
        <v>0.09</v>
      </c>
      <c r="I317" s="14">
        <v>41845.440000000002</v>
      </c>
      <c r="J317" s="14">
        <v>22992</v>
      </c>
      <c r="K317" s="15">
        <f>Table5[[#This Row],[Selling Price]]*Table5[[#This Row],[Units Sold]]</f>
        <v>45984</v>
      </c>
      <c r="L317" t="str">
        <f t="shared" si="4"/>
        <v>2023-08</v>
      </c>
      <c r="M317" t="str">
        <f>VLOOKUP(Table5[[#This Row],[Store ID]],Table4[[Store ID]:[Store Location]],2)</f>
        <v>Manchester</v>
      </c>
      <c r="N317" t="str">
        <f>VLOOKUP(Table5[[#This Row],[Store ID]],Table4[[Store ID]:[Region]],3)</f>
        <v>North</v>
      </c>
      <c r="O317" t="str">
        <f>VLOOKUP(Table5[[#This Row],[Product ID]],'Product Master'!$A$2:$D$10,4)</f>
        <v>Supplier A</v>
      </c>
      <c r="P317" s="15">
        <f>Table5[[#This Row],[Total Revenue]]-Table5[[#This Row],[Net Sales Revenue]]</f>
        <v>4138.5599999999977</v>
      </c>
      <c r="Q317" s="15">
        <f>Table5[[#This Row],[Net Sales Revenue]]/Table5[[#This Row],[Units Sold]]</f>
        <v>21.84</v>
      </c>
      <c r="R317">
        <f>VLOOKUP(Table5[[#This Row],[Product ID]],'Product Master'!$A$1:$E$10,5,FALSE)</f>
        <v>12</v>
      </c>
      <c r="S317" s="15">
        <f>Table5[[#This Row],[standard product cost per unit]]*Table5[[#This Row],[Units Sold]]</f>
        <v>22992</v>
      </c>
      <c r="T317" s="15">
        <f>Table5[[#This Row],[Cost of Sales]]-Table5[[#This Row],[Standard cost]]</f>
        <v>0</v>
      </c>
      <c r="U317" s="15">
        <f>Table5[[#This Row],[Net Sales Revenue]]-Table5[[#This Row],[Cost of Sales]]</f>
        <v>18853.440000000002</v>
      </c>
      <c r="V317" s="17">
        <f>Table5[[#This Row],[GrossProfit]]/Table5[[#This Row],[Net Sales Revenue]]</f>
        <v>0.45054945054945056</v>
      </c>
    </row>
    <row r="318" spans="1:22" ht="14.25" customHeight="1" x14ac:dyDescent="0.25">
      <c r="A318" s="1" t="s">
        <v>391</v>
      </c>
      <c r="B318" s="1" t="s">
        <v>390</v>
      </c>
      <c r="C318" s="1" t="s">
        <v>40</v>
      </c>
      <c r="D318" s="1" t="s">
        <v>10</v>
      </c>
      <c r="E318" s="1" t="s">
        <v>8</v>
      </c>
      <c r="F318" s="1">
        <v>1300</v>
      </c>
      <c r="G318" s="14">
        <v>50</v>
      </c>
      <c r="H318" s="1">
        <v>7.0000000000000007E-2</v>
      </c>
      <c r="I318" s="14">
        <v>60450</v>
      </c>
      <c r="J318" s="14">
        <v>36400</v>
      </c>
      <c r="K318" s="15">
        <f>Table5[[#This Row],[Selling Price]]*Table5[[#This Row],[Units Sold]]</f>
        <v>65000</v>
      </c>
      <c r="L318" t="str">
        <f t="shared" si="4"/>
        <v>2023-08</v>
      </c>
      <c r="M318" t="str">
        <f>VLOOKUP(Table5[[#This Row],[Store ID]],Table4[[Store ID]:[Store Location]],2)</f>
        <v>Manchester</v>
      </c>
      <c r="N318" t="str">
        <f>VLOOKUP(Table5[[#This Row],[Store ID]],Table4[[Store ID]:[Region]],3)</f>
        <v>North</v>
      </c>
      <c r="O318" t="str">
        <f>VLOOKUP(Table5[[#This Row],[Product ID]],'Product Master'!$A$2:$D$10,4)</f>
        <v>Supplier B</v>
      </c>
      <c r="P318" s="15">
        <f>Table5[[#This Row],[Total Revenue]]-Table5[[#This Row],[Net Sales Revenue]]</f>
        <v>4550</v>
      </c>
      <c r="Q318" s="15">
        <f>Table5[[#This Row],[Net Sales Revenue]]/Table5[[#This Row],[Units Sold]]</f>
        <v>46.5</v>
      </c>
      <c r="R318">
        <f>VLOOKUP(Table5[[#This Row],[Product ID]],'Product Master'!$A$1:$E$10,5,FALSE)</f>
        <v>28</v>
      </c>
      <c r="S318" s="15">
        <f>Table5[[#This Row],[standard product cost per unit]]*Table5[[#This Row],[Units Sold]]</f>
        <v>36400</v>
      </c>
      <c r="T318" s="15">
        <f>Table5[[#This Row],[Cost of Sales]]-Table5[[#This Row],[Standard cost]]</f>
        <v>0</v>
      </c>
      <c r="U318" s="15">
        <f>Table5[[#This Row],[Net Sales Revenue]]-Table5[[#This Row],[Cost of Sales]]</f>
        <v>24050</v>
      </c>
      <c r="V318" s="17">
        <f>Table5[[#This Row],[GrossProfit]]/Table5[[#This Row],[Net Sales Revenue]]</f>
        <v>0.39784946236559138</v>
      </c>
    </row>
    <row r="319" spans="1:22" ht="14.25" customHeight="1" x14ac:dyDescent="0.25">
      <c r="A319" s="1" t="s">
        <v>392</v>
      </c>
      <c r="B319" s="1" t="s">
        <v>390</v>
      </c>
      <c r="C319" s="1" t="s">
        <v>40</v>
      </c>
      <c r="D319" s="1" t="s">
        <v>13</v>
      </c>
      <c r="E319" s="1" t="s">
        <v>15</v>
      </c>
      <c r="F319" s="1">
        <v>2728</v>
      </c>
      <c r="G319" s="14">
        <v>28</v>
      </c>
      <c r="H319" s="1">
        <v>0.06</v>
      </c>
      <c r="I319" s="14">
        <v>71800.960000000006</v>
      </c>
      <c r="J319" s="14">
        <v>40920</v>
      </c>
      <c r="K319" s="15">
        <f>Table5[[#This Row],[Selling Price]]*Table5[[#This Row],[Units Sold]]</f>
        <v>76384</v>
      </c>
      <c r="L319" t="str">
        <f t="shared" si="4"/>
        <v>2023-08</v>
      </c>
      <c r="M319" t="str">
        <f>VLOOKUP(Table5[[#This Row],[Store ID]],Table4[[Store ID]:[Store Location]],2)</f>
        <v>Manchester</v>
      </c>
      <c r="N319" t="str">
        <f>VLOOKUP(Table5[[#This Row],[Store ID]],Table4[[Store ID]:[Region]],3)</f>
        <v>North</v>
      </c>
      <c r="O319" t="str">
        <f>VLOOKUP(Table5[[#This Row],[Product ID]],'Product Master'!$A$2:$D$10,4)</f>
        <v>Supplier C</v>
      </c>
      <c r="P319" s="15">
        <f>Table5[[#This Row],[Total Revenue]]-Table5[[#This Row],[Net Sales Revenue]]</f>
        <v>4583.0399999999936</v>
      </c>
      <c r="Q319" s="15">
        <f>Table5[[#This Row],[Net Sales Revenue]]/Table5[[#This Row],[Units Sold]]</f>
        <v>26.320000000000004</v>
      </c>
      <c r="R319">
        <f>VLOOKUP(Table5[[#This Row],[Product ID]],'Product Master'!$A$1:$E$10,5,FALSE)</f>
        <v>15</v>
      </c>
      <c r="S319" s="15">
        <f>Table5[[#This Row],[standard product cost per unit]]*Table5[[#This Row],[Units Sold]]</f>
        <v>40920</v>
      </c>
      <c r="T319" s="15">
        <f>Table5[[#This Row],[Cost of Sales]]-Table5[[#This Row],[Standard cost]]</f>
        <v>0</v>
      </c>
      <c r="U319" s="15">
        <f>Table5[[#This Row],[Net Sales Revenue]]-Table5[[#This Row],[Cost of Sales]]</f>
        <v>30880.960000000006</v>
      </c>
      <c r="V319" s="17">
        <f>Table5[[#This Row],[GrossProfit]]/Table5[[#This Row],[Net Sales Revenue]]</f>
        <v>0.43009118541033442</v>
      </c>
    </row>
    <row r="320" spans="1:22" ht="14.25" customHeight="1" x14ac:dyDescent="0.25">
      <c r="A320" s="1" t="s">
        <v>393</v>
      </c>
      <c r="B320" s="1" t="s">
        <v>390</v>
      </c>
      <c r="C320" s="1" t="s">
        <v>40</v>
      </c>
      <c r="D320" s="1" t="s">
        <v>17</v>
      </c>
      <c r="E320" s="1" t="s">
        <v>15</v>
      </c>
      <c r="F320" s="1">
        <v>2236</v>
      </c>
      <c r="G320" s="14">
        <v>35</v>
      </c>
      <c r="H320" s="1">
        <v>0.09</v>
      </c>
      <c r="I320" s="14">
        <v>71216.600000000006</v>
      </c>
      <c r="J320" s="14">
        <v>40248</v>
      </c>
      <c r="K320" s="15">
        <f>Table5[[#This Row],[Selling Price]]*Table5[[#This Row],[Units Sold]]</f>
        <v>78260</v>
      </c>
      <c r="L320" t="str">
        <f t="shared" si="4"/>
        <v>2023-08</v>
      </c>
      <c r="M320" t="str">
        <f>VLOOKUP(Table5[[#This Row],[Store ID]],Table4[[Store ID]:[Store Location]],2)</f>
        <v>Manchester</v>
      </c>
      <c r="N320" t="str">
        <f>VLOOKUP(Table5[[#This Row],[Store ID]],Table4[[Store ID]:[Region]],3)</f>
        <v>North</v>
      </c>
      <c r="O320" t="str">
        <f>VLOOKUP(Table5[[#This Row],[Product ID]],'Product Master'!$A$2:$D$10,4)</f>
        <v>Supplier C</v>
      </c>
      <c r="P320" s="15">
        <f>Table5[[#This Row],[Total Revenue]]-Table5[[#This Row],[Net Sales Revenue]]</f>
        <v>7043.3999999999942</v>
      </c>
      <c r="Q320" s="15">
        <f>Table5[[#This Row],[Net Sales Revenue]]/Table5[[#This Row],[Units Sold]]</f>
        <v>31.85</v>
      </c>
      <c r="R320">
        <f>VLOOKUP(Table5[[#This Row],[Product ID]],'Product Master'!$A$1:$E$10,5,FALSE)</f>
        <v>18</v>
      </c>
      <c r="S320" s="15">
        <f>Table5[[#This Row],[standard product cost per unit]]*Table5[[#This Row],[Units Sold]]</f>
        <v>40248</v>
      </c>
      <c r="T320" s="15">
        <f>Table5[[#This Row],[Cost of Sales]]-Table5[[#This Row],[Standard cost]]</f>
        <v>0</v>
      </c>
      <c r="U320" s="15">
        <f>Table5[[#This Row],[Net Sales Revenue]]-Table5[[#This Row],[Cost of Sales]]</f>
        <v>30968.600000000006</v>
      </c>
      <c r="V320" s="17">
        <f>Table5[[#This Row],[GrossProfit]]/Table5[[#This Row],[Net Sales Revenue]]</f>
        <v>0.43485086342229207</v>
      </c>
    </row>
    <row r="321" spans="1:22" ht="14.25" customHeight="1" x14ac:dyDescent="0.25">
      <c r="A321" s="1" t="s">
        <v>394</v>
      </c>
      <c r="B321" s="1" t="s">
        <v>390</v>
      </c>
      <c r="C321" s="1" t="s">
        <v>40</v>
      </c>
      <c r="D321" s="1" t="s">
        <v>19</v>
      </c>
      <c r="E321" s="1" t="s">
        <v>21</v>
      </c>
      <c r="F321" s="1">
        <v>2300</v>
      </c>
      <c r="G321" s="14">
        <v>18</v>
      </c>
      <c r="H321" s="1">
        <v>0.09</v>
      </c>
      <c r="I321" s="14">
        <v>37674</v>
      </c>
      <c r="J321" s="14">
        <v>20700</v>
      </c>
      <c r="K321" s="15">
        <f>Table5[[#This Row],[Selling Price]]*Table5[[#This Row],[Units Sold]]</f>
        <v>41400</v>
      </c>
      <c r="L321" t="str">
        <f t="shared" si="4"/>
        <v>2023-08</v>
      </c>
      <c r="M321" t="str">
        <f>VLOOKUP(Table5[[#This Row],[Store ID]],Table4[[Store ID]:[Store Location]],2)</f>
        <v>Manchester</v>
      </c>
      <c r="N321" t="str">
        <f>VLOOKUP(Table5[[#This Row],[Store ID]],Table4[[Store ID]:[Region]],3)</f>
        <v>North</v>
      </c>
      <c r="O321" t="str">
        <f>VLOOKUP(Table5[[#This Row],[Product ID]],'Product Master'!$A$2:$D$10,4)</f>
        <v>Supplier D</v>
      </c>
      <c r="P321" s="15">
        <f>Table5[[#This Row],[Total Revenue]]-Table5[[#This Row],[Net Sales Revenue]]</f>
        <v>3726</v>
      </c>
      <c r="Q321" s="15">
        <f>Table5[[#This Row],[Net Sales Revenue]]/Table5[[#This Row],[Units Sold]]</f>
        <v>16.38</v>
      </c>
      <c r="R321">
        <f>VLOOKUP(Table5[[#This Row],[Product ID]],'Product Master'!$A$1:$E$10,5,FALSE)</f>
        <v>9</v>
      </c>
      <c r="S321" s="15">
        <f>Table5[[#This Row],[standard product cost per unit]]*Table5[[#This Row],[Units Sold]]</f>
        <v>20700</v>
      </c>
      <c r="T321" s="15">
        <f>Table5[[#This Row],[Cost of Sales]]-Table5[[#This Row],[Standard cost]]</f>
        <v>0</v>
      </c>
      <c r="U321" s="15">
        <f>Table5[[#This Row],[Net Sales Revenue]]-Table5[[#This Row],[Cost of Sales]]</f>
        <v>16974</v>
      </c>
      <c r="V321" s="17">
        <f>Table5[[#This Row],[GrossProfit]]/Table5[[#This Row],[Net Sales Revenue]]</f>
        <v>0.45054945054945056</v>
      </c>
    </row>
    <row r="322" spans="1:22" ht="14.25" customHeight="1" x14ac:dyDescent="0.25">
      <c r="A322" s="1" t="s">
        <v>395</v>
      </c>
      <c r="B322" s="1" t="s">
        <v>390</v>
      </c>
      <c r="C322" s="1" t="s">
        <v>40</v>
      </c>
      <c r="D322" s="1" t="s">
        <v>23</v>
      </c>
      <c r="E322" s="1" t="s">
        <v>21</v>
      </c>
      <c r="F322" s="1">
        <v>1620</v>
      </c>
      <c r="G322" s="14">
        <v>30</v>
      </c>
      <c r="H322" s="1">
        <v>0.1</v>
      </c>
      <c r="I322" s="14">
        <v>43740</v>
      </c>
      <c r="J322" s="14">
        <v>22680</v>
      </c>
      <c r="K322" s="15">
        <f>Table5[[#This Row],[Selling Price]]*Table5[[#This Row],[Units Sold]]</f>
        <v>48600</v>
      </c>
      <c r="L322" t="str">
        <f t="shared" ref="L322:L385" si="5">TEXT(B322,"yyyy-mm")</f>
        <v>2023-08</v>
      </c>
      <c r="M322" t="str">
        <f>VLOOKUP(Table5[[#This Row],[Store ID]],Table4[[Store ID]:[Store Location]],2)</f>
        <v>Manchester</v>
      </c>
      <c r="N322" t="str">
        <f>VLOOKUP(Table5[[#This Row],[Store ID]],Table4[[Store ID]:[Region]],3)</f>
        <v>North</v>
      </c>
      <c r="O322" t="str">
        <f>VLOOKUP(Table5[[#This Row],[Product ID]],'Product Master'!$A$2:$D$10,4)</f>
        <v>Supplier D</v>
      </c>
      <c r="P322" s="15">
        <f>Table5[[#This Row],[Total Revenue]]-Table5[[#This Row],[Net Sales Revenue]]</f>
        <v>4860</v>
      </c>
      <c r="Q322" s="15">
        <f>Table5[[#This Row],[Net Sales Revenue]]/Table5[[#This Row],[Units Sold]]</f>
        <v>27</v>
      </c>
      <c r="R322">
        <f>VLOOKUP(Table5[[#This Row],[Product ID]],'Product Master'!$A$1:$E$10,5,FALSE)</f>
        <v>14</v>
      </c>
      <c r="S322" s="15">
        <f>Table5[[#This Row],[standard product cost per unit]]*Table5[[#This Row],[Units Sold]]</f>
        <v>22680</v>
      </c>
      <c r="T322" s="15">
        <f>Table5[[#This Row],[Cost of Sales]]-Table5[[#This Row],[Standard cost]]</f>
        <v>0</v>
      </c>
      <c r="U322" s="15">
        <f>Table5[[#This Row],[Net Sales Revenue]]-Table5[[#This Row],[Cost of Sales]]</f>
        <v>21060</v>
      </c>
      <c r="V322" s="17">
        <f>Table5[[#This Row],[GrossProfit]]/Table5[[#This Row],[Net Sales Revenue]]</f>
        <v>0.48148148148148145</v>
      </c>
    </row>
    <row r="323" spans="1:22" ht="14.25" customHeight="1" x14ac:dyDescent="0.25">
      <c r="A323" s="1" t="s">
        <v>396</v>
      </c>
      <c r="B323" s="1" t="s">
        <v>390</v>
      </c>
      <c r="C323" s="1" t="s">
        <v>40</v>
      </c>
      <c r="D323" s="1" t="s">
        <v>25</v>
      </c>
      <c r="E323" s="1" t="s">
        <v>27</v>
      </c>
      <c r="F323" s="1">
        <v>1772</v>
      </c>
      <c r="G323" s="14">
        <v>40</v>
      </c>
      <c r="H323" s="1">
        <v>0.09</v>
      </c>
      <c r="I323" s="14">
        <v>64500.800000000003</v>
      </c>
      <c r="J323" s="14">
        <v>35440</v>
      </c>
      <c r="K323" s="15">
        <f>Table5[[#This Row],[Selling Price]]*Table5[[#This Row],[Units Sold]]</f>
        <v>70880</v>
      </c>
      <c r="L323" t="str">
        <f t="shared" si="5"/>
        <v>2023-08</v>
      </c>
      <c r="M323" t="str">
        <f>VLOOKUP(Table5[[#This Row],[Store ID]],Table4[[Store ID]:[Store Location]],2)</f>
        <v>Manchester</v>
      </c>
      <c r="N323" t="str">
        <f>VLOOKUP(Table5[[#This Row],[Store ID]],Table4[[Store ID]:[Region]],3)</f>
        <v>North</v>
      </c>
      <c r="O323" t="str">
        <f>VLOOKUP(Table5[[#This Row],[Product ID]],'Product Master'!$A$2:$D$10,4)</f>
        <v>Supplier E</v>
      </c>
      <c r="P323" s="15">
        <f>Table5[[#This Row],[Total Revenue]]-Table5[[#This Row],[Net Sales Revenue]]</f>
        <v>6379.1999999999971</v>
      </c>
      <c r="Q323" s="15">
        <f>Table5[[#This Row],[Net Sales Revenue]]/Table5[[#This Row],[Units Sold]]</f>
        <v>36.4</v>
      </c>
      <c r="R323">
        <f>VLOOKUP(Table5[[#This Row],[Product ID]],'Product Master'!$A$1:$E$10,5,FALSE)</f>
        <v>20</v>
      </c>
      <c r="S323" s="15">
        <f>Table5[[#This Row],[standard product cost per unit]]*Table5[[#This Row],[Units Sold]]</f>
        <v>35440</v>
      </c>
      <c r="T323" s="15">
        <f>Table5[[#This Row],[Cost of Sales]]-Table5[[#This Row],[Standard cost]]</f>
        <v>0</v>
      </c>
      <c r="U323" s="15">
        <f>Table5[[#This Row],[Net Sales Revenue]]-Table5[[#This Row],[Cost of Sales]]</f>
        <v>29060.800000000003</v>
      </c>
      <c r="V323" s="17">
        <f>Table5[[#This Row],[GrossProfit]]/Table5[[#This Row],[Net Sales Revenue]]</f>
        <v>0.45054945054945056</v>
      </c>
    </row>
    <row r="324" spans="1:22" ht="14.25" customHeight="1" x14ac:dyDescent="0.25">
      <c r="A324" s="1" t="s">
        <v>397</v>
      </c>
      <c r="B324" s="1" t="s">
        <v>390</v>
      </c>
      <c r="C324" s="1" t="s">
        <v>40</v>
      </c>
      <c r="D324" s="1" t="s">
        <v>29</v>
      </c>
      <c r="E324" s="1" t="s">
        <v>31</v>
      </c>
      <c r="F324" s="1">
        <v>2332</v>
      </c>
      <c r="G324" s="14">
        <v>10</v>
      </c>
      <c r="H324" s="1">
        <v>0.08</v>
      </c>
      <c r="I324" s="14">
        <v>21454.400000000001</v>
      </c>
      <c r="J324" s="14">
        <v>9328</v>
      </c>
      <c r="K324" s="15">
        <f>Table5[[#This Row],[Selling Price]]*Table5[[#This Row],[Units Sold]]</f>
        <v>23320</v>
      </c>
      <c r="L324" t="str">
        <f t="shared" si="5"/>
        <v>2023-08</v>
      </c>
      <c r="M324" t="str">
        <f>VLOOKUP(Table5[[#This Row],[Store ID]],Table4[[Store ID]:[Store Location]],2)</f>
        <v>Manchester</v>
      </c>
      <c r="N324" t="str">
        <f>VLOOKUP(Table5[[#This Row],[Store ID]],Table4[[Store ID]:[Region]],3)</f>
        <v>North</v>
      </c>
      <c r="O324" t="str">
        <f>VLOOKUP(Table5[[#This Row],[Product ID]],'Product Master'!$A$2:$D$10,4)</f>
        <v>Supplier F</v>
      </c>
      <c r="P324" s="15">
        <f>Table5[[#This Row],[Total Revenue]]-Table5[[#This Row],[Net Sales Revenue]]</f>
        <v>1865.5999999999985</v>
      </c>
      <c r="Q324" s="15">
        <f>Table5[[#This Row],[Net Sales Revenue]]/Table5[[#This Row],[Units Sold]]</f>
        <v>9.2000000000000011</v>
      </c>
      <c r="R324">
        <f>VLOOKUP(Table5[[#This Row],[Product ID]],'Product Master'!$A$1:$E$10,5,FALSE)</f>
        <v>4</v>
      </c>
      <c r="S324" s="15">
        <f>Table5[[#This Row],[standard product cost per unit]]*Table5[[#This Row],[Units Sold]]</f>
        <v>9328</v>
      </c>
      <c r="T324" s="15">
        <f>Table5[[#This Row],[Cost of Sales]]-Table5[[#This Row],[Standard cost]]</f>
        <v>0</v>
      </c>
      <c r="U324" s="15">
        <f>Table5[[#This Row],[Net Sales Revenue]]-Table5[[#This Row],[Cost of Sales]]</f>
        <v>12126.400000000001</v>
      </c>
      <c r="V324" s="17">
        <f>Table5[[#This Row],[GrossProfit]]/Table5[[#This Row],[Net Sales Revenue]]</f>
        <v>0.56521739130434789</v>
      </c>
    </row>
    <row r="325" spans="1:22" ht="14.25" customHeight="1" x14ac:dyDescent="0.25">
      <c r="A325" s="1" t="s">
        <v>398</v>
      </c>
      <c r="B325" s="1" t="s">
        <v>390</v>
      </c>
      <c r="C325" s="1" t="s">
        <v>40</v>
      </c>
      <c r="D325" s="1" t="s">
        <v>33</v>
      </c>
      <c r="E325" s="1" t="s">
        <v>31</v>
      </c>
      <c r="F325" s="1">
        <v>1360</v>
      </c>
      <c r="G325" s="14">
        <v>22</v>
      </c>
      <c r="H325" s="1">
        <v>7.0000000000000007E-2</v>
      </c>
      <c r="I325" s="14">
        <v>27825.599999999999</v>
      </c>
      <c r="J325" s="14">
        <v>13600</v>
      </c>
      <c r="K325" s="15">
        <f>Table5[[#This Row],[Selling Price]]*Table5[[#This Row],[Units Sold]]</f>
        <v>29920</v>
      </c>
      <c r="L325" t="str">
        <f t="shared" si="5"/>
        <v>2023-08</v>
      </c>
      <c r="M325" t="str">
        <f>VLOOKUP(Table5[[#This Row],[Store ID]],Table4[[Store ID]:[Store Location]],2)</f>
        <v>Manchester</v>
      </c>
      <c r="N325" t="str">
        <f>VLOOKUP(Table5[[#This Row],[Store ID]],Table4[[Store ID]:[Region]],3)</f>
        <v>North</v>
      </c>
      <c r="O325" t="str">
        <f>VLOOKUP(Table5[[#This Row],[Product ID]],'Product Master'!$A$2:$D$10,4)</f>
        <v>Supplier F</v>
      </c>
      <c r="P325" s="15">
        <f>Table5[[#This Row],[Total Revenue]]-Table5[[#This Row],[Net Sales Revenue]]</f>
        <v>2094.4000000000015</v>
      </c>
      <c r="Q325" s="15">
        <f>Table5[[#This Row],[Net Sales Revenue]]/Table5[[#This Row],[Units Sold]]</f>
        <v>20.459999999999997</v>
      </c>
      <c r="R325">
        <f>VLOOKUP(Table5[[#This Row],[Product ID]],'Product Master'!$A$1:$E$10,5,FALSE)</f>
        <v>10</v>
      </c>
      <c r="S325" s="15">
        <f>Table5[[#This Row],[standard product cost per unit]]*Table5[[#This Row],[Units Sold]]</f>
        <v>13600</v>
      </c>
      <c r="T325" s="15">
        <f>Table5[[#This Row],[Cost of Sales]]-Table5[[#This Row],[Standard cost]]</f>
        <v>0</v>
      </c>
      <c r="U325" s="15">
        <f>Table5[[#This Row],[Net Sales Revenue]]-Table5[[#This Row],[Cost of Sales]]</f>
        <v>14225.599999999999</v>
      </c>
      <c r="V325" s="17">
        <f>Table5[[#This Row],[GrossProfit]]/Table5[[#This Row],[Net Sales Revenue]]</f>
        <v>0.51124144672531768</v>
      </c>
    </row>
    <row r="326" spans="1:22" ht="14.25" customHeight="1" x14ac:dyDescent="0.25">
      <c r="A326" s="1" t="s">
        <v>399</v>
      </c>
      <c r="B326" s="1" t="s">
        <v>390</v>
      </c>
      <c r="C326" s="1" t="s">
        <v>44</v>
      </c>
      <c r="D326" s="1" t="s">
        <v>6</v>
      </c>
      <c r="E326" s="1" t="s">
        <v>8</v>
      </c>
      <c r="F326" s="1">
        <v>2216</v>
      </c>
      <c r="G326" s="14">
        <v>24</v>
      </c>
      <c r="H326" s="1">
        <v>0.05</v>
      </c>
      <c r="I326" s="14">
        <v>50524.800000000003</v>
      </c>
      <c r="J326" s="14">
        <v>26592</v>
      </c>
      <c r="K326" s="15">
        <f>Table5[[#This Row],[Selling Price]]*Table5[[#This Row],[Units Sold]]</f>
        <v>53184</v>
      </c>
      <c r="L326" t="str">
        <f t="shared" si="5"/>
        <v>2023-08</v>
      </c>
      <c r="M326" t="str">
        <f>VLOOKUP(Table5[[#This Row],[Store ID]],Table4[[Store ID]:[Store Location]],2)</f>
        <v>Birmingham</v>
      </c>
      <c r="N326" t="str">
        <f>VLOOKUP(Table5[[#This Row],[Store ID]],Table4[[Store ID]:[Region]],3)</f>
        <v>Midlands</v>
      </c>
      <c r="O326" t="str">
        <f>VLOOKUP(Table5[[#This Row],[Product ID]],'Product Master'!$A$2:$D$10,4)</f>
        <v>Supplier A</v>
      </c>
      <c r="P326" s="15">
        <f>Table5[[#This Row],[Total Revenue]]-Table5[[#This Row],[Net Sales Revenue]]</f>
        <v>2659.1999999999971</v>
      </c>
      <c r="Q326" s="15">
        <f>Table5[[#This Row],[Net Sales Revenue]]/Table5[[#This Row],[Units Sold]]</f>
        <v>22.8</v>
      </c>
      <c r="R326">
        <f>VLOOKUP(Table5[[#This Row],[Product ID]],'Product Master'!$A$1:$E$10,5,FALSE)</f>
        <v>12</v>
      </c>
      <c r="S326" s="15">
        <f>Table5[[#This Row],[standard product cost per unit]]*Table5[[#This Row],[Units Sold]]</f>
        <v>26592</v>
      </c>
      <c r="T326" s="15">
        <f>Table5[[#This Row],[Cost of Sales]]-Table5[[#This Row],[Standard cost]]</f>
        <v>0</v>
      </c>
      <c r="U326" s="15">
        <f>Table5[[#This Row],[Net Sales Revenue]]-Table5[[#This Row],[Cost of Sales]]</f>
        <v>23932.800000000003</v>
      </c>
      <c r="V326" s="17">
        <f>Table5[[#This Row],[GrossProfit]]/Table5[[#This Row],[Net Sales Revenue]]</f>
        <v>0.47368421052631582</v>
      </c>
    </row>
    <row r="327" spans="1:22" ht="14.25" customHeight="1" x14ac:dyDescent="0.25">
      <c r="A327" s="1" t="s">
        <v>400</v>
      </c>
      <c r="B327" s="1" t="s">
        <v>390</v>
      </c>
      <c r="C327" s="1" t="s">
        <v>44</v>
      </c>
      <c r="D327" s="1" t="s">
        <v>10</v>
      </c>
      <c r="E327" s="1" t="s">
        <v>8</v>
      </c>
      <c r="F327" s="1">
        <v>2800</v>
      </c>
      <c r="G327" s="14">
        <v>50</v>
      </c>
      <c r="H327" s="1">
        <v>0.06</v>
      </c>
      <c r="I327" s="14">
        <v>131600</v>
      </c>
      <c r="J327" s="14">
        <v>78400</v>
      </c>
      <c r="K327" s="15">
        <f>Table5[[#This Row],[Selling Price]]*Table5[[#This Row],[Units Sold]]</f>
        <v>140000</v>
      </c>
      <c r="L327" t="str">
        <f t="shared" si="5"/>
        <v>2023-08</v>
      </c>
      <c r="M327" t="str">
        <f>VLOOKUP(Table5[[#This Row],[Store ID]],Table4[[Store ID]:[Store Location]],2)</f>
        <v>Birmingham</v>
      </c>
      <c r="N327" t="str">
        <f>VLOOKUP(Table5[[#This Row],[Store ID]],Table4[[Store ID]:[Region]],3)</f>
        <v>Midlands</v>
      </c>
      <c r="O327" t="str">
        <f>VLOOKUP(Table5[[#This Row],[Product ID]],'Product Master'!$A$2:$D$10,4)</f>
        <v>Supplier B</v>
      </c>
      <c r="P327" s="15">
        <f>Table5[[#This Row],[Total Revenue]]-Table5[[#This Row],[Net Sales Revenue]]</f>
        <v>8400</v>
      </c>
      <c r="Q327" s="15">
        <f>Table5[[#This Row],[Net Sales Revenue]]/Table5[[#This Row],[Units Sold]]</f>
        <v>47</v>
      </c>
      <c r="R327">
        <f>VLOOKUP(Table5[[#This Row],[Product ID]],'Product Master'!$A$1:$E$10,5,FALSE)</f>
        <v>28</v>
      </c>
      <c r="S327" s="15">
        <f>Table5[[#This Row],[standard product cost per unit]]*Table5[[#This Row],[Units Sold]]</f>
        <v>78400</v>
      </c>
      <c r="T327" s="15">
        <f>Table5[[#This Row],[Cost of Sales]]-Table5[[#This Row],[Standard cost]]</f>
        <v>0</v>
      </c>
      <c r="U327" s="15">
        <f>Table5[[#This Row],[Net Sales Revenue]]-Table5[[#This Row],[Cost of Sales]]</f>
        <v>53200</v>
      </c>
      <c r="V327" s="17">
        <f>Table5[[#This Row],[GrossProfit]]/Table5[[#This Row],[Net Sales Revenue]]</f>
        <v>0.40425531914893614</v>
      </c>
    </row>
    <row r="328" spans="1:22" ht="14.25" customHeight="1" x14ac:dyDescent="0.25">
      <c r="A328" s="1" t="s">
        <v>401</v>
      </c>
      <c r="B328" s="1" t="s">
        <v>390</v>
      </c>
      <c r="C328" s="1" t="s">
        <v>44</v>
      </c>
      <c r="D328" s="1" t="s">
        <v>13</v>
      </c>
      <c r="E328" s="1" t="s">
        <v>15</v>
      </c>
      <c r="F328" s="1">
        <v>2256</v>
      </c>
      <c r="G328" s="14">
        <v>28</v>
      </c>
      <c r="H328" s="1">
        <v>0.08</v>
      </c>
      <c r="I328" s="14">
        <v>58114.559999999998</v>
      </c>
      <c r="J328" s="14">
        <v>33840</v>
      </c>
      <c r="K328" s="15">
        <f>Table5[[#This Row],[Selling Price]]*Table5[[#This Row],[Units Sold]]</f>
        <v>63168</v>
      </c>
      <c r="L328" t="str">
        <f t="shared" si="5"/>
        <v>2023-08</v>
      </c>
      <c r="M328" t="str">
        <f>VLOOKUP(Table5[[#This Row],[Store ID]],Table4[[Store ID]:[Store Location]],2)</f>
        <v>Birmingham</v>
      </c>
      <c r="N328" t="str">
        <f>VLOOKUP(Table5[[#This Row],[Store ID]],Table4[[Store ID]:[Region]],3)</f>
        <v>Midlands</v>
      </c>
      <c r="O328" t="str">
        <f>VLOOKUP(Table5[[#This Row],[Product ID]],'Product Master'!$A$2:$D$10,4)</f>
        <v>Supplier C</v>
      </c>
      <c r="P328" s="15">
        <f>Table5[[#This Row],[Total Revenue]]-Table5[[#This Row],[Net Sales Revenue]]</f>
        <v>5053.4400000000023</v>
      </c>
      <c r="Q328" s="15">
        <f>Table5[[#This Row],[Net Sales Revenue]]/Table5[[#This Row],[Units Sold]]</f>
        <v>25.759999999999998</v>
      </c>
      <c r="R328">
        <f>VLOOKUP(Table5[[#This Row],[Product ID]],'Product Master'!$A$1:$E$10,5,FALSE)</f>
        <v>15</v>
      </c>
      <c r="S328" s="15">
        <f>Table5[[#This Row],[standard product cost per unit]]*Table5[[#This Row],[Units Sold]]</f>
        <v>33840</v>
      </c>
      <c r="T328" s="15">
        <f>Table5[[#This Row],[Cost of Sales]]-Table5[[#This Row],[Standard cost]]</f>
        <v>0</v>
      </c>
      <c r="U328" s="15">
        <f>Table5[[#This Row],[Net Sales Revenue]]-Table5[[#This Row],[Cost of Sales]]</f>
        <v>24274.559999999998</v>
      </c>
      <c r="V328" s="17">
        <f>Table5[[#This Row],[GrossProfit]]/Table5[[#This Row],[Net Sales Revenue]]</f>
        <v>0.41770186335403725</v>
      </c>
    </row>
    <row r="329" spans="1:22" ht="14.25" customHeight="1" x14ac:dyDescent="0.25">
      <c r="A329" s="1" t="s">
        <v>402</v>
      </c>
      <c r="B329" s="1" t="s">
        <v>390</v>
      </c>
      <c r="C329" s="1" t="s">
        <v>44</v>
      </c>
      <c r="D329" s="1" t="s">
        <v>17</v>
      </c>
      <c r="E329" s="1" t="s">
        <v>15</v>
      </c>
      <c r="F329" s="1">
        <v>2424</v>
      </c>
      <c r="G329" s="14">
        <v>35</v>
      </c>
      <c r="H329" s="1">
        <v>0.06</v>
      </c>
      <c r="I329" s="14">
        <v>79749.600000000006</v>
      </c>
      <c r="J329" s="14">
        <v>43632</v>
      </c>
      <c r="K329" s="15">
        <f>Table5[[#This Row],[Selling Price]]*Table5[[#This Row],[Units Sold]]</f>
        <v>84840</v>
      </c>
      <c r="L329" t="str">
        <f t="shared" si="5"/>
        <v>2023-08</v>
      </c>
      <c r="M329" t="str">
        <f>VLOOKUP(Table5[[#This Row],[Store ID]],Table4[[Store ID]:[Store Location]],2)</f>
        <v>Birmingham</v>
      </c>
      <c r="N329" t="str">
        <f>VLOOKUP(Table5[[#This Row],[Store ID]],Table4[[Store ID]:[Region]],3)</f>
        <v>Midlands</v>
      </c>
      <c r="O329" t="str">
        <f>VLOOKUP(Table5[[#This Row],[Product ID]],'Product Master'!$A$2:$D$10,4)</f>
        <v>Supplier C</v>
      </c>
      <c r="P329" s="15">
        <f>Table5[[#This Row],[Total Revenue]]-Table5[[#This Row],[Net Sales Revenue]]</f>
        <v>5090.3999999999942</v>
      </c>
      <c r="Q329" s="15">
        <f>Table5[[#This Row],[Net Sales Revenue]]/Table5[[#This Row],[Units Sold]]</f>
        <v>32.900000000000006</v>
      </c>
      <c r="R329">
        <f>VLOOKUP(Table5[[#This Row],[Product ID]],'Product Master'!$A$1:$E$10,5,FALSE)</f>
        <v>18</v>
      </c>
      <c r="S329" s="15">
        <f>Table5[[#This Row],[standard product cost per unit]]*Table5[[#This Row],[Units Sold]]</f>
        <v>43632</v>
      </c>
      <c r="T329" s="15">
        <f>Table5[[#This Row],[Cost of Sales]]-Table5[[#This Row],[Standard cost]]</f>
        <v>0</v>
      </c>
      <c r="U329" s="15">
        <f>Table5[[#This Row],[Net Sales Revenue]]-Table5[[#This Row],[Cost of Sales]]</f>
        <v>36117.600000000006</v>
      </c>
      <c r="V329" s="17">
        <f>Table5[[#This Row],[GrossProfit]]/Table5[[#This Row],[Net Sales Revenue]]</f>
        <v>0.45288753799392101</v>
      </c>
    </row>
    <row r="330" spans="1:22" ht="14.25" customHeight="1" x14ac:dyDescent="0.25">
      <c r="A330" s="1" t="s">
        <v>403</v>
      </c>
      <c r="B330" s="1" t="s">
        <v>390</v>
      </c>
      <c r="C330" s="1" t="s">
        <v>44</v>
      </c>
      <c r="D330" s="1" t="s">
        <v>19</v>
      </c>
      <c r="E330" s="1" t="s">
        <v>21</v>
      </c>
      <c r="F330" s="1">
        <v>2192</v>
      </c>
      <c r="G330" s="14">
        <v>18</v>
      </c>
      <c r="H330" s="1">
        <v>0.06</v>
      </c>
      <c r="I330" s="14">
        <v>37088.639999999999</v>
      </c>
      <c r="J330" s="14">
        <v>19728</v>
      </c>
      <c r="K330" s="15">
        <f>Table5[[#This Row],[Selling Price]]*Table5[[#This Row],[Units Sold]]</f>
        <v>39456</v>
      </c>
      <c r="L330" t="str">
        <f t="shared" si="5"/>
        <v>2023-08</v>
      </c>
      <c r="M330" t="str">
        <f>VLOOKUP(Table5[[#This Row],[Store ID]],Table4[[Store ID]:[Store Location]],2)</f>
        <v>Birmingham</v>
      </c>
      <c r="N330" t="str">
        <f>VLOOKUP(Table5[[#This Row],[Store ID]],Table4[[Store ID]:[Region]],3)</f>
        <v>Midlands</v>
      </c>
      <c r="O330" t="str">
        <f>VLOOKUP(Table5[[#This Row],[Product ID]],'Product Master'!$A$2:$D$10,4)</f>
        <v>Supplier D</v>
      </c>
      <c r="P330" s="15">
        <f>Table5[[#This Row],[Total Revenue]]-Table5[[#This Row],[Net Sales Revenue]]</f>
        <v>2367.3600000000006</v>
      </c>
      <c r="Q330" s="15">
        <f>Table5[[#This Row],[Net Sales Revenue]]/Table5[[#This Row],[Units Sold]]</f>
        <v>16.919999999999998</v>
      </c>
      <c r="R330">
        <f>VLOOKUP(Table5[[#This Row],[Product ID]],'Product Master'!$A$1:$E$10,5,FALSE)</f>
        <v>9</v>
      </c>
      <c r="S330" s="15">
        <f>Table5[[#This Row],[standard product cost per unit]]*Table5[[#This Row],[Units Sold]]</f>
        <v>19728</v>
      </c>
      <c r="T330" s="15">
        <f>Table5[[#This Row],[Cost of Sales]]-Table5[[#This Row],[Standard cost]]</f>
        <v>0</v>
      </c>
      <c r="U330" s="15">
        <f>Table5[[#This Row],[Net Sales Revenue]]-Table5[[#This Row],[Cost of Sales]]</f>
        <v>17360.64</v>
      </c>
      <c r="V330" s="17">
        <f>Table5[[#This Row],[GrossProfit]]/Table5[[#This Row],[Net Sales Revenue]]</f>
        <v>0.46808510638297873</v>
      </c>
    </row>
    <row r="331" spans="1:22" ht="14.25" customHeight="1" x14ac:dyDescent="0.25">
      <c r="A331" s="1" t="s">
        <v>404</v>
      </c>
      <c r="B331" s="1" t="s">
        <v>390</v>
      </c>
      <c r="C331" s="1" t="s">
        <v>44</v>
      </c>
      <c r="D331" s="1" t="s">
        <v>23</v>
      </c>
      <c r="E331" s="1" t="s">
        <v>21</v>
      </c>
      <c r="F331" s="1">
        <v>2592</v>
      </c>
      <c r="G331" s="14">
        <v>30</v>
      </c>
      <c r="H331" s="1">
        <v>0.06</v>
      </c>
      <c r="I331" s="14">
        <v>73094.399999999994</v>
      </c>
      <c r="J331" s="14">
        <v>36288</v>
      </c>
      <c r="K331" s="15">
        <f>Table5[[#This Row],[Selling Price]]*Table5[[#This Row],[Units Sold]]</f>
        <v>77760</v>
      </c>
      <c r="L331" t="str">
        <f t="shared" si="5"/>
        <v>2023-08</v>
      </c>
      <c r="M331" t="str">
        <f>VLOOKUP(Table5[[#This Row],[Store ID]],Table4[[Store ID]:[Store Location]],2)</f>
        <v>Birmingham</v>
      </c>
      <c r="N331" t="str">
        <f>VLOOKUP(Table5[[#This Row],[Store ID]],Table4[[Store ID]:[Region]],3)</f>
        <v>Midlands</v>
      </c>
      <c r="O331" t="str">
        <f>VLOOKUP(Table5[[#This Row],[Product ID]],'Product Master'!$A$2:$D$10,4)</f>
        <v>Supplier D</v>
      </c>
      <c r="P331" s="15">
        <f>Table5[[#This Row],[Total Revenue]]-Table5[[#This Row],[Net Sales Revenue]]</f>
        <v>4665.6000000000058</v>
      </c>
      <c r="Q331" s="15">
        <f>Table5[[#This Row],[Net Sales Revenue]]/Table5[[#This Row],[Units Sold]]</f>
        <v>28.2</v>
      </c>
      <c r="R331">
        <f>VLOOKUP(Table5[[#This Row],[Product ID]],'Product Master'!$A$1:$E$10,5,FALSE)</f>
        <v>14</v>
      </c>
      <c r="S331" s="15">
        <f>Table5[[#This Row],[standard product cost per unit]]*Table5[[#This Row],[Units Sold]]</f>
        <v>36288</v>
      </c>
      <c r="T331" s="15">
        <f>Table5[[#This Row],[Cost of Sales]]-Table5[[#This Row],[Standard cost]]</f>
        <v>0</v>
      </c>
      <c r="U331" s="15">
        <f>Table5[[#This Row],[Net Sales Revenue]]-Table5[[#This Row],[Cost of Sales]]</f>
        <v>36806.399999999994</v>
      </c>
      <c r="V331" s="17">
        <f>Table5[[#This Row],[GrossProfit]]/Table5[[#This Row],[Net Sales Revenue]]</f>
        <v>0.50354609929078009</v>
      </c>
    </row>
    <row r="332" spans="1:22" ht="14.25" customHeight="1" x14ac:dyDescent="0.25">
      <c r="A332" s="1" t="s">
        <v>405</v>
      </c>
      <c r="B332" s="1" t="s">
        <v>390</v>
      </c>
      <c r="C332" s="1" t="s">
        <v>44</v>
      </c>
      <c r="D332" s="1" t="s">
        <v>25</v>
      </c>
      <c r="E332" s="1" t="s">
        <v>27</v>
      </c>
      <c r="F332" s="1">
        <v>1800</v>
      </c>
      <c r="G332" s="14">
        <v>40</v>
      </c>
      <c r="H332" s="1">
        <v>0.09</v>
      </c>
      <c r="I332" s="14">
        <v>65520</v>
      </c>
      <c r="J332" s="14">
        <v>36000</v>
      </c>
      <c r="K332" s="15">
        <f>Table5[[#This Row],[Selling Price]]*Table5[[#This Row],[Units Sold]]</f>
        <v>72000</v>
      </c>
      <c r="L332" t="str">
        <f t="shared" si="5"/>
        <v>2023-08</v>
      </c>
      <c r="M332" t="str">
        <f>VLOOKUP(Table5[[#This Row],[Store ID]],Table4[[Store ID]:[Store Location]],2)</f>
        <v>Birmingham</v>
      </c>
      <c r="N332" t="str">
        <f>VLOOKUP(Table5[[#This Row],[Store ID]],Table4[[Store ID]:[Region]],3)</f>
        <v>Midlands</v>
      </c>
      <c r="O332" t="str">
        <f>VLOOKUP(Table5[[#This Row],[Product ID]],'Product Master'!$A$2:$D$10,4)</f>
        <v>Supplier E</v>
      </c>
      <c r="P332" s="15">
        <f>Table5[[#This Row],[Total Revenue]]-Table5[[#This Row],[Net Sales Revenue]]</f>
        <v>6480</v>
      </c>
      <c r="Q332" s="15">
        <f>Table5[[#This Row],[Net Sales Revenue]]/Table5[[#This Row],[Units Sold]]</f>
        <v>36.4</v>
      </c>
      <c r="R332">
        <f>VLOOKUP(Table5[[#This Row],[Product ID]],'Product Master'!$A$1:$E$10,5,FALSE)</f>
        <v>20</v>
      </c>
      <c r="S332" s="15">
        <f>Table5[[#This Row],[standard product cost per unit]]*Table5[[#This Row],[Units Sold]]</f>
        <v>36000</v>
      </c>
      <c r="T332" s="15">
        <f>Table5[[#This Row],[Cost of Sales]]-Table5[[#This Row],[Standard cost]]</f>
        <v>0</v>
      </c>
      <c r="U332" s="15">
        <f>Table5[[#This Row],[Net Sales Revenue]]-Table5[[#This Row],[Cost of Sales]]</f>
        <v>29520</v>
      </c>
      <c r="V332" s="17">
        <f>Table5[[#This Row],[GrossProfit]]/Table5[[#This Row],[Net Sales Revenue]]</f>
        <v>0.45054945054945056</v>
      </c>
    </row>
    <row r="333" spans="1:22" ht="14.25" customHeight="1" x14ac:dyDescent="0.25">
      <c r="A333" s="1" t="s">
        <v>406</v>
      </c>
      <c r="B333" s="1" t="s">
        <v>390</v>
      </c>
      <c r="C333" s="1" t="s">
        <v>44</v>
      </c>
      <c r="D333" s="1" t="s">
        <v>29</v>
      </c>
      <c r="E333" s="1" t="s">
        <v>31</v>
      </c>
      <c r="F333" s="1">
        <v>2360</v>
      </c>
      <c r="G333" s="14">
        <v>10</v>
      </c>
      <c r="H333" s="1">
        <v>0.1</v>
      </c>
      <c r="I333" s="14">
        <v>21240</v>
      </c>
      <c r="J333" s="14">
        <v>9440</v>
      </c>
      <c r="K333" s="15">
        <f>Table5[[#This Row],[Selling Price]]*Table5[[#This Row],[Units Sold]]</f>
        <v>23600</v>
      </c>
      <c r="L333" t="str">
        <f t="shared" si="5"/>
        <v>2023-08</v>
      </c>
      <c r="M333" t="str">
        <f>VLOOKUP(Table5[[#This Row],[Store ID]],Table4[[Store ID]:[Store Location]],2)</f>
        <v>Birmingham</v>
      </c>
      <c r="N333" t="str">
        <f>VLOOKUP(Table5[[#This Row],[Store ID]],Table4[[Store ID]:[Region]],3)</f>
        <v>Midlands</v>
      </c>
      <c r="O333" t="str">
        <f>VLOOKUP(Table5[[#This Row],[Product ID]],'Product Master'!$A$2:$D$10,4)</f>
        <v>Supplier F</v>
      </c>
      <c r="P333" s="15">
        <f>Table5[[#This Row],[Total Revenue]]-Table5[[#This Row],[Net Sales Revenue]]</f>
        <v>2360</v>
      </c>
      <c r="Q333" s="15">
        <f>Table5[[#This Row],[Net Sales Revenue]]/Table5[[#This Row],[Units Sold]]</f>
        <v>9</v>
      </c>
      <c r="R333">
        <f>VLOOKUP(Table5[[#This Row],[Product ID]],'Product Master'!$A$1:$E$10,5,FALSE)</f>
        <v>4</v>
      </c>
      <c r="S333" s="15">
        <f>Table5[[#This Row],[standard product cost per unit]]*Table5[[#This Row],[Units Sold]]</f>
        <v>9440</v>
      </c>
      <c r="T333" s="15">
        <f>Table5[[#This Row],[Cost of Sales]]-Table5[[#This Row],[Standard cost]]</f>
        <v>0</v>
      </c>
      <c r="U333" s="15">
        <f>Table5[[#This Row],[Net Sales Revenue]]-Table5[[#This Row],[Cost of Sales]]</f>
        <v>11800</v>
      </c>
      <c r="V333" s="17">
        <f>Table5[[#This Row],[GrossProfit]]/Table5[[#This Row],[Net Sales Revenue]]</f>
        <v>0.55555555555555558</v>
      </c>
    </row>
    <row r="334" spans="1:22" ht="14.25" customHeight="1" x14ac:dyDescent="0.25">
      <c r="A334" s="1" t="s">
        <v>407</v>
      </c>
      <c r="B334" s="1" t="s">
        <v>390</v>
      </c>
      <c r="C334" s="1" t="s">
        <v>44</v>
      </c>
      <c r="D334" s="1" t="s">
        <v>33</v>
      </c>
      <c r="E334" s="1" t="s">
        <v>31</v>
      </c>
      <c r="F334" s="1">
        <v>1672</v>
      </c>
      <c r="G334" s="14">
        <v>22</v>
      </c>
      <c r="H334" s="1">
        <v>0.08</v>
      </c>
      <c r="I334" s="14">
        <v>33841.279999999999</v>
      </c>
      <c r="J334" s="14">
        <v>16720</v>
      </c>
      <c r="K334" s="15">
        <f>Table5[[#This Row],[Selling Price]]*Table5[[#This Row],[Units Sold]]</f>
        <v>36784</v>
      </c>
      <c r="L334" t="str">
        <f t="shared" si="5"/>
        <v>2023-08</v>
      </c>
      <c r="M334" t="str">
        <f>VLOOKUP(Table5[[#This Row],[Store ID]],Table4[[Store ID]:[Store Location]],2)</f>
        <v>Birmingham</v>
      </c>
      <c r="N334" t="str">
        <f>VLOOKUP(Table5[[#This Row],[Store ID]],Table4[[Store ID]:[Region]],3)</f>
        <v>Midlands</v>
      </c>
      <c r="O334" t="str">
        <f>VLOOKUP(Table5[[#This Row],[Product ID]],'Product Master'!$A$2:$D$10,4)</f>
        <v>Supplier F</v>
      </c>
      <c r="P334" s="15">
        <f>Table5[[#This Row],[Total Revenue]]-Table5[[#This Row],[Net Sales Revenue]]</f>
        <v>2942.7200000000012</v>
      </c>
      <c r="Q334" s="15">
        <f>Table5[[#This Row],[Net Sales Revenue]]/Table5[[#This Row],[Units Sold]]</f>
        <v>20.239999999999998</v>
      </c>
      <c r="R334">
        <f>VLOOKUP(Table5[[#This Row],[Product ID]],'Product Master'!$A$1:$E$10,5,FALSE)</f>
        <v>10</v>
      </c>
      <c r="S334" s="15">
        <f>Table5[[#This Row],[standard product cost per unit]]*Table5[[#This Row],[Units Sold]]</f>
        <v>16720</v>
      </c>
      <c r="T334" s="15">
        <f>Table5[[#This Row],[Cost of Sales]]-Table5[[#This Row],[Standard cost]]</f>
        <v>0</v>
      </c>
      <c r="U334" s="15">
        <f>Table5[[#This Row],[Net Sales Revenue]]-Table5[[#This Row],[Cost of Sales]]</f>
        <v>17121.28</v>
      </c>
      <c r="V334" s="17">
        <f>Table5[[#This Row],[GrossProfit]]/Table5[[#This Row],[Net Sales Revenue]]</f>
        <v>0.50592885375494068</v>
      </c>
    </row>
    <row r="335" spans="1:22" ht="14.25" customHeight="1" x14ac:dyDescent="0.25">
      <c r="A335" s="1" t="s">
        <v>408</v>
      </c>
      <c r="B335" s="1" t="s">
        <v>390</v>
      </c>
      <c r="C335" s="1" t="s">
        <v>48</v>
      </c>
      <c r="D335" s="1" t="s">
        <v>6</v>
      </c>
      <c r="E335" s="1" t="s">
        <v>8</v>
      </c>
      <c r="F335" s="1">
        <v>1428</v>
      </c>
      <c r="G335" s="14">
        <v>24</v>
      </c>
      <c r="H335" s="1">
        <v>0.05</v>
      </c>
      <c r="I335" s="14">
        <v>32558.400000000001</v>
      </c>
      <c r="J335" s="14">
        <v>17136</v>
      </c>
      <c r="K335" s="15">
        <f>Table5[[#This Row],[Selling Price]]*Table5[[#This Row],[Units Sold]]</f>
        <v>34272</v>
      </c>
      <c r="L335" t="str">
        <f t="shared" si="5"/>
        <v>2023-08</v>
      </c>
      <c r="M335" t="str">
        <f>VLOOKUP(Table5[[#This Row],[Store ID]],Table4[[Store ID]:[Store Location]],2)</f>
        <v>London Stratford</v>
      </c>
      <c r="N335" t="str">
        <f>VLOOKUP(Table5[[#This Row],[Store ID]],Table4[[Store ID]:[Region]],3)</f>
        <v>South</v>
      </c>
      <c r="O335" t="str">
        <f>VLOOKUP(Table5[[#This Row],[Product ID]],'Product Master'!$A$2:$D$10,4)</f>
        <v>Supplier A</v>
      </c>
      <c r="P335" s="15">
        <f>Table5[[#This Row],[Total Revenue]]-Table5[[#This Row],[Net Sales Revenue]]</f>
        <v>1713.5999999999985</v>
      </c>
      <c r="Q335" s="15">
        <f>Table5[[#This Row],[Net Sales Revenue]]/Table5[[#This Row],[Units Sold]]</f>
        <v>22.8</v>
      </c>
      <c r="R335">
        <f>VLOOKUP(Table5[[#This Row],[Product ID]],'Product Master'!$A$1:$E$10,5,FALSE)</f>
        <v>12</v>
      </c>
      <c r="S335" s="15">
        <f>Table5[[#This Row],[standard product cost per unit]]*Table5[[#This Row],[Units Sold]]</f>
        <v>17136</v>
      </c>
      <c r="T335" s="15">
        <f>Table5[[#This Row],[Cost of Sales]]-Table5[[#This Row],[Standard cost]]</f>
        <v>0</v>
      </c>
      <c r="U335" s="15">
        <f>Table5[[#This Row],[Net Sales Revenue]]-Table5[[#This Row],[Cost of Sales]]</f>
        <v>15422.400000000001</v>
      </c>
      <c r="V335" s="17">
        <f>Table5[[#This Row],[GrossProfit]]/Table5[[#This Row],[Net Sales Revenue]]</f>
        <v>0.47368421052631582</v>
      </c>
    </row>
    <row r="336" spans="1:22" ht="14.25" customHeight="1" x14ac:dyDescent="0.25">
      <c r="A336" s="1" t="s">
        <v>409</v>
      </c>
      <c r="B336" s="1" t="s">
        <v>390</v>
      </c>
      <c r="C336" s="1" t="s">
        <v>48</v>
      </c>
      <c r="D336" s="1" t="s">
        <v>10</v>
      </c>
      <c r="E336" s="1" t="s">
        <v>8</v>
      </c>
      <c r="F336" s="1">
        <v>2724</v>
      </c>
      <c r="G336" s="14">
        <v>50</v>
      </c>
      <c r="H336" s="1">
        <v>0.09</v>
      </c>
      <c r="I336" s="14">
        <v>123942</v>
      </c>
      <c r="J336" s="14">
        <v>76272</v>
      </c>
      <c r="K336" s="15">
        <f>Table5[[#This Row],[Selling Price]]*Table5[[#This Row],[Units Sold]]</f>
        <v>136200</v>
      </c>
      <c r="L336" t="str">
        <f t="shared" si="5"/>
        <v>2023-08</v>
      </c>
      <c r="M336" t="str">
        <f>VLOOKUP(Table5[[#This Row],[Store ID]],Table4[[Store ID]:[Store Location]],2)</f>
        <v>London Stratford</v>
      </c>
      <c r="N336" t="str">
        <f>VLOOKUP(Table5[[#This Row],[Store ID]],Table4[[Store ID]:[Region]],3)</f>
        <v>South</v>
      </c>
      <c r="O336" t="str">
        <f>VLOOKUP(Table5[[#This Row],[Product ID]],'Product Master'!$A$2:$D$10,4)</f>
        <v>Supplier B</v>
      </c>
      <c r="P336" s="15">
        <f>Table5[[#This Row],[Total Revenue]]-Table5[[#This Row],[Net Sales Revenue]]</f>
        <v>12258</v>
      </c>
      <c r="Q336" s="15">
        <f>Table5[[#This Row],[Net Sales Revenue]]/Table5[[#This Row],[Units Sold]]</f>
        <v>45.5</v>
      </c>
      <c r="R336">
        <f>VLOOKUP(Table5[[#This Row],[Product ID]],'Product Master'!$A$1:$E$10,5,FALSE)</f>
        <v>28</v>
      </c>
      <c r="S336" s="15">
        <f>Table5[[#This Row],[standard product cost per unit]]*Table5[[#This Row],[Units Sold]]</f>
        <v>76272</v>
      </c>
      <c r="T336" s="15">
        <f>Table5[[#This Row],[Cost of Sales]]-Table5[[#This Row],[Standard cost]]</f>
        <v>0</v>
      </c>
      <c r="U336" s="15">
        <f>Table5[[#This Row],[Net Sales Revenue]]-Table5[[#This Row],[Cost of Sales]]</f>
        <v>47670</v>
      </c>
      <c r="V336" s="17">
        <f>Table5[[#This Row],[GrossProfit]]/Table5[[#This Row],[Net Sales Revenue]]</f>
        <v>0.38461538461538464</v>
      </c>
    </row>
    <row r="337" spans="1:22" ht="14.25" customHeight="1" x14ac:dyDescent="0.25">
      <c r="A337" s="1" t="s">
        <v>410</v>
      </c>
      <c r="B337" s="1" t="s">
        <v>390</v>
      </c>
      <c r="C337" s="1" t="s">
        <v>48</v>
      </c>
      <c r="D337" s="1" t="s">
        <v>13</v>
      </c>
      <c r="E337" s="1" t="s">
        <v>15</v>
      </c>
      <c r="F337" s="1">
        <v>1388</v>
      </c>
      <c r="G337" s="14">
        <v>28</v>
      </c>
      <c r="H337" s="1">
        <v>7.0000000000000007E-2</v>
      </c>
      <c r="I337" s="14">
        <v>36143.519999999997</v>
      </c>
      <c r="J337" s="14">
        <v>20820</v>
      </c>
      <c r="K337" s="15">
        <f>Table5[[#This Row],[Selling Price]]*Table5[[#This Row],[Units Sold]]</f>
        <v>38864</v>
      </c>
      <c r="L337" t="str">
        <f t="shared" si="5"/>
        <v>2023-08</v>
      </c>
      <c r="M337" t="str">
        <f>VLOOKUP(Table5[[#This Row],[Store ID]],Table4[[Store ID]:[Store Location]],2)</f>
        <v>London Stratford</v>
      </c>
      <c r="N337" t="str">
        <f>VLOOKUP(Table5[[#This Row],[Store ID]],Table4[[Store ID]:[Region]],3)</f>
        <v>South</v>
      </c>
      <c r="O337" t="str">
        <f>VLOOKUP(Table5[[#This Row],[Product ID]],'Product Master'!$A$2:$D$10,4)</f>
        <v>Supplier C</v>
      </c>
      <c r="P337" s="15">
        <f>Table5[[#This Row],[Total Revenue]]-Table5[[#This Row],[Net Sales Revenue]]</f>
        <v>2720.4800000000032</v>
      </c>
      <c r="Q337" s="15">
        <f>Table5[[#This Row],[Net Sales Revenue]]/Table5[[#This Row],[Units Sold]]</f>
        <v>26.04</v>
      </c>
      <c r="R337">
        <f>VLOOKUP(Table5[[#This Row],[Product ID]],'Product Master'!$A$1:$E$10,5,FALSE)</f>
        <v>15</v>
      </c>
      <c r="S337" s="15">
        <f>Table5[[#This Row],[standard product cost per unit]]*Table5[[#This Row],[Units Sold]]</f>
        <v>20820</v>
      </c>
      <c r="T337" s="15">
        <f>Table5[[#This Row],[Cost of Sales]]-Table5[[#This Row],[Standard cost]]</f>
        <v>0</v>
      </c>
      <c r="U337" s="15">
        <f>Table5[[#This Row],[Net Sales Revenue]]-Table5[[#This Row],[Cost of Sales]]</f>
        <v>15323.519999999997</v>
      </c>
      <c r="V337" s="17">
        <f>Table5[[#This Row],[GrossProfit]]/Table5[[#This Row],[Net Sales Revenue]]</f>
        <v>0.42396313364055294</v>
      </c>
    </row>
    <row r="338" spans="1:22" ht="14.25" customHeight="1" x14ac:dyDescent="0.25">
      <c r="A338" s="1" t="s">
        <v>411</v>
      </c>
      <c r="B338" s="1" t="s">
        <v>390</v>
      </c>
      <c r="C338" s="1" t="s">
        <v>48</v>
      </c>
      <c r="D338" s="1" t="s">
        <v>17</v>
      </c>
      <c r="E338" s="1" t="s">
        <v>15</v>
      </c>
      <c r="F338" s="1">
        <v>1236</v>
      </c>
      <c r="G338" s="14">
        <v>35</v>
      </c>
      <c r="H338" s="1">
        <v>0.08</v>
      </c>
      <c r="I338" s="14">
        <v>39799.199999999997</v>
      </c>
      <c r="J338" s="14">
        <v>22248</v>
      </c>
      <c r="K338" s="15">
        <f>Table5[[#This Row],[Selling Price]]*Table5[[#This Row],[Units Sold]]</f>
        <v>43260</v>
      </c>
      <c r="L338" t="str">
        <f t="shared" si="5"/>
        <v>2023-08</v>
      </c>
      <c r="M338" t="str">
        <f>VLOOKUP(Table5[[#This Row],[Store ID]],Table4[[Store ID]:[Store Location]],2)</f>
        <v>London Stratford</v>
      </c>
      <c r="N338" t="str">
        <f>VLOOKUP(Table5[[#This Row],[Store ID]],Table4[[Store ID]:[Region]],3)</f>
        <v>South</v>
      </c>
      <c r="O338" t="str">
        <f>VLOOKUP(Table5[[#This Row],[Product ID]],'Product Master'!$A$2:$D$10,4)</f>
        <v>Supplier C</v>
      </c>
      <c r="P338" s="15">
        <f>Table5[[#This Row],[Total Revenue]]-Table5[[#This Row],[Net Sales Revenue]]</f>
        <v>3460.8000000000029</v>
      </c>
      <c r="Q338" s="15">
        <f>Table5[[#This Row],[Net Sales Revenue]]/Table5[[#This Row],[Units Sold]]</f>
        <v>32.199999999999996</v>
      </c>
      <c r="R338">
        <f>VLOOKUP(Table5[[#This Row],[Product ID]],'Product Master'!$A$1:$E$10,5,FALSE)</f>
        <v>18</v>
      </c>
      <c r="S338" s="15">
        <f>Table5[[#This Row],[standard product cost per unit]]*Table5[[#This Row],[Units Sold]]</f>
        <v>22248</v>
      </c>
      <c r="T338" s="15">
        <f>Table5[[#This Row],[Cost of Sales]]-Table5[[#This Row],[Standard cost]]</f>
        <v>0</v>
      </c>
      <c r="U338" s="15">
        <f>Table5[[#This Row],[Net Sales Revenue]]-Table5[[#This Row],[Cost of Sales]]</f>
        <v>17551.199999999997</v>
      </c>
      <c r="V338" s="17">
        <f>Table5[[#This Row],[GrossProfit]]/Table5[[#This Row],[Net Sales Revenue]]</f>
        <v>0.44099378881987572</v>
      </c>
    </row>
    <row r="339" spans="1:22" ht="14.25" customHeight="1" x14ac:dyDescent="0.25">
      <c r="A339" s="1" t="s">
        <v>412</v>
      </c>
      <c r="B339" s="1" t="s">
        <v>390</v>
      </c>
      <c r="C339" s="1" t="s">
        <v>48</v>
      </c>
      <c r="D339" s="1" t="s">
        <v>19</v>
      </c>
      <c r="E339" s="1" t="s">
        <v>21</v>
      </c>
      <c r="F339" s="1">
        <v>2132</v>
      </c>
      <c r="G339" s="14">
        <v>18</v>
      </c>
      <c r="H339" s="1">
        <v>7.0000000000000007E-2</v>
      </c>
      <c r="I339" s="14">
        <v>35689.68</v>
      </c>
      <c r="J339" s="14">
        <v>19188</v>
      </c>
      <c r="K339" s="15">
        <f>Table5[[#This Row],[Selling Price]]*Table5[[#This Row],[Units Sold]]</f>
        <v>38376</v>
      </c>
      <c r="L339" t="str">
        <f t="shared" si="5"/>
        <v>2023-08</v>
      </c>
      <c r="M339" t="str">
        <f>VLOOKUP(Table5[[#This Row],[Store ID]],Table4[[Store ID]:[Store Location]],2)</f>
        <v>London Stratford</v>
      </c>
      <c r="N339" t="str">
        <f>VLOOKUP(Table5[[#This Row],[Store ID]],Table4[[Store ID]:[Region]],3)</f>
        <v>South</v>
      </c>
      <c r="O339" t="str">
        <f>VLOOKUP(Table5[[#This Row],[Product ID]],'Product Master'!$A$2:$D$10,4)</f>
        <v>Supplier D</v>
      </c>
      <c r="P339" s="15">
        <f>Table5[[#This Row],[Total Revenue]]-Table5[[#This Row],[Net Sales Revenue]]</f>
        <v>2686.3199999999997</v>
      </c>
      <c r="Q339" s="15">
        <f>Table5[[#This Row],[Net Sales Revenue]]/Table5[[#This Row],[Units Sold]]</f>
        <v>16.739999999999998</v>
      </c>
      <c r="R339">
        <f>VLOOKUP(Table5[[#This Row],[Product ID]],'Product Master'!$A$1:$E$10,5,FALSE)</f>
        <v>9</v>
      </c>
      <c r="S339" s="15">
        <f>Table5[[#This Row],[standard product cost per unit]]*Table5[[#This Row],[Units Sold]]</f>
        <v>19188</v>
      </c>
      <c r="T339" s="15">
        <f>Table5[[#This Row],[Cost of Sales]]-Table5[[#This Row],[Standard cost]]</f>
        <v>0</v>
      </c>
      <c r="U339" s="15">
        <f>Table5[[#This Row],[Net Sales Revenue]]-Table5[[#This Row],[Cost of Sales]]</f>
        <v>16501.68</v>
      </c>
      <c r="V339" s="17">
        <f>Table5[[#This Row],[GrossProfit]]/Table5[[#This Row],[Net Sales Revenue]]</f>
        <v>0.46236559139784944</v>
      </c>
    </row>
    <row r="340" spans="1:22" ht="14.25" customHeight="1" x14ac:dyDescent="0.25">
      <c r="A340" s="1" t="s">
        <v>413</v>
      </c>
      <c r="B340" s="1" t="s">
        <v>390</v>
      </c>
      <c r="C340" s="1" t="s">
        <v>48</v>
      </c>
      <c r="D340" s="1" t="s">
        <v>23</v>
      </c>
      <c r="E340" s="1" t="s">
        <v>21</v>
      </c>
      <c r="F340" s="1">
        <v>2436</v>
      </c>
      <c r="G340" s="14">
        <v>30</v>
      </c>
      <c r="H340" s="1">
        <v>0.05</v>
      </c>
      <c r="I340" s="14">
        <v>69426</v>
      </c>
      <c r="J340" s="14">
        <v>34104</v>
      </c>
      <c r="K340" s="15">
        <f>Table5[[#This Row],[Selling Price]]*Table5[[#This Row],[Units Sold]]</f>
        <v>73080</v>
      </c>
      <c r="L340" t="str">
        <f t="shared" si="5"/>
        <v>2023-08</v>
      </c>
      <c r="M340" t="str">
        <f>VLOOKUP(Table5[[#This Row],[Store ID]],Table4[[Store ID]:[Store Location]],2)</f>
        <v>London Stratford</v>
      </c>
      <c r="N340" t="str">
        <f>VLOOKUP(Table5[[#This Row],[Store ID]],Table4[[Store ID]:[Region]],3)</f>
        <v>South</v>
      </c>
      <c r="O340" t="str">
        <f>VLOOKUP(Table5[[#This Row],[Product ID]],'Product Master'!$A$2:$D$10,4)</f>
        <v>Supplier D</v>
      </c>
      <c r="P340" s="15">
        <f>Table5[[#This Row],[Total Revenue]]-Table5[[#This Row],[Net Sales Revenue]]</f>
        <v>3654</v>
      </c>
      <c r="Q340" s="15">
        <f>Table5[[#This Row],[Net Sales Revenue]]/Table5[[#This Row],[Units Sold]]</f>
        <v>28.5</v>
      </c>
      <c r="R340">
        <f>VLOOKUP(Table5[[#This Row],[Product ID]],'Product Master'!$A$1:$E$10,5,FALSE)</f>
        <v>14</v>
      </c>
      <c r="S340" s="15">
        <f>Table5[[#This Row],[standard product cost per unit]]*Table5[[#This Row],[Units Sold]]</f>
        <v>34104</v>
      </c>
      <c r="T340" s="15">
        <f>Table5[[#This Row],[Cost of Sales]]-Table5[[#This Row],[Standard cost]]</f>
        <v>0</v>
      </c>
      <c r="U340" s="15">
        <f>Table5[[#This Row],[Net Sales Revenue]]-Table5[[#This Row],[Cost of Sales]]</f>
        <v>35322</v>
      </c>
      <c r="V340" s="17">
        <f>Table5[[#This Row],[GrossProfit]]/Table5[[#This Row],[Net Sales Revenue]]</f>
        <v>0.50877192982456143</v>
      </c>
    </row>
    <row r="341" spans="1:22" ht="14.25" customHeight="1" x14ac:dyDescent="0.25">
      <c r="A341" s="1" t="s">
        <v>414</v>
      </c>
      <c r="B341" s="1" t="s">
        <v>390</v>
      </c>
      <c r="C341" s="1" t="s">
        <v>48</v>
      </c>
      <c r="D341" s="1" t="s">
        <v>25</v>
      </c>
      <c r="E341" s="1" t="s">
        <v>27</v>
      </c>
      <c r="F341" s="1">
        <v>2156</v>
      </c>
      <c r="G341" s="14">
        <v>40</v>
      </c>
      <c r="H341" s="1">
        <v>0.05</v>
      </c>
      <c r="I341" s="14">
        <v>81928</v>
      </c>
      <c r="J341" s="14">
        <v>43120</v>
      </c>
      <c r="K341" s="15">
        <f>Table5[[#This Row],[Selling Price]]*Table5[[#This Row],[Units Sold]]</f>
        <v>86240</v>
      </c>
      <c r="L341" t="str">
        <f t="shared" si="5"/>
        <v>2023-08</v>
      </c>
      <c r="M341" t="str">
        <f>VLOOKUP(Table5[[#This Row],[Store ID]],Table4[[Store ID]:[Store Location]],2)</f>
        <v>London Stratford</v>
      </c>
      <c r="N341" t="str">
        <f>VLOOKUP(Table5[[#This Row],[Store ID]],Table4[[Store ID]:[Region]],3)</f>
        <v>South</v>
      </c>
      <c r="O341" t="str">
        <f>VLOOKUP(Table5[[#This Row],[Product ID]],'Product Master'!$A$2:$D$10,4)</f>
        <v>Supplier E</v>
      </c>
      <c r="P341" s="15">
        <f>Table5[[#This Row],[Total Revenue]]-Table5[[#This Row],[Net Sales Revenue]]</f>
        <v>4312</v>
      </c>
      <c r="Q341" s="15">
        <f>Table5[[#This Row],[Net Sales Revenue]]/Table5[[#This Row],[Units Sold]]</f>
        <v>38</v>
      </c>
      <c r="R341">
        <f>VLOOKUP(Table5[[#This Row],[Product ID]],'Product Master'!$A$1:$E$10,5,FALSE)</f>
        <v>20</v>
      </c>
      <c r="S341" s="15">
        <f>Table5[[#This Row],[standard product cost per unit]]*Table5[[#This Row],[Units Sold]]</f>
        <v>43120</v>
      </c>
      <c r="T341" s="15">
        <f>Table5[[#This Row],[Cost of Sales]]-Table5[[#This Row],[Standard cost]]</f>
        <v>0</v>
      </c>
      <c r="U341" s="15">
        <f>Table5[[#This Row],[Net Sales Revenue]]-Table5[[#This Row],[Cost of Sales]]</f>
        <v>38808</v>
      </c>
      <c r="V341" s="17">
        <f>Table5[[#This Row],[GrossProfit]]/Table5[[#This Row],[Net Sales Revenue]]</f>
        <v>0.47368421052631576</v>
      </c>
    </row>
    <row r="342" spans="1:22" ht="14.25" customHeight="1" x14ac:dyDescent="0.25">
      <c r="A342" s="1" t="s">
        <v>415</v>
      </c>
      <c r="B342" s="1" t="s">
        <v>390</v>
      </c>
      <c r="C342" s="1" t="s">
        <v>48</v>
      </c>
      <c r="D342" s="1" t="s">
        <v>29</v>
      </c>
      <c r="E342" s="1" t="s">
        <v>31</v>
      </c>
      <c r="F342" s="1">
        <v>2048</v>
      </c>
      <c r="G342" s="14">
        <v>10</v>
      </c>
      <c r="H342" s="1">
        <v>0.06</v>
      </c>
      <c r="I342" s="14">
        <v>19251.2</v>
      </c>
      <c r="J342" s="14">
        <v>8192</v>
      </c>
      <c r="K342" s="15">
        <f>Table5[[#This Row],[Selling Price]]*Table5[[#This Row],[Units Sold]]</f>
        <v>20480</v>
      </c>
      <c r="L342" t="str">
        <f t="shared" si="5"/>
        <v>2023-08</v>
      </c>
      <c r="M342" t="str">
        <f>VLOOKUP(Table5[[#This Row],[Store ID]],Table4[[Store ID]:[Store Location]],2)</f>
        <v>London Stratford</v>
      </c>
      <c r="N342" t="str">
        <f>VLOOKUP(Table5[[#This Row],[Store ID]],Table4[[Store ID]:[Region]],3)</f>
        <v>South</v>
      </c>
      <c r="O342" t="str">
        <f>VLOOKUP(Table5[[#This Row],[Product ID]],'Product Master'!$A$2:$D$10,4)</f>
        <v>Supplier F</v>
      </c>
      <c r="P342" s="15">
        <f>Table5[[#This Row],[Total Revenue]]-Table5[[#This Row],[Net Sales Revenue]]</f>
        <v>1228.7999999999993</v>
      </c>
      <c r="Q342" s="15">
        <f>Table5[[#This Row],[Net Sales Revenue]]/Table5[[#This Row],[Units Sold]]</f>
        <v>9.4</v>
      </c>
      <c r="R342">
        <f>VLOOKUP(Table5[[#This Row],[Product ID]],'Product Master'!$A$1:$E$10,5,FALSE)</f>
        <v>4</v>
      </c>
      <c r="S342" s="15">
        <f>Table5[[#This Row],[standard product cost per unit]]*Table5[[#This Row],[Units Sold]]</f>
        <v>8192</v>
      </c>
      <c r="T342" s="15">
        <f>Table5[[#This Row],[Cost of Sales]]-Table5[[#This Row],[Standard cost]]</f>
        <v>0</v>
      </c>
      <c r="U342" s="15">
        <f>Table5[[#This Row],[Net Sales Revenue]]-Table5[[#This Row],[Cost of Sales]]</f>
        <v>11059.2</v>
      </c>
      <c r="V342" s="17">
        <f>Table5[[#This Row],[GrossProfit]]/Table5[[#This Row],[Net Sales Revenue]]</f>
        <v>0.57446808510638303</v>
      </c>
    </row>
    <row r="343" spans="1:22" ht="14.25" customHeight="1" x14ac:dyDescent="0.25">
      <c r="A343" s="1" t="s">
        <v>416</v>
      </c>
      <c r="B343" s="1" t="s">
        <v>390</v>
      </c>
      <c r="C343" s="1" t="s">
        <v>48</v>
      </c>
      <c r="D343" s="1" t="s">
        <v>33</v>
      </c>
      <c r="E343" s="1" t="s">
        <v>31</v>
      </c>
      <c r="F343" s="1">
        <v>1932</v>
      </c>
      <c r="G343" s="14">
        <v>22</v>
      </c>
      <c r="H343" s="1">
        <v>0.08</v>
      </c>
      <c r="I343" s="14">
        <v>39103.68</v>
      </c>
      <c r="J343" s="14">
        <v>19320</v>
      </c>
      <c r="K343" s="15">
        <f>Table5[[#This Row],[Selling Price]]*Table5[[#This Row],[Units Sold]]</f>
        <v>42504</v>
      </c>
      <c r="L343" t="str">
        <f t="shared" si="5"/>
        <v>2023-08</v>
      </c>
      <c r="M343" t="str">
        <f>VLOOKUP(Table5[[#This Row],[Store ID]],Table4[[Store ID]:[Store Location]],2)</f>
        <v>London Stratford</v>
      </c>
      <c r="N343" t="str">
        <f>VLOOKUP(Table5[[#This Row],[Store ID]],Table4[[Store ID]:[Region]],3)</f>
        <v>South</v>
      </c>
      <c r="O343" t="str">
        <f>VLOOKUP(Table5[[#This Row],[Product ID]],'Product Master'!$A$2:$D$10,4)</f>
        <v>Supplier F</v>
      </c>
      <c r="P343" s="15">
        <f>Table5[[#This Row],[Total Revenue]]-Table5[[#This Row],[Net Sales Revenue]]</f>
        <v>3400.3199999999997</v>
      </c>
      <c r="Q343" s="15">
        <f>Table5[[#This Row],[Net Sales Revenue]]/Table5[[#This Row],[Units Sold]]</f>
        <v>20.239999999999998</v>
      </c>
      <c r="R343">
        <f>VLOOKUP(Table5[[#This Row],[Product ID]],'Product Master'!$A$1:$E$10,5,FALSE)</f>
        <v>10</v>
      </c>
      <c r="S343" s="15">
        <f>Table5[[#This Row],[standard product cost per unit]]*Table5[[#This Row],[Units Sold]]</f>
        <v>19320</v>
      </c>
      <c r="T343" s="15">
        <f>Table5[[#This Row],[Cost of Sales]]-Table5[[#This Row],[Standard cost]]</f>
        <v>0</v>
      </c>
      <c r="U343" s="15">
        <f>Table5[[#This Row],[Net Sales Revenue]]-Table5[[#This Row],[Cost of Sales]]</f>
        <v>19783.68</v>
      </c>
      <c r="V343" s="17">
        <f>Table5[[#This Row],[GrossProfit]]/Table5[[#This Row],[Net Sales Revenue]]</f>
        <v>0.50592885375494068</v>
      </c>
    </row>
    <row r="344" spans="1:22" ht="14.25" customHeight="1" x14ac:dyDescent="0.25">
      <c r="A344" s="1" t="s">
        <v>417</v>
      </c>
      <c r="B344" s="1" t="s">
        <v>390</v>
      </c>
      <c r="C344" s="1" t="s">
        <v>52</v>
      </c>
      <c r="D344" s="1" t="s">
        <v>6</v>
      </c>
      <c r="E344" s="1" t="s">
        <v>8</v>
      </c>
      <c r="F344" s="1">
        <v>1304</v>
      </c>
      <c r="G344" s="14">
        <v>24</v>
      </c>
      <c r="H344" s="1">
        <v>0.08</v>
      </c>
      <c r="I344" s="14">
        <v>28792.32</v>
      </c>
      <c r="J344" s="14">
        <v>15648</v>
      </c>
      <c r="K344" s="15">
        <f>Table5[[#This Row],[Selling Price]]*Table5[[#This Row],[Units Sold]]</f>
        <v>31296</v>
      </c>
      <c r="L344" t="str">
        <f t="shared" si="5"/>
        <v>2023-08</v>
      </c>
      <c r="M344" t="str">
        <f>VLOOKUP(Table5[[#This Row],[Store ID]],Table4[[Store ID]:[Store Location]],2)</f>
        <v>Glasgow</v>
      </c>
      <c r="N344" t="str">
        <f>VLOOKUP(Table5[[#This Row],[Store ID]],Table4[[Store ID]:[Region]],3)</f>
        <v>Scotland</v>
      </c>
      <c r="O344" t="str">
        <f>VLOOKUP(Table5[[#This Row],[Product ID]],'Product Master'!$A$2:$D$10,4)</f>
        <v>Supplier A</v>
      </c>
      <c r="P344" s="15">
        <f>Table5[[#This Row],[Total Revenue]]-Table5[[#This Row],[Net Sales Revenue]]</f>
        <v>2503.6800000000003</v>
      </c>
      <c r="Q344" s="15">
        <f>Table5[[#This Row],[Net Sales Revenue]]/Table5[[#This Row],[Units Sold]]</f>
        <v>22.08</v>
      </c>
      <c r="R344">
        <f>VLOOKUP(Table5[[#This Row],[Product ID]],'Product Master'!$A$1:$E$10,5,FALSE)</f>
        <v>12</v>
      </c>
      <c r="S344" s="15">
        <f>Table5[[#This Row],[standard product cost per unit]]*Table5[[#This Row],[Units Sold]]</f>
        <v>15648</v>
      </c>
      <c r="T344" s="15">
        <f>Table5[[#This Row],[Cost of Sales]]-Table5[[#This Row],[Standard cost]]</f>
        <v>0</v>
      </c>
      <c r="U344" s="15">
        <f>Table5[[#This Row],[Net Sales Revenue]]-Table5[[#This Row],[Cost of Sales]]</f>
        <v>13144.32</v>
      </c>
      <c r="V344" s="17">
        <f>Table5[[#This Row],[GrossProfit]]/Table5[[#This Row],[Net Sales Revenue]]</f>
        <v>0.45652173913043476</v>
      </c>
    </row>
    <row r="345" spans="1:22" ht="14.25" customHeight="1" x14ac:dyDescent="0.25">
      <c r="A345" s="1" t="s">
        <v>418</v>
      </c>
      <c r="B345" s="1" t="s">
        <v>390</v>
      </c>
      <c r="C345" s="1" t="s">
        <v>52</v>
      </c>
      <c r="D345" s="1" t="s">
        <v>10</v>
      </c>
      <c r="E345" s="1" t="s">
        <v>8</v>
      </c>
      <c r="F345" s="1">
        <v>2216</v>
      </c>
      <c r="G345" s="14">
        <v>50</v>
      </c>
      <c r="H345" s="1">
        <v>0.08</v>
      </c>
      <c r="I345" s="14">
        <v>101936</v>
      </c>
      <c r="J345" s="14">
        <v>62048</v>
      </c>
      <c r="K345" s="15">
        <f>Table5[[#This Row],[Selling Price]]*Table5[[#This Row],[Units Sold]]</f>
        <v>110800</v>
      </c>
      <c r="L345" t="str">
        <f t="shared" si="5"/>
        <v>2023-08</v>
      </c>
      <c r="M345" t="str">
        <f>VLOOKUP(Table5[[#This Row],[Store ID]],Table4[[Store ID]:[Store Location]],2)</f>
        <v>Glasgow</v>
      </c>
      <c r="N345" t="str">
        <f>VLOOKUP(Table5[[#This Row],[Store ID]],Table4[[Store ID]:[Region]],3)</f>
        <v>Scotland</v>
      </c>
      <c r="O345" t="str">
        <f>VLOOKUP(Table5[[#This Row],[Product ID]],'Product Master'!$A$2:$D$10,4)</f>
        <v>Supplier B</v>
      </c>
      <c r="P345" s="15">
        <f>Table5[[#This Row],[Total Revenue]]-Table5[[#This Row],[Net Sales Revenue]]</f>
        <v>8864</v>
      </c>
      <c r="Q345" s="15">
        <f>Table5[[#This Row],[Net Sales Revenue]]/Table5[[#This Row],[Units Sold]]</f>
        <v>46</v>
      </c>
      <c r="R345">
        <f>VLOOKUP(Table5[[#This Row],[Product ID]],'Product Master'!$A$1:$E$10,5,FALSE)</f>
        <v>28</v>
      </c>
      <c r="S345" s="15">
        <f>Table5[[#This Row],[standard product cost per unit]]*Table5[[#This Row],[Units Sold]]</f>
        <v>62048</v>
      </c>
      <c r="T345" s="15">
        <f>Table5[[#This Row],[Cost of Sales]]-Table5[[#This Row],[Standard cost]]</f>
        <v>0</v>
      </c>
      <c r="U345" s="15">
        <f>Table5[[#This Row],[Net Sales Revenue]]-Table5[[#This Row],[Cost of Sales]]</f>
        <v>39888</v>
      </c>
      <c r="V345" s="17">
        <f>Table5[[#This Row],[GrossProfit]]/Table5[[#This Row],[Net Sales Revenue]]</f>
        <v>0.39130434782608697</v>
      </c>
    </row>
    <row r="346" spans="1:22" ht="14.25" customHeight="1" x14ac:dyDescent="0.25">
      <c r="A346" s="1" t="s">
        <v>419</v>
      </c>
      <c r="B346" s="1" t="s">
        <v>390</v>
      </c>
      <c r="C346" s="1" t="s">
        <v>52</v>
      </c>
      <c r="D346" s="1" t="s">
        <v>13</v>
      </c>
      <c r="E346" s="1" t="s">
        <v>15</v>
      </c>
      <c r="F346" s="1">
        <v>2284</v>
      </c>
      <c r="G346" s="14">
        <v>28</v>
      </c>
      <c r="H346" s="1">
        <v>0.06</v>
      </c>
      <c r="I346" s="14">
        <v>60114.879999999997</v>
      </c>
      <c r="J346" s="14">
        <v>34260</v>
      </c>
      <c r="K346" s="15">
        <f>Table5[[#This Row],[Selling Price]]*Table5[[#This Row],[Units Sold]]</f>
        <v>63952</v>
      </c>
      <c r="L346" t="str">
        <f t="shared" si="5"/>
        <v>2023-08</v>
      </c>
      <c r="M346" t="str">
        <f>VLOOKUP(Table5[[#This Row],[Store ID]],Table4[[Store ID]:[Store Location]],2)</f>
        <v>Glasgow</v>
      </c>
      <c r="N346" t="str">
        <f>VLOOKUP(Table5[[#This Row],[Store ID]],Table4[[Store ID]:[Region]],3)</f>
        <v>Scotland</v>
      </c>
      <c r="O346" t="str">
        <f>VLOOKUP(Table5[[#This Row],[Product ID]],'Product Master'!$A$2:$D$10,4)</f>
        <v>Supplier C</v>
      </c>
      <c r="P346" s="15">
        <f>Table5[[#This Row],[Total Revenue]]-Table5[[#This Row],[Net Sales Revenue]]</f>
        <v>3837.1200000000026</v>
      </c>
      <c r="Q346" s="15">
        <f>Table5[[#This Row],[Net Sales Revenue]]/Table5[[#This Row],[Units Sold]]</f>
        <v>26.32</v>
      </c>
      <c r="R346">
        <f>VLOOKUP(Table5[[#This Row],[Product ID]],'Product Master'!$A$1:$E$10,5,FALSE)</f>
        <v>15</v>
      </c>
      <c r="S346" s="15">
        <f>Table5[[#This Row],[standard product cost per unit]]*Table5[[#This Row],[Units Sold]]</f>
        <v>34260</v>
      </c>
      <c r="T346" s="15">
        <f>Table5[[#This Row],[Cost of Sales]]-Table5[[#This Row],[Standard cost]]</f>
        <v>0</v>
      </c>
      <c r="U346" s="15">
        <f>Table5[[#This Row],[Net Sales Revenue]]-Table5[[#This Row],[Cost of Sales]]</f>
        <v>25854.879999999997</v>
      </c>
      <c r="V346" s="17">
        <f>Table5[[#This Row],[GrossProfit]]/Table5[[#This Row],[Net Sales Revenue]]</f>
        <v>0.43009118541033431</v>
      </c>
    </row>
    <row r="347" spans="1:22" ht="14.25" customHeight="1" x14ac:dyDescent="0.25">
      <c r="A347" s="1" t="s">
        <v>420</v>
      </c>
      <c r="B347" s="1" t="s">
        <v>390</v>
      </c>
      <c r="C347" s="1" t="s">
        <v>52</v>
      </c>
      <c r="D347" s="1" t="s">
        <v>17</v>
      </c>
      <c r="E347" s="1" t="s">
        <v>15</v>
      </c>
      <c r="F347" s="1">
        <v>2728</v>
      </c>
      <c r="G347" s="14">
        <v>35</v>
      </c>
      <c r="H347" s="1">
        <v>0.09</v>
      </c>
      <c r="I347" s="14">
        <v>86886.8</v>
      </c>
      <c r="J347" s="14">
        <v>49104</v>
      </c>
      <c r="K347" s="15">
        <f>Table5[[#This Row],[Selling Price]]*Table5[[#This Row],[Units Sold]]</f>
        <v>95480</v>
      </c>
      <c r="L347" t="str">
        <f t="shared" si="5"/>
        <v>2023-08</v>
      </c>
      <c r="M347" t="str">
        <f>VLOOKUP(Table5[[#This Row],[Store ID]],Table4[[Store ID]:[Store Location]],2)</f>
        <v>Glasgow</v>
      </c>
      <c r="N347" t="str">
        <f>VLOOKUP(Table5[[#This Row],[Store ID]],Table4[[Store ID]:[Region]],3)</f>
        <v>Scotland</v>
      </c>
      <c r="O347" t="str">
        <f>VLOOKUP(Table5[[#This Row],[Product ID]],'Product Master'!$A$2:$D$10,4)</f>
        <v>Supplier C</v>
      </c>
      <c r="P347" s="15">
        <f>Table5[[#This Row],[Total Revenue]]-Table5[[#This Row],[Net Sales Revenue]]</f>
        <v>8593.1999999999971</v>
      </c>
      <c r="Q347" s="15">
        <f>Table5[[#This Row],[Net Sales Revenue]]/Table5[[#This Row],[Units Sold]]</f>
        <v>31.85</v>
      </c>
      <c r="R347">
        <f>VLOOKUP(Table5[[#This Row],[Product ID]],'Product Master'!$A$1:$E$10,5,FALSE)</f>
        <v>18</v>
      </c>
      <c r="S347" s="15">
        <f>Table5[[#This Row],[standard product cost per unit]]*Table5[[#This Row],[Units Sold]]</f>
        <v>49104</v>
      </c>
      <c r="T347" s="15">
        <f>Table5[[#This Row],[Cost of Sales]]-Table5[[#This Row],[Standard cost]]</f>
        <v>0</v>
      </c>
      <c r="U347" s="15">
        <f>Table5[[#This Row],[Net Sales Revenue]]-Table5[[#This Row],[Cost of Sales]]</f>
        <v>37782.800000000003</v>
      </c>
      <c r="V347" s="17">
        <f>Table5[[#This Row],[GrossProfit]]/Table5[[#This Row],[Net Sales Revenue]]</f>
        <v>0.43485086342229201</v>
      </c>
    </row>
    <row r="348" spans="1:22" ht="14.25" customHeight="1" x14ac:dyDescent="0.25">
      <c r="A348" s="1" t="s">
        <v>421</v>
      </c>
      <c r="B348" s="1" t="s">
        <v>390</v>
      </c>
      <c r="C348" s="1" t="s">
        <v>52</v>
      </c>
      <c r="D348" s="1" t="s">
        <v>19</v>
      </c>
      <c r="E348" s="1" t="s">
        <v>21</v>
      </c>
      <c r="F348" s="1">
        <v>2664</v>
      </c>
      <c r="G348" s="14">
        <v>18</v>
      </c>
      <c r="H348" s="1">
        <v>0.09</v>
      </c>
      <c r="I348" s="14">
        <v>43636.32</v>
      </c>
      <c r="J348" s="14">
        <v>23976</v>
      </c>
      <c r="K348" s="15">
        <f>Table5[[#This Row],[Selling Price]]*Table5[[#This Row],[Units Sold]]</f>
        <v>47952</v>
      </c>
      <c r="L348" t="str">
        <f t="shared" si="5"/>
        <v>2023-08</v>
      </c>
      <c r="M348" t="str">
        <f>VLOOKUP(Table5[[#This Row],[Store ID]],Table4[[Store ID]:[Store Location]],2)</f>
        <v>Glasgow</v>
      </c>
      <c r="N348" t="str">
        <f>VLOOKUP(Table5[[#This Row],[Store ID]],Table4[[Store ID]:[Region]],3)</f>
        <v>Scotland</v>
      </c>
      <c r="O348" t="str">
        <f>VLOOKUP(Table5[[#This Row],[Product ID]],'Product Master'!$A$2:$D$10,4)</f>
        <v>Supplier D</v>
      </c>
      <c r="P348" s="15">
        <f>Table5[[#This Row],[Total Revenue]]-Table5[[#This Row],[Net Sales Revenue]]</f>
        <v>4315.68</v>
      </c>
      <c r="Q348" s="15">
        <f>Table5[[#This Row],[Net Sales Revenue]]/Table5[[#This Row],[Units Sold]]</f>
        <v>16.38</v>
      </c>
      <c r="R348">
        <f>VLOOKUP(Table5[[#This Row],[Product ID]],'Product Master'!$A$1:$E$10,5,FALSE)</f>
        <v>9</v>
      </c>
      <c r="S348" s="15">
        <f>Table5[[#This Row],[standard product cost per unit]]*Table5[[#This Row],[Units Sold]]</f>
        <v>23976</v>
      </c>
      <c r="T348" s="15">
        <f>Table5[[#This Row],[Cost of Sales]]-Table5[[#This Row],[Standard cost]]</f>
        <v>0</v>
      </c>
      <c r="U348" s="15">
        <f>Table5[[#This Row],[Net Sales Revenue]]-Table5[[#This Row],[Cost of Sales]]</f>
        <v>19660.32</v>
      </c>
      <c r="V348" s="17">
        <f>Table5[[#This Row],[GrossProfit]]/Table5[[#This Row],[Net Sales Revenue]]</f>
        <v>0.45054945054945056</v>
      </c>
    </row>
    <row r="349" spans="1:22" ht="14.25" customHeight="1" x14ac:dyDescent="0.25">
      <c r="A349" s="1" t="s">
        <v>422</v>
      </c>
      <c r="B349" s="1" t="s">
        <v>390</v>
      </c>
      <c r="C349" s="1" t="s">
        <v>52</v>
      </c>
      <c r="D349" s="1" t="s">
        <v>23</v>
      </c>
      <c r="E349" s="1" t="s">
        <v>21</v>
      </c>
      <c r="F349" s="1">
        <v>1528</v>
      </c>
      <c r="G349" s="14">
        <v>30</v>
      </c>
      <c r="H349" s="1">
        <v>0.1</v>
      </c>
      <c r="I349" s="14">
        <v>41256</v>
      </c>
      <c r="J349" s="14">
        <v>21392</v>
      </c>
      <c r="K349" s="15">
        <f>Table5[[#This Row],[Selling Price]]*Table5[[#This Row],[Units Sold]]</f>
        <v>45840</v>
      </c>
      <c r="L349" t="str">
        <f t="shared" si="5"/>
        <v>2023-08</v>
      </c>
      <c r="M349" t="str">
        <f>VLOOKUP(Table5[[#This Row],[Store ID]],Table4[[Store ID]:[Store Location]],2)</f>
        <v>Glasgow</v>
      </c>
      <c r="N349" t="str">
        <f>VLOOKUP(Table5[[#This Row],[Store ID]],Table4[[Store ID]:[Region]],3)</f>
        <v>Scotland</v>
      </c>
      <c r="O349" t="str">
        <f>VLOOKUP(Table5[[#This Row],[Product ID]],'Product Master'!$A$2:$D$10,4)</f>
        <v>Supplier D</v>
      </c>
      <c r="P349" s="15">
        <f>Table5[[#This Row],[Total Revenue]]-Table5[[#This Row],[Net Sales Revenue]]</f>
        <v>4584</v>
      </c>
      <c r="Q349" s="15">
        <f>Table5[[#This Row],[Net Sales Revenue]]/Table5[[#This Row],[Units Sold]]</f>
        <v>27</v>
      </c>
      <c r="R349">
        <f>VLOOKUP(Table5[[#This Row],[Product ID]],'Product Master'!$A$1:$E$10,5,FALSE)</f>
        <v>14</v>
      </c>
      <c r="S349" s="15">
        <f>Table5[[#This Row],[standard product cost per unit]]*Table5[[#This Row],[Units Sold]]</f>
        <v>21392</v>
      </c>
      <c r="T349" s="15">
        <f>Table5[[#This Row],[Cost of Sales]]-Table5[[#This Row],[Standard cost]]</f>
        <v>0</v>
      </c>
      <c r="U349" s="15">
        <f>Table5[[#This Row],[Net Sales Revenue]]-Table5[[#This Row],[Cost of Sales]]</f>
        <v>19864</v>
      </c>
      <c r="V349" s="17">
        <f>Table5[[#This Row],[GrossProfit]]/Table5[[#This Row],[Net Sales Revenue]]</f>
        <v>0.48148148148148145</v>
      </c>
    </row>
    <row r="350" spans="1:22" ht="14.25" customHeight="1" x14ac:dyDescent="0.25">
      <c r="A350" s="1" t="s">
        <v>423</v>
      </c>
      <c r="B350" s="1" t="s">
        <v>390</v>
      </c>
      <c r="C350" s="1" t="s">
        <v>52</v>
      </c>
      <c r="D350" s="1" t="s">
        <v>25</v>
      </c>
      <c r="E350" s="1" t="s">
        <v>27</v>
      </c>
      <c r="F350" s="1">
        <v>1392</v>
      </c>
      <c r="G350" s="14">
        <v>40</v>
      </c>
      <c r="H350" s="1">
        <v>0.06</v>
      </c>
      <c r="I350" s="14">
        <v>52339.199999999997</v>
      </c>
      <c r="J350" s="14">
        <v>27840</v>
      </c>
      <c r="K350" s="15">
        <f>Table5[[#This Row],[Selling Price]]*Table5[[#This Row],[Units Sold]]</f>
        <v>55680</v>
      </c>
      <c r="L350" t="str">
        <f t="shared" si="5"/>
        <v>2023-08</v>
      </c>
      <c r="M350" t="str">
        <f>VLOOKUP(Table5[[#This Row],[Store ID]],Table4[[Store ID]:[Store Location]],2)</f>
        <v>Glasgow</v>
      </c>
      <c r="N350" t="str">
        <f>VLOOKUP(Table5[[#This Row],[Store ID]],Table4[[Store ID]:[Region]],3)</f>
        <v>Scotland</v>
      </c>
      <c r="O350" t="str">
        <f>VLOOKUP(Table5[[#This Row],[Product ID]],'Product Master'!$A$2:$D$10,4)</f>
        <v>Supplier E</v>
      </c>
      <c r="P350" s="15">
        <f>Table5[[#This Row],[Total Revenue]]-Table5[[#This Row],[Net Sales Revenue]]</f>
        <v>3340.8000000000029</v>
      </c>
      <c r="Q350" s="15">
        <f>Table5[[#This Row],[Net Sales Revenue]]/Table5[[#This Row],[Units Sold]]</f>
        <v>37.6</v>
      </c>
      <c r="R350">
        <f>VLOOKUP(Table5[[#This Row],[Product ID]],'Product Master'!$A$1:$E$10,5,FALSE)</f>
        <v>20</v>
      </c>
      <c r="S350" s="15">
        <f>Table5[[#This Row],[standard product cost per unit]]*Table5[[#This Row],[Units Sold]]</f>
        <v>27840</v>
      </c>
      <c r="T350" s="15">
        <f>Table5[[#This Row],[Cost of Sales]]-Table5[[#This Row],[Standard cost]]</f>
        <v>0</v>
      </c>
      <c r="U350" s="15">
        <f>Table5[[#This Row],[Net Sales Revenue]]-Table5[[#This Row],[Cost of Sales]]</f>
        <v>24499.199999999997</v>
      </c>
      <c r="V350" s="17">
        <f>Table5[[#This Row],[GrossProfit]]/Table5[[#This Row],[Net Sales Revenue]]</f>
        <v>0.46808510638297868</v>
      </c>
    </row>
    <row r="351" spans="1:22" ht="14.25" customHeight="1" x14ac:dyDescent="0.25">
      <c r="A351" s="1" t="s">
        <v>424</v>
      </c>
      <c r="B351" s="1" t="s">
        <v>390</v>
      </c>
      <c r="C351" s="1" t="s">
        <v>52</v>
      </c>
      <c r="D351" s="1" t="s">
        <v>29</v>
      </c>
      <c r="E351" s="1" t="s">
        <v>31</v>
      </c>
      <c r="F351" s="1">
        <v>2784</v>
      </c>
      <c r="G351" s="14">
        <v>10</v>
      </c>
      <c r="H351" s="1">
        <v>0.1</v>
      </c>
      <c r="I351" s="14">
        <v>25056</v>
      </c>
      <c r="J351" s="14">
        <v>11136</v>
      </c>
      <c r="K351" s="15">
        <f>Table5[[#This Row],[Selling Price]]*Table5[[#This Row],[Units Sold]]</f>
        <v>27840</v>
      </c>
      <c r="L351" t="str">
        <f t="shared" si="5"/>
        <v>2023-08</v>
      </c>
      <c r="M351" t="str">
        <f>VLOOKUP(Table5[[#This Row],[Store ID]],Table4[[Store ID]:[Store Location]],2)</f>
        <v>Glasgow</v>
      </c>
      <c r="N351" t="str">
        <f>VLOOKUP(Table5[[#This Row],[Store ID]],Table4[[Store ID]:[Region]],3)</f>
        <v>Scotland</v>
      </c>
      <c r="O351" t="str">
        <f>VLOOKUP(Table5[[#This Row],[Product ID]],'Product Master'!$A$2:$D$10,4)</f>
        <v>Supplier F</v>
      </c>
      <c r="P351" s="15">
        <f>Table5[[#This Row],[Total Revenue]]-Table5[[#This Row],[Net Sales Revenue]]</f>
        <v>2784</v>
      </c>
      <c r="Q351" s="15">
        <f>Table5[[#This Row],[Net Sales Revenue]]/Table5[[#This Row],[Units Sold]]</f>
        <v>9</v>
      </c>
      <c r="R351">
        <f>VLOOKUP(Table5[[#This Row],[Product ID]],'Product Master'!$A$1:$E$10,5,FALSE)</f>
        <v>4</v>
      </c>
      <c r="S351" s="15">
        <f>Table5[[#This Row],[standard product cost per unit]]*Table5[[#This Row],[Units Sold]]</f>
        <v>11136</v>
      </c>
      <c r="T351" s="15">
        <f>Table5[[#This Row],[Cost of Sales]]-Table5[[#This Row],[Standard cost]]</f>
        <v>0</v>
      </c>
      <c r="U351" s="15">
        <f>Table5[[#This Row],[Net Sales Revenue]]-Table5[[#This Row],[Cost of Sales]]</f>
        <v>13920</v>
      </c>
      <c r="V351" s="17">
        <f>Table5[[#This Row],[GrossProfit]]/Table5[[#This Row],[Net Sales Revenue]]</f>
        <v>0.55555555555555558</v>
      </c>
    </row>
    <row r="352" spans="1:22" ht="14.25" customHeight="1" x14ac:dyDescent="0.25">
      <c r="A352" s="1" t="s">
        <v>425</v>
      </c>
      <c r="B352" s="1" t="s">
        <v>390</v>
      </c>
      <c r="C352" s="1" t="s">
        <v>52</v>
      </c>
      <c r="D352" s="1" t="s">
        <v>33</v>
      </c>
      <c r="E352" s="1" t="s">
        <v>31</v>
      </c>
      <c r="F352" s="1">
        <v>2676</v>
      </c>
      <c r="G352" s="14">
        <v>22</v>
      </c>
      <c r="H352" s="1">
        <v>0.1</v>
      </c>
      <c r="I352" s="14">
        <v>52984.800000000003</v>
      </c>
      <c r="J352" s="14">
        <v>26760</v>
      </c>
      <c r="K352" s="15">
        <f>Table5[[#This Row],[Selling Price]]*Table5[[#This Row],[Units Sold]]</f>
        <v>58872</v>
      </c>
      <c r="L352" t="str">
        <f t="shared" si="5"/>
        <v>2023-08</v>
      </c>
      <c r="M352" t="str">
        <f>VLOOKUP(Table5[[#This Row],[Store ID]],Table4[[Store ID]:[Store Location]],2)</f>
        <v>Glasgow</v>
      </c>
      <c r="N352" t="str">
        <f>VLOOKUP(Table5[[#This Row],[Store ID]],Table4[[Store ID]:[Region]],3)</f>
        <v>Scotland</v>
      </c>
      <c r="O352" t="str">
        <f>VLOOKUP(Table5[[#This Row],[Product ID]],'Product Master'!$A$2:$D$10,4)</f>
        <v>Supplier F</v>
      </c>
      <c r="P352" s="15">
        <f>Table5[[#This Row],[Total Revenue]]-Table5[[#This Row],[Net Sales Revenue]]</f>
        <v>5887.1999999999971</v>
      </c>
      <c r="Q352" s="15">
        <f>Table5[[#This Row],[Net Sales Revenue]]/Table5[[#This Row],[Units Sold]]</f>
        <v>19.8</v>
      </c>
      <c r="R352">
        <f>VLOOKUP(Table5[[#This Row],[Product ID]],'Product Master'!$A$1:$E$10,5,FALSE)</f>
        <v>10</v>
      </c>
      <c r="S352" s="15">
        <f>Table5[[#This Row],[standard product cost per unit]]*Table5[[#This Row],[Units Sold]]</f>
        <v>26760</v>
      </c>
      <c r="T352" s="15">
        <f>Table5[[#This Row],[Cost of Sales]]-Table5[[#This Row],[Standard cost]]</f>
        <v>0</v>
      </c>
      <c r="U352" s="15">
        <f>Table5[[#This Row],[Net Sales Revenue]]-Table5[[#This Row],[Cost of Sales]]</f>
        <v>26224.800000000003</v>
      </c>
      <c r="V352" s="17">
        <f>Table5[[#This Row],[GrossProfit]]/Table5[[#This Row],[Net Sales Revenue]]</f>
        <v>0.49494949494949497</v>
      </c>
    </row>
    <row r="353" spans="1:22" ht="14.25" customHeight="1" x14ac:dyDescent="0.25">
      <c r="A353" s="1" t="s">
        <v>426</v>
      </c>
      <c r="B353" s="1" t="s">
        <v>390</v>
      </c>
      <c r="C353" s="1" t="s">
        <v>56</v>
      </c>
      <c r="D353" s="1" t="s">
        <v>6</v>
      </c>
      <c r="E353" s="1" t="s">
        <v>8</v>
      </c>
      <c r="F353" s="1">
        <v>1564</v>
      </c>
      <c r="G353" s="14">
        <v>24</v>
      </c>
      <c r="H353" s="1">
        <v>0.08</v>
      </c>
      <c r="I353" s="14">
        <v>34533.120000000003</v>
      </c>
      <c r="J353" s="14">
        <v>18768</v>
      </c>
      <c r="K353" s="15">
        <f>Table5[[#This Row],[Selling Price]]*Table5[[#This Row],[Units Sold]]</f>
        <v>37536</v>
      </c>
      <c r="L353" t="str">
        <f t="shared" si="5"/>
        <v>2023-08</v>
      </c>
      <c r="M353" t="str">
        <f>VLOOKUP(Table5[[#This Row],[Store ID]],Table4[[Store ID]:[Store Location]],2)</f>
        <v>Leeds</v>
      </c>
      <c r="N353" t="str">
        <f>VLOOKUP(Table5[[#This Row],[Store ID]],Table4[[Store ID]:[Region]],3)</f>
        <v>North</v>
      </c>
      <c r="O353" t="str">
        <f>VLOOKUP(Table5[[#This Row],[Product ID]],'Product Master'!$A$2:$D$10,4)</f>
        <v>Supplier A</v>
      </c>
      <c r="P353" s="15">
        <f>Table5[[#This Row],[Total Revenue]]-Table5[[#This Row],[Net Sales Revenue]]</f>
        <v>3002.8799999999974</v>
      </c>
      <c r="Q353" s="15">
        <f>Table5[[#This Row],[Net Sales Revenue]]/Table5[[#This Row],[Units Sold]]</f>
        <v>22.080000000000002</v>
      </c>
      <c r="R353">
        <f>VLOOKUP(Table5[[#This Row],[Product ID]],'Product Master'!$A$1:$E$10,5,FALSE)</f>
        <v>12</v>
      </c>
      <c r="S353" s="15">
        <f>Table5[[#This Row],[standard product cost per unit]]*Table5[[#This Row],[Units Sold]]</f>
        <v>18768</v>
      </c>
      <c r="T353" s="15">
        <f>Table5[[#This Row],[Cost of Sales]]-Table5[[#This Row],[Standard cost]]</f>
        <v>0</v>
      </c>
      <c r="U353" s="15">
        <f>Table5[[#This Row],[Net Sales Revenue]]-Table5[[#This Row],[Cost of Sales]]</f>
        <v>15765.120000000003</v>
      </c>
      <c r="V353" s="17">
        <f>Table5[[#This Row],[GrossProfit]]/Table5[[#This Row],[Net Sales Revenue]]</f>
        <v>0.45652173913043481</v>
      </c>
    </row>
    <row r="354" spans="1:22" ht="14.25" customHeight="1" x14ac:dyDescent="0.25">
      <c r="A354" s="1" t="s">
        <v>427</v>
      </c>
      <c r="B354" s="1" t="s">
        <v>390</v>
      </c>
      <c r="C354" s="1" t="s">
        <v>56</v>
      </c>
      <c r="D354" s="1" t="s">
        <v>10</v>
      </c>
      <c r="E354" s="1" t="s">
        <v>8</v>
      </c>
      <c r="F354" s="1">
        <v>2152</v>
      </c>
      <c r="G354" s="14">
        <v>50</v>
      </c>
      <c r="H354" s="1">
        <v>7.0000000000000007E-2</v>
      </c>
      <c r="I354" s="14">
        <v>100068</v>
      </c>
      <c r="J354" s="14">
        <v>60256</v>
      </c>
      <c r="K354" s="15">
        <f>Table5[[#This Row],[Selling Price]]*Table5[[#This Row],[Units Sold]]</f>
        <v>107600</v>
      </c>
      <c r="L354" t="str">
        <f t="shared" si="5"/>
        <v>2023-08</v>
      </c>
      <c r="M354" t="str">
        <f>VLOOKUP(Table5[[#This Row],[Store ID]],Table4[[Store ID]:[Store Location]],2)</f>
        <v>Leeds</v>
      </c>
      <c r="N354" t="str">
        <f>VLOOKUP(Table5[[#This Row],[Store ID]],Table4[[Store ID]:[Region]],3)</f>
        <v>North</v>
      </c>
      <c r="O354" t="str">
        <f>VLOOKUP(Table5[[#This Row],[Product ID]],'Product Master'!$A$2:$D$10,4)</f>
        <v>Supplier B</v>
      </c>
      <c r="P354" s="15">
        <f>Table5[[#This Row],[Total Revenue]]-Table5[[#This Row],[Net Sales Revenue]]</f>
        <v>7532</v>
      </c>
      <c r="Q354" s="15">
        <f>Table5[[#This Row],[Net Sales Revenue]]/Table5[[#This Row],[Units Sold]]</f>
        <v>46.5</v>
      </c>
      <c r="R354">
        <f>VLOOKUP(Table5[[#This Row],[Product ID]],'Product Master'!$A$1:$E$10,5,FALSE)</f>
        <v>28</v>
      </c>
      <c r="S354" s="15">
        <f>Table5[[#This Row],[standard product cost per unit]]*Table5[[#This Row],[Units Sold]]</f>
        <v>60256</v>
      </c>
      <c r="T354" s="15">
        <f>Table5[[#This Row],[Cost of Sales]]-Table5[[#This Row],[Standard cost]]</f>
        <v>0</v>
      </c>
      <c r="U354" s="15">
        <f>Table5[[#This Row],[Net Sales Revenue]]-Table5[[#This Row],[Cost of Sales]]</f>
        <v>39812</v>
      </c>
      <c r="V354" s="17">
        <f>Table5[[#This Row],[GrossProfit]]/Table5[[#This Row],[Net Sales Revenue]]</f>
        <v>0.39784946236559138</v>
      </c>
    </row>
    <row r="355" spans="1:22" ht="14.25" customHeight="1" x14ac:dyDescent="0.25">
      <c r="A355" s="1" t="s">
        <v>428</v>
      </c>
      <c r="B355" s="1" t="s">
        <v>390</v>
      </c>
      <c r="C355" s="1" t="s">
        <v>56</v>
      </c>
      <c r="D355" s="1" t="s">
        <v>13</v>
      </c>
      <c r="E355" s="1" t="s">
        <v>15</v>
      </c>
      <c r="F355" s="1">
        <v>2284</v>
      </c>
      <c r="G355" s="14">
        <v>28</v>
      </c>
      <c r="H355" s="1">
        <v>0.09</v>
      </c>
      <c r="I355" s="14">
        <v>58196.32</v>
      </c>
      <c r="J355" s="14">
        <v>34260</v>
      </c>
      <c r="K355" s="15">
        <f>Table5[[#This Row],[Selling Price]]*Table5[[#This Row],[Units Sold]]</f>
        <v>63952</v>
      </c>
      <c r="L355" t="str">
        <f t="shared" si="5"/>
        <v>2023-08</v>
      </c>
      <c r="M355" t="str">
        <f>VLOOKUP(Table5[[#This Row],[Store ID]],Table4[[Store ID]:[Store Location]],2)</f>
        <v>Leeds</v>
      </c>
      <c r="N355" t="str">
        <f>VLOOKUP(Table5[[#This Row],[Store ID]],Table4[[Store ID]:[Region]],3)</f>
        <v>North</v>
      </c>
      <c r="O355" t="str">
        <f>VLOOKUP(Table5[[#This Row],[Product ID]],'Product Master'!$A$2:$D$10,4)</f>
        <v>Supplier C</v>
      </c>
      <c r="P355" s="15">
        <f>Table5[[#This Row],[Total Revenue]]-Table5[[#This Row],[Net Sales Revenue]]</f>
        <v>5755.68</v>
      </c>
      <c r="Q355" s="15">
        <f>Table5[[#This Row],[Net Sales Revenue]]/Table5[[#This Row],[Units Sold]]</f>
        <v>25.48</v>
      </c>
      <c r="R355">
        <f>VLOOKUP(Table5[[#This Row],[Product ID]],'Product Master'!$A$1:$E$10,5,FALSE)</f>
        <v>15</v>
      </c>
      <c r="S355" s="15">
        <f>Table5[[#This Row],[standard product cost per unit]]*Table5[[#This Row],[Units Sold]]</f>
        <v>34260</v>
      </c>
      <c r="T355" s="15">
        <f>Table5[[#This Row],[Cost of Sales]]-Table5[[#This Row],[Standard cost]]</f>
        <v>0</v>
      </c>
      <c r="U355" s="15">
        <f>Table5[[#This Row],[Net Sales Revenue]]-Table5[[#This Row],[Cost of Sales]]</f>
        <v>23936.32</v>
      </c>
      <c r="V355" s="17">
        <f>Table5[[#This Row],[GrossProfit]]/Table5[[#This Row],[Net Sales Revenue]]</f>
        <v>0.41130298273155413</v>
      </c>
    </row>
    <row r="356" spans="1:22" ht="14.25" customHeight="1" x14ac:dyDescent="0.25">
      <c r="A356" s="1" t="s">
        <v>429</v>
      </c>
      <c r="B356" s="1" t="s">
        <v>390</v>
      </c>
      <c r="C356" s="1" t="s">
        <v>56</v>
      </c>
      <c r="D356" s="1" t="s">
        <v>17</v>
      </c>
      <c r="E356" s="1" t="s">
        <v>15</v>
      </c>
      <c r="F356" s="1">
        <v>2364</v>
      </c>
      <c r="G356" s="14">
        <v>35</v>
      </c>
      <c r="H356" s="1">
        <v>0.05</v>
      </c>
      <c r="I356" s="14">
        <v>78603</v>
      </c>
      <c r="J356" s="14">
        <v>42552</v>
      </c>
      <c r="K356" s="15">
        <f>Table5[[#This Row],[Selling Price]]*Table5[[#This Row],[Units Sold]]</f>
        <v>82740</v>
      </c>
      <c r="L356" t="str">
        <f t="shared" si="5"/>
        <v>2023-08</v>
      </c>
      <c r="M356" t="str">
        <f>VLOOKUP(Table5[[#This Row],[Store ID]],Table4[[Store ID]:[Store Location]],2)</f>
        <v>Leeds</v>
      </c>
      <c r="N356" t="str">
        <f>VLOOKUP(Table5[[#This Row],[Store ID]],Table4[[Store ID]:[Region]],3)</f>
        <v>North</v>
      </c>
      <c r="O356" t="str">
        <f>VLOOKUP(Table5[[#This Row],[Product ID]],'Product Master'!$A$2:$D$10,4)</f>
        <v>Supplier C</v>
      </c>
      <c r="P356" s="15">
        <f>Table5[[#This Row],[Total Revenue]]-Table5[[#This Row],[Net Sales Revenue]]</f>
        <v>4137</v>
      </c>
      <c r="Q356" s="15">
        <f>Table5[[#This Row],[Net Sales Revenue]]/Table5[[#This Row],[Units Sold]]</f>
        <v>33.25</v>
      </c>
      <c r="R356">
        <f>VLOOKUP(Table5[[#This Row],[Product ID]],'Product Master'!$A$1:$E$10,5,FALSE)</f>
        <v>18</v>
      </c>
      <c r="S356" s="15">
        <f>Table5[[#This Row],[standard product cost per unit]]*Table5[[#This Row],[Units Sold]]</f>
        <v>42552</v>
      </c>
      <c r="T356" s="15">
        <f>Table5[[#This Row],[Cost of Sales]]-Table5[[#This Row],[Standard cost]]</f>
        <v>0</v>
      </c>
      <c r="U356" s="15">
        <f>Table5[[#This Row],[Net Sales Revenue]]-Table5[[#This Row],[Cost of Sales]]</f>
        <v>36051</v>
      </c>
      <c r="V356" s="17">
        <f>Table5[[#This Row],[GrossProfit]]/Table5[[#This Row],[Net Sales Revenue]]</f>
        <v>0.45864661654135336</v>
      </c>
    </row>
    <row r="357" spans="1:22" ht="14.25" customHeight="1" x14ac:dyDescent="0.25">
      <c r="A357" s="1" t="s">
        <v>430</v>
      </c>
      <c r="B357" s="1" t="s">
        <v>390</v>
      </c>
      <c r="C357" s="1" t="s">
        <v>56</v>
      </c>
      <c r="D357" s="1" t="s">
        <v>19</v>
      </c>
      <c r="E357" s="1" t="s">
        <v>21</v>
      </c>
      <c r="F357" s="1">
        <v>2776</v>
      </c>
      <c r="G357" s="14">
        <v>18</v>
      </c>
      <c r="H357" s="1">
        <v>0.06</v>
      </c>
      <c r="I357" s="14">
        <v>46969.919999999998</v>
      </c>
      <c r="J357" s="14">
        <v>24984</v>
      </c>
      <c r="K357" s="15">
        <f>Table5[[#This Row],[Selling Price]]*Table5[[#This Row],[Units Sold]]</f>
        <v>49968</v>
      </c>
      <c r="L357" t="str">
        <f t="shared" si="5"/>
        <v>2023-08</v>
      </c>
      <c r="M357" t="str">
        <f>VLOOKUP(Table5[[#This Row],[Store ID]],Table4[[Store ID]:[Store Location]],2)</f>
        <v>Leeds</v>
      </c>
      <c r="N357" t="str">
        <f>VLOOKUP(Table5[[#This Row],[Store ID]],Table4[[Store ID]:[Region]],3)</f>
        <v>North</v>
      </c>
      <c r="O357" t="str">
        <f>VLOOKUP(Table5[[#This Row],[Product ID]],'Product Master'!$A$2:$D$10,4)</f>
        <v>Supplier D</v>
      </c>
      <c r="P357" s="15">
        <f>Table5[[#This Row],[Total Revenue]]-Table5[[#This Row],[Net Sales Revenue]]</f>
        <v>2998.0800000000017</v>
      </c>
      <c r="Q357" s="15">
        <f>Table5[[#This Row],[Net Sales Revenue]]/Table5[[#This Row],[Units Sold]]</f>
        <v>16.919999999999998</v>
      </c>
      <c r="R357">
        <f>VLOOKUP(Table5[[#This Row],[Product ID]],'Product Master'!$A$1:$E$10,5,FALSE)</f>
        <v>9</v>
      </c>
      <c r="S357" s="15">
        <f>Table5[[#This Row],[standard product cost per unit]]*Table5[[#This Row],[Units Sold]]</f>
        <v>24984</v>
      </c>
      <c r="T357" s="15">
        <f>Table5[[#This Row],[Cost of Sales]]-Table5[[#This Row],[Standard cost]]</f>
        <v>0</v>
      </c>
      <c r="U357" s="15">
        <f>Table5[[#This Row],[Net Sales Revenue]]-Table5[[#This Row],[Cost of Sales]]</f>
        <v>21985.919999999998</v>
      </c>
      <c r="V357" s="17">
        <f>Table5[[#This Row],[GrossProfit]]/Table5[[#This Row],[Net Sales Revenue]]</f>
        <v>0.46808510638297868</v>
      </c>
    </row>
    <row r="358" spans="1:22" ht="14.25" customHeight="1" x14ac:dyDescent="0.25">
      <c r="A358" s="1" t="s">
        <v>431</v>
      </c>
      <c r="B358" s="1" t="s">
        <v>390</v>
      </c>
      <c r="C358" s="1" t="s">
        <v>56</v>
      </c>
      <c r="D358" s="1" t="s">
        <v>23</v>
      </c>
      <c r="E358" s="1" t="s">
        <v>21</v>
      </c>
      <c r="F358" s="1">
        <v>2068</v>
      </c>
      <c r="G358" s="14">
        <v>30</v>
      </c>
      <c r="H358" s="1">
        <v>0.06</v>
      </c>
      <c r="I358" s="14">
        <v>58317.599999999999</v>
      </c>
      <c r="J358" s="14">
        <v>28952</v>
      </c>
      <c r="K358" s="15">
        <f>Table5[[#This Row],[Selling Price]]*Table5[[#This Row],[Units Sold]]</f>
        <v>62040</v>
      </c>
      <c r="L358" t="str">
        <f t="shared" si="5"/>
        <v>2023-08</v>
      </c>
      <c r="M358" t="str">
        <f>VLOOKUP(Table5[[#This Row],[Store ID]],Table4[[Store ID]:[Store Location]],2)</f>
        <v>Leeds</v>
      </c>
      <c r="N358" t="str">
        <f>VLOOKUP(Table5[[#This Row],[Store ID]],Table4[[Store ID]:[Region]],3)</f>
        <v>North</v>
      </c>
      <c r="O358" t="str">
        <f>VLOOKUP(Table5[[#This Row],[Product ID]],'Product Master'!$A$2:$D$10,4)</f>
        <v>Supplier D</v>
      </c>
      <c r="P358" s="15">
        <f>Table5[[#This Row],[Total Revenue]]-Table5[[#This Row],[Net Sales Revenue]]</f>
        <v>3722.4000000000015</v>
      </c>
      <c r="Q358" s="15">
        <f>Table5[[#This Row],[Net Sales Revenue]]/Table5[[#This Row],[Units Sold]]</f>
        <v>28.2</v>
      </c>
      <c r="R358">
        <f>VLOOKUP(Table5[[#This Row],[Product ID]],'Product Master'!$A$1:$E$10,5,FALSE)</f>
        <v>14</v>
      </c>
      <c r="S358" s="15">
        <f>Table5[[#This Row],[standard product cost per unit]]*Table5[[#This Row],[Units Sold]]</f>
        <v>28952</v>
      </c>
      <c r="T358" s="15">
        <f>Table5[[#This Row],[Cost of Sales]]-Table5[[#This Row],[Standard cost]]</f>
        <v>0</v>
      </c>
      <c r="U358" s="15">
        <f>Table5[[#This Row],[Net Sales Revenue]]-Table5[[#This Row],[Cost of Sales]]</f>
        <v>29365.599999999999</v>
      </c>
      <c r="V358" s="17">
        <f>Table5[[#This Row],[GrossProfit]]/Table5[[#This Row],[Net Sales Revenue]]</f>
        <v>0.50354609929078009</v>
      </c>
    </row>
    <row r="359" spans="1:22" ht="14.25" customHeight="1" x14ac:dyDescent="0.25">
      <c r="A359" s="1" t="s">
        <v>432</v>
      </c>
      <c r="B359" s="1" t="s">
        <v>390</v>
      </c>
      <c r="C359" s="1" t="s">
        <v>56</v>
      </c>
      <c r="D359" s="1" t="s">
        <v>25</v>
      </c>
      <c r="E359" s="1" t="s">
        <v>27</v>
      </c>
      <c r="F359" s="1">
        <v>1448</v>
      </c>
      <c r="G359" s="14">
        <v>40</v>
      </c>
      <c r="H359" s="1">
        <v>7.0000000000000007E-2</v>
      </c>
      <c r="I359" s="14">
        <v>53865.599999999999</v>
      </c>
      <c r="J359" s="14">
        <v>28960</v>
      </c>
      <c r="K359" s="15">
        <f>Table5[[#This Row],[Selling Price]]*Table5[[#This Row],[Units Sold]]</f>
        <v>57920</v>
      </c>
      <c r="L359" t="str">
        <f t="shared" si="5"/>
        <v>2023-08</v>
      </c>
      <c r="M359" t="str">
        <f>VLOOKUP(Table5[[#This Row],[Store ID]],Table4[[Store ID]:[Store Location]],2)</f>
        <v>Leeds</v>
      </c>
      <c r="N359" t="str">
        <f>VLOOKUP(Table5[[#This Row],[Store ID]],Table4[[Store ID]:[Region]],3)</f>
        <v>North</v>
      </c>
      <c r="O359" t="str">
        <f>VLOOKUP(Table5[[#This Row],[Product ID]],'Product Master'!$A$2:$D$10,4)</f>
        <v>Supplier E</v>
      </c>
      <c r="P359" s="15">
        <f>Table5[[#This Row],[Total Revenue]]-Table5[[#This Row],[Net Sales Revenue]]</f>
        <v>4054.4000000000015</v>
      </c>
      <c r="Q359" s="15">
        <f>Table5[[#This Row],[Net Sales Revenue]]/Table5[[#This Row],[Units Sold]]</f>
        <v>37.199999999999996</v>
      </c>
      <c r="R359">
        <f>VLOOKUP(Table5[[#This Row],[Product ID]],'Product Master'!$A$1:$E$10,5,FALSE)</f>
        <v>20</v>
      </c>
      <c r="S359" s="15">
        <f>Table5[[#This Row],[standard product cost per unit]]*Table5[[#This Row],[Units Sold]]</f>
        <v>28960</v>
      </c>
      <c r="T359" s="15">
        <f>Table5[[#This Row],[Cost of Sales]]-Table5[[#This Row],[Standard cost]]</f>
        <v>0</v>
      </c>
      <c r="U359" s="15">
        <f>Table5[[#This Row],[Net Sales Revenue]]-Table5[[#This Row],[Cost of Sales]]</f>
        <v>24905.599999999999</v>
      </c>
      <c r="V359" s="17">
        <f>Table5[[#This Row],[GrossProfit]]/Table5[[#This Row],[Net Sales Revenue]]</f>
        <v>0.46236559139784944</v>
      </c>
    </row>
    <row r="360" spans="1:22" ht="14.25" customHeight="1" x14ac:dyDescent="0.25">
      <c r="A360" s="1" t="s">
        <v>433</v>
      </c>
      <c r="B360" s="1" t="s">
        <v>390</v>
      </c>
      <c r="C360" s="1" t="s">
        <v>56</v>
      </c>
      <c r="D360" s="1" t="s">
        <v>29</v>
      </c>
      <c r="E360" s="1" t="s">
        <v>31</v>
      </c>
      <c r="F360" s="1">
        <v>1700</v>
      </c>
      <c r="G360" s="14">
        <v>10</v>
      </c>
      <c r="H360" s="1">
        <v>0.1</v>
      </c>
      <c r="I360" s="14">
        <v>15300</v>
      </c>
      <c r="J360" s="14">
        <v>6800</v>
      </c>
      <c r="K360" s="15">
        <f>Table5[[#This Row],[Selling Price]]*Table5[[#This Row],[Units Sold]]</f>
        <v>17000</v>
      </c>
      <c r="L360" t="str">
        <f t="shared" si="5"/>
        <v>2023-08</v>
      </c>
      <c r="M360" t="str">
        <f>VLOOKUP(Table5[[#This Row],[Store ID]],Table4[[Store ID]:[Store Location]],2)</f>
        <v>Leeds</v>
      </c>
      <c r="N360" t="str">
        <f>VLOOKUP(Table5[[#This Row],[Store ID]],Table4[[Store ID]:[Region]],3)</f>
        <v>North</v>
      </c>
      <c r="O360" t="str">
        <f>VLOOKUP(Table5[[#This Row],[Product ID]],'Product Master'!$A$2:$D$10,4)</f>
        <v>Supplier F</v>
      </c>
      <c r="P360" s="15">
        <f>Table5[[#This Row],[Total Revenue]]-Table5[[#This Row],[Net Sales Revenue]]</f>
        <v>1700</v>
      </c>
      <c r="Q360" s="15">
        <f>Table5[[#This Row],[Net Sales Revenue]]/Table5[[#This Row],[Units Sold]]</f>
        <v>9</v>
      </c>
      <c r="R360">
        <f>VLOOKUP(Table5[[#This Row],[Product ID]],'Product Master'!$A$1:$E$10,5,FALSE)</f>
        <v>4</v>
      </c>
      <c r="S360" s="15">
        <f>Table5[[#This Row],[standard product cost per unit]]*Table5[[#This Row],[Units Sold]]</f>
        <v>6800</v>
      </c>
      <c r="T360" s="15">
        <f>Table5[[#This Row],[Cost of Sales]]-Table5[[#This Row],[Standard cost]]</f>
        <v>0</v>
      </c>
      <c r="U360" s="15">
        <f>Table5[[#This Row],[Net Sales Revenue]]-Table5[[#This Row],[Cost of Sales]]</f>
        <v>8500</v>
      </c>
      <c r="V360" s="17">
        <f>Table5[[#This Row],[GrossProfit]]/Table5[[#This Row],[Net Sales Revenue]]</f>
        <v>0.55555555555555558</v>
      </c>
    </row>
    <row r="361" spans="1:22" ht="14.25" customHeight="1" x14ac:dyDescent="0.25">
      <c r="A361" s="1" t="s">
        <v>434</v>
      </c>
      <c r="B361" s="1" t="s">
        <v>390</v>
      </c>
      <c r="C361" s="1" t="s">
        <v>56</v>
      </c>
      <c r="D361" s="1" t="s">
        <v>33</v>
      </c>
      <c r="E361" s="1" t="s">
        <v>31</v>
      </c>
      <c r="F361" s="1">
        <v>2116</v>
      </c>
      <c r="G361" s="14">
        <v>22</v>
      </c>
      <c r="H361" s="1">
        <v>0.08</v>
      </c>
      <c r="I361" s="14">
        <v>42827.839999999997</v>
      </c>
      <c r="J361" s="14">
        <v>21160</v>
      </c>
      <c r="K361" s="15">
        <f>Table5[[#This Row],[Selling Price]]*Table5[[#This Row],[Units Sold]]</f>
        <v>46552</v>
      </c>
      <c r="L361" t="str">
        <f t="shared" si="5"/>
        <v>2023-08</v>
      </c>
      <c r="M361" t="str">
        <f>VLOOKUP(Table5[[#This Row],[Store ID]],Table4[[Store ID]:[Store Location]],2)</f>
        <v>Leeds</v>
      </c>
      <c r="N361" t="str">
        <f>VLOOKUP(Table5[[#This Row],[Store ID]],Table4[[Store ID]:[Region]],3)</f>
        <v>North</v>
      </c>
      <c r="O361" t="str">
        <f>VLOOKUP(Table5[[#This Row],[Product ID]],'Product Master'!$A$2:$D$10,4)</f>
        <v>Supplier F</v>
      </c>
      <c r="P361" s="15">
        <f>Table5[[#This Row],[Total Revenue]]-Table5[[#This Row],[Net Sales Revenue]]</f>
        <v>3724.1600000000035</v>
      </c>
      <c r="Q361" s="15">
        <f>Table5[[#This Row],[Net Sales Revenue]]/Table5[[#This Row],[Units Sold]]</f>
        <v>20.239999999999998</v>
      </c>
      <c r="R361">
        <f>VLOOKUP(Table5[[#This Row],[Product ID]],'Product Master'!$A$1:$E$10,5,FALSE)</f>
        <v>10</v>
      </c>
      <c r="S361" s="15">
        <f>Table5[[#This Row],[standard product cost per unit]]*Table5[[#This Row],[Units Sold]]</f>
        <v>21160</v>
      </c>
      <c r="T361" s="15">
        <f>Table5[[#This Row],[Cost of Sales]]-Table5[[#This Row],[Standard cost]]</f>
        <v>0</v>
      </c>
      <c r="U361" s="15">
        <f>Table5[[#This Row],[Net Sales Revenue]]-Table5[[#This Row],[Cost of Sales]]</f>
        <v>21667.839999999997</v>
      </c>
      <c r="V361" s="17">
        <f>Table5[[#This Row],[GrossProfit]]/Table5[[#This Row],[Net Sales Revenue]]</f>
        <v>0.50592885375494068</v>
      </c>
    </row>
    <row r="362" spans="1:22" ht="14.25" customHeight="1" x14ac:dyDescent="0.25">
      <c r="A362" s="1" t="s">
        <v>435</v>
      </c>
      <c r="B362" s="1" t="s">
        <v>436</v>
      </c>
      <c r="C362" s="1" t="s">
        <v>40</v>
      </c>
      <c r="D362" s="1" t="s">
        <v>6</v>
      </c>
      <c r="E362" s="1" t="s">
        <v>8</v>
      </c>
      <c r="F362" s="1">
        <v>2008</v>
      </c>
      <c r="G362" s="14">
        <v>24</v>
      </c>
      <c r="H362" s="1">
        <v>7.0000000000000007E-2</v>
      </c>
      <c r="I362" s="14">
        <v>44818.559999999998</v>
      </c>
      <c r="J362" s="14">
        <v>24096</v>
      </c>
      <c r="K362" s="15">
        <f>Table5[[#This Row],[Selling Price]]*Table5[[#This Row],[Units Sold]]</f>
        <v>48192</v>
      </c>
      <c r="L362" t="str">
        <f t="shared" si="5"/>
        <v>2023-09</v>
      </c>
      <c r="M362" t="str">
        <f>VLOOKUP(Table5[[#This Row],[Store ID]],Table4[[Store ID]:[Store Location]],2)</f>
        <v>Manchester</v>
      </c>
      <c r="N362" t="str">
        <f>VLOOKUP(Table5[[#This Row],[Store ID]],Table4[[Store ID]:[Region]],3)</f>
        <v>North</v>
      </c>
      <c r="O362" t="str">
        <f>VLOOKUP(Table5[[#This Row],[Product ID]],'Product Master'!$A$2:$D$10,4)</f>
        <v>Supplier A</v>
      </c>
      <c r="P362" s="15">
        <f>Table5[[#This Row],[Total Revenue]]-Table5[[#This Row],[Net Sales Revenue]]</f>
        <v>3373.4400000000023</v>
      </c>
      <c r="Q362" s="15">
        <f>Table5[[#This Row],[Net Sales Revenue]]/Table5[[#This Row],[Units Sold]]</f>
        <v>22.32</v>
      </c>
      <c r="R362">
        <f>VLOOKUP(Table5[[#This Row],[Product ID]],'Product Master'!$A$1:$E$10,5,FALSE)</f>
        <v>12</v>
      </c>
      <c r="S362" s="15">
        <f>Table5[[#This Row],[standard product cost per unit]]*Table5[[#This Row],[Units Sold]]</f>
        <v>24096</v>
      </c>
      <c r="T362" s="15">
        <f>Table5[[#This Row],[Cost of Sales]]-Table5[[#This Row],[Standard cost]]</f>
        <v>0</v>
      </c>
      <c r="U362" s="15">
        <f>Table5[[#This Row],[Net Sales Revenue]]-Table5[[#This Row],[Cost of Sales]]</f>
        <v>20722.559999999998</v>
      </c>
      <c r="V362" s="17">
        <f>Table5[[#This Row],[GrossProfit]]/Table5[[#This Row],[Net Sales Revenue]]</f>
        <v>0.46236559139784944</v>
      </c>
    </row>
    <row r="363" spans="1:22" ht="14.25" customHeight="1" x14ac:dyDescent="0.25">
      <c r="A363" s="1" t="s">
        <v>437</v>
      </c>
      <c r="B363" s="1" t="s">
        <v>436</v>
      </c>
      <c r="C363" s="1" t="s">
        <v>40</v>
      </c>
      <c r="D363" s="1" t="s">
        <v>10</v>
      </c>
      <c r="E363" s="1" t="s">
        <v>8</v>
      </c>
      <c r="F363" s="1">
        <v>2236</v>
      </c>
      <c r="G363" s="14">
        <v>50</v>
      </c>
      <c r="H363" s="1">
        <v>0.09</v>
      </c>
      <c r="I363" s="14">
        <v>101738</v>
      </c>
      <c r="J363" s="14">
        <v>62608</v>
      </c>
      <c r="K363" s="15">
        <f>Table5[[#This Row],[Selling Price]]*Table5[[#This Row],[Units Sold]]</f>
        <v>111800</v>
      </c>
      <c r="L363" t="str">
        <f t="shared" si="5"/>
        <v>2023-09</v>
      </c>
      <c r="M363" t="str">
        <f>VLOOKUP(Table5[[#This Row],[Store ID]],Table4[[Store ID]:[Store Location]],2)</f>
        <v>Manchester</v>
      </c>
      <c r="N363" t="str">
        <f>VLOOKUP(Table5[[#This Row],[Store ID]],Table4[[Store ID]:[Region]],3)</f>
        <v>North</v>
      </c>
      <c r="O363" t="str">
        <f>VLOOKUP(Table5[[#This Row],[Product ID]],'Product Master'!$A$2:$D$10,4)</f>
        <v>Supplier B</v>
      </c>
      <c r="P363" s="15">
        <f>Table5[[#This Row],[Total Revenue]]-Table5[[#This Row],[Net Sales Revenue]]</f>
        <v>10062</v>
      </c>
      <c r="Q363" s="15">
        <f>Table5[[#This Row],[Net Sales Revenue]]/Table5[[#This Row],[Units Sold]]</f>
        <v>45.5</v>
      </c>
      <c r="R363">
        <f>VLOOKUP(Table5[[#This Row],[Product ID]],'Product Master'!$A$1:$E$10,5,FALSE)</f>
        <v>28</v>
      </c>
      <c r="S363" s="15">
        <f>Table5[[#This Row],[standard product cost per unit]]*Table5[[#This Row],[Units Sold]]</f>
        <v>62608</v>
      </c>
      <c r="T363" s="15">
        <f>Table5[[#This Row],[Cost of Sales]]-Table5[[#This Row],[Standard cost]]</f>
        <v>0</v>
      </c>
      <c r="U363" s="15">
        <f>Table5[[#This Row],[Net Sales Revenue]]-Table5[[#This Row],[Cost of Sales]]</f>
        <v>39130</v>
      </c>
      <c r="V363" s="17">
        <f>Table5[[#This Row],[GrossProfit]]/Table5[[#This Row],[Net Sales Revenue]]</f>
        <v>0.38461538461538464</v>
      </c>
    </row>
    <row r="364" spans="1:22" ht="14.25" customHeight="1" x14ac:dyDescent="0.25">
      <c r="A364" s="1" t="s">
        <v>438</v>
      </c>
      <c r="B364" s="1" t="s">
        <v>436</v>
      </c>
      <c r="C364" s="1" t="s">
        <v>40</v>
      </c>
      <c r="D364" s="1" t="s">
        <v>13</v>
      </c>
      <c r="E364" s="1" t="s">
        <v>15</v>
      </c>
      <c r="F364" s="1">
        <v>2632</v>
      </c>
      <c r="G364" s="14">
        <v>28</v>
      </c>
      <c r="H364" s="1">
        <v>7.0000000000000007E-2</v>
      </c>
      <c r="I364" s="14">
        <v>68537.279999999999</v>
      </c>
      <c r="J364" s="14">
        <v>39480</v>
      </c>
      <c r="K364" s="15">
        <f>Table5[[#This Row],[Selling Price]]*Table5[[#This Row],[Units Sold]]</f>
        <v>73696</v>
      </c>
      <c r="L364" t="str">
        <f t="shared" si="5"/>
        <v>2023-09</v>
      </c>
      <c r="M364" t="str">
        <f>VLOOKUP(Table5[[#This Row],[Store ID]],Table4[[Store ID]:[Store Location]],2)</f>
        <v>Manchester</v>
      </c>
      <c r="N364" t="str">
        <f>VLOOKUP(Table5[[#This Row],[Store ID]],Table4[[Store ID]:[Region]],3)</f>
        <v>North</v>
      </c>
      <c r="O364" t="str">
        <f>VLOOKUP(Table5[[#This Row],[Product ID]],'Product Master'!$A$2:$D$10,4)</f>
        <v>Supplier C</v>
      </c>
      <c r="P364" s="15">
        <f>Table5[[#This Row],[Total Revenue]]-Table5[[#This Row],[Net Sales Revenue]]</f>
        <v>5158.7200000000012</v>
      </c>
      <c r="Q364" s="15">
        <f>Table5[[#This Row],[Net Sales Revenue]]/Table5[[#This Row],[Units Sold]]</f>
        <v>26.04</v>
      </c>
      <c r="R364">
        <f>VLOOKUP(Table5[[#This Row],[Product ID]],'Product Master'!$A$1:$E$10,5,FALSE)</f>
        <v>15</v>
      </c>
      <c r="S364" s="15">
        <f>Table5[[#This Row],[standard product cost per unit]]*Table5[[#This Row],[Units Sold]]</f>
        <v>39480</v>
      </c>
      <c r="T364" s="15">
        <f>Table5[[#This Row],[Cost of Sales]]-Table5[[#This Row],[Standard cost]]</f>
        <v>0</v>
      </c>
      <c r="U364" s="15">
        <f>Table5[[#This Row],[Net Sales Revenue]]-Table5[[#This Row],[Cost of Sales]]</f>
        <v>29057.279999999999</v>
      </c>
      <c r="V364" s="17">
        <f>Table5[[#This Row],[GrossProfit]]/Table5[[#This Row],[Net Sales Revenue]]</f>
        <v>0.42396313364055299</v>
      </c>
    </row>
    <row r="365" spans="1:22" ht="14.25" customHeight="1" x14ac:dyDescent="0.25">
      <c r="A365" s="1" t="s">
        <v>439</v>
      </c>
      <c r="B365" s="1" t="s">
        <v>436</v>
      </c>
      <c r="C365" s="1" t="s">
        <v>40</v>
      </c>
      <c r="D365" s="1" t="s">
        <v>17</v>
      </c>
      <c r="E365" s="1" t="s">
        <v>15</v>
      </c>
      <c r="F365" s="1">
        <v>2728</v>
      </c>
      <c r="G365" s="14">
        <v>35</v>
      </c>
      <c r="H365" s="1">
        <v>0.06</v>
      </c>
      <c r="I365" s="14">
        <v>89751.2</v>
      </c>
      <c r="J365" s="14">
        <v>49104</v>
      </c>
      <c r="K365" s="15">
        <f>Table5[[#This Row],[Selling Price]]*Table5[[#This Row],[Units Sold]]</f>
        <v>95480</v>
      </c>
      <c r="L365" t="str">
        <f t="shared" si="5"/>
        <v>2023-09</v>
      </c>
      <c r="M365" t="str">
        <f>VLOOKUP(Table5[[#This Row],[Store ID]],Table4[[Store ID]:[Store Location]],2)</f>
        <v>Manchester</v>
      </c>
      <c r="N365" t="str">
        <f>VLOOKUP(Table5[[#This Row],[Store ID]],Table4[[Store ID]:[Region]],3)</f>
        <v>North</v>
      </c>
      <c r="O365" t="str">
        <f>VLOOKUP(Table5[[#This Row],[Product ID]],'Product Master'!$A$2:$D$10,4)</f>
        <v>Supplier C</v>
      </c>
      <c r="P365" s="15">
        <f>Table5[[#This Row],[Total Revenue]]-Table5[[#This Row],[Net Sales Revenue]]</f>
        <v>5728.8000000000029</v>
      </c>
      <c r="Q365" s="15">
        <f>Table5[[#This Row],[Net Sales Revenue]]/Table5[[#This Row],[Units Sold]]</f>
        <v>32.9</v>
      </c>
      <c r="R365">
        <f>VLOOKUP(Table5[[#This Row],[Product ID]],'Product Master'!$A$1:$E$10,5,FALSE)</f>
        <v>18</v>
      </c>
      <c r="S365" s="15">
        <f>Table5[[#This Row],[standard product cost per unit]]*Table5[[#This Row],[Units Sold]]</f>
        <v>49104</v>
      </c>
      <c r="T365" s="15">
        <f>Table5[[#This Row],[Cost of Sales]]-Table5[[#This Row],[Standard cost]]</f>
        <v>0</v>
      </c>
      <c r="U365" s="15">
        <f>Table5[[#This Row],[Net Sales Revenue]]-Table5[[#This Row],[Cost of Sales]]</f>
        <v>40647.199999999997</v>
      </c>
      <c r="V365" s="17">
        <f>Table5[[#This Row],[GrossProfit]]/Table5[[#This Row],[Net Sales Revenue]]</f>
        <v>0.45288753799392095</v>
      </c>
    </row>
    <row r="366" spans="1:22" ht="14.25" customHeight="1" x14ac:dyDescent="0.25">
      <c r="A366" s="1" t="s">
        <v>440</v>
      </c>
      <c r="B366" s="1" t="s">
        <v>436</v>
      </c>
      <c r="C366" s="1" t="s">
        <v>40</v>
      </c>
      <c r="D366" s="1" t="s">
        <v>19</v>
      </c>
      <c r="E366" s="1" t="s">
        <v>21</v>
      </c>
      <c r="F366" s="1">
        <v>2060</v>
      </c>
      <c r="G366" s="14">
        <v>18</v>
      </c>
      <c r="H366" s="1">
        <v>0.06</v>
      </c>
      <c r="I366" s="14">
        <v>34855.199999999997</v>
      </c>
      <c r="J366" s="14">
        <v>18540</v>
      </c>
      <c r="K366" s="15">
        <f>Table5[[#This Row],[Selling Price]]*Table5[[#This Row],[Units Sold]]</f>
        <v>37080</v>
      </c>
      <c r="L366" t="str">
        <f t="shared" si="5"/>
        <v>2023-09</v>
      </c>
      <c r="M366" t="str">
        <f>VLOOKUP(Table5[[#This Row],[Store ID]],Table4[[Store ID]:[Store Location]],2)</f>
        <v>Manchester</v>
      </c>
      <c r="N366" t="str">
        <f>VLOOKUP(Table5[[#This Row],[Store ID]],Table4[[Store ID]:[Region]],3)</f>
        <v>North</v>
      </c>
      <c r="O366" t="str">
        <f>VLOOKUP(Table5[[#This Row],[Product ID]],'Product Master'!$A$2:$D$10,4)</f>
        <v>Supplier D</v>
      </c>
      <c r="P366" s="15">
        <f>Table5[[#This Row],[Total Revenue]]-Table5[[#This Row],[Net Sales Revenue]]</f>
        <v>2224.8000000000029</v>
      </c>
      <c r="Q366" s="15">
        <f>Table5[[#This Row],[Net Sales Revenue]]/Table5[[#This Row],[Units Sold]]</f>
        <v>16.919999999999998</v>
      </c>
      <c r="R366">
        <f>VLOOKUP(Table5[[#This Row],[Product ID]],'Product Master'!$A$1:$E$10,5,FALSE)</f>
        <v>9</v>
      </c>
      <c r="S366" s="15">
        <f>Table5[[#This Row],[standard product cost per unit]]*Table5[[#This Row],[Units Sold]]</f>
        <v>18540</v>
      </c>
      <c r="T366" s="15">
        <f>Table5[[#This Row],[Cost of Sales]]-Table5[[#This Row],[Standard cost]]</f>
        <v>0</v>
      </c>
      <c r="U366" s="15">
        <f>Table5[[#This Row],[Net Sales Revenue]]-Table5[[#This Row],[Cost of Sales]]</f>
        <v>16315.199999999997</v>
      </c>
      <c r="V366" s="17">
        <f>Table5[[#This Row],[GrossProfit]]/Table5[[#This Row],[Net Sales Revenue]]</f>
        <v>0.46808510638297868</v>
      </c>
    </row>
    <row r="367" spans="1:22" ht="14.25" customHeight="1" x14ac:dyDescent="0.25">
      <c r="A367" s="1" t="s">
        <v>441</v>
      </c>
      <c r="B367" s="1" t="s">
        <v>436</v>
      </c>
      <c r="C367" s="1" t="s">
        <v>40</v>
      </c>
      <c r="D367" s="1" t="s">
        <v>23</v>
      </c>
      <c r="E367" s="1" t="s">
        <v>21</v>
      </c>
      <c r="F367" s="1">
        <v>2744</v>
      </c>
      <c r="G367" s="14">
        <v>30</v>
      </c>
      <c r="H367" s="1">
        <v>0.05</v>
      </c>
      <c r="I367" s="14">
        <v>78204</v>
      </c>
      <c r="J367" s="14">
        <v>38416</v>
      </c>
      <c r="K367" s="15">
        <f>Table5[[#This Row],[Selling Price]]*Table5[[#This Row],[Units Sold]]</f>
        <v>82320</v>
      </c>
      <c r="L367" t="str">
        <f t="shared" si="5"/>
        <v>2023-09</v>
      </c>
      <c r="M367" t="str">
        <f>VLOOKUP(Table5[[#This Row],[Store ID]],Table4[[Store ID]:[Store Location]],2)</f>
        <v>Manchester</v>
      </c>
      <c r="N367" t="str">
        <f>VLOOKUP(Table5[[#This Row],[Store ID]],Table4[[Store ID]:[Region]],3)</f>
        <v>North</v>
      </c>
      <c r="O367" t="str">
        <f>VLOOKUP(Table5[[#This Row],[Product ID]],'Product Master'!$A$2:$D$10,4)</f>
        <v>Supplier D</v>
      </c>
      <c r="P367" s="15">
        <f>Table5[[#This Row],[Total Revenue]]-Table5[[#This Row],[Net Sales Revenue]]</f>
        <v>4116</v>
      </c>
      <c r="Q367" s="15">
        <f>Table5[[#This Row],[Net Sales Revenue]]/Table5[[#This Row],[Units Sold]]</f>
        <v>28.5</v>
      </c>
      <c r="R367">
        <f>VLOOKUP(Table5[[#This Row],[Product ID]],'Product Master'!$A$1:$E$10,5,FALSE)</f>
        <v>14</v>
      </c>
      <c r="S367" s="15">
        <f>Table5[[#This Row],[standard product cost per unit]]*Table5[[#This Row],[Units Sold]]</f>
        <v>38416</v>
      </c>
      <c r="T367" s="15">
        <f>Table5[[#This Row],[Cost of Sales]]-Table5[[#This Row],[Standard cost]]</f>
        <v>0</v>
      </c>
      <c r="U367" s="15">
        <f>Table5[[#This Row],[Net Sales Revenue]]-Table5[[#This Row],[Cost of Sales]]</f>
        <v>39788</v>
      </c>
      <c r="V367" s="17">
        <f>Table5[[#This Row],[GrossProfit]]/Table5[[#This Row],[Net Sales Revenue]]</f>
        <v>0.50877192982456143</v>
      </c>
    </row>
    <row r="368" spans="1:22" ht="14.25" customHeight="1" x14ac:dyDescent="0.25">
      <c r="A368" s="1" t="s">
        <v>442</v>
      </c>
      <c r="B368" s="1" t="s">
        <v>436</v>
      </c>
      <c r="C368" s="1" t="s">
        <v>40</v>
      </c>
      <c r="D368" s="1" t="s">
        <v>25</v>
      </c>
      <c r="E368" s="1" t="s">
        <v>27</v>
      </c>
      <c r="F368" s="1">
        <v>2668</v>
      </c>
      <c r="G368" s="14">
        <v>40</v>
      </c>
      <c r="H368" s="1">
        <v>0.06</v>
      </c>
      <c r="I368" s="14">
        <v>100316.8</v>
      </c>
      <c r="J368" s="14">
        <v>53360</v>
      </c>
      <c r="K368" s="15">
        <f>Table5[[#This Row],[Selling Price]]*Table5[[#This Row],[Units Sold]]</f>
        <v>106720</v>
      </c>
      <c r="L368" t="str">
        <f t="shared" si="5"/>
        <v>2023-09</v>
      </c>
      <c r="M368" t="str">
        <f>VLOOKUP(Table5[[#This Row],[Store ID]],Table4[[Store ID]:[Store Location]],2)</f>
        <v>Manchester</v>
      </c>
      <c r="N368" t="str">
        <f>VLOOKUP(Table5[[#This Row],[Store ID]],Table4[[Store ID]:[Region]],3)</f>
        <v>North</v>
      </c>
      <c r="O368" t="str">
        <f>VLOOKUP(Table5[[#This Row],[Product ID]],'Product Master'!$A$2:$D$10,4)</f>
        <v>Supplier E</v>
      </c>
      <c r="P368" s="15">
        <f>Table5[[#This Row],[Total Revenue]]-Table5[[#This Row],[Net Sales Revenue]]</f>
        <v>6403.1999999999971</v>
      </c>
      <c r="Q368" s="15">
        <f>Table5[[#This Row],[Net Sales Revenue]]/Table5[[#This Row],[Units Sold]]</f>
        <v>37.6</v>
      </c>
      <c r="R368">
        <f>VLOOKUP(Table5[[#This Row],[Product ID]],'Product Master'!$A$1:$E$10,5,FALSE)</f>
        <v>20</v>
      </c>
      <c r="S368" s="15">
        <f>Table5[[#This Row],[standard product cost per unit]]*Table5[[#This Row],[Units Sold]]</f>
        <v>53360</v>
      </c>
      <c r="T368" s="15">
        <f>Table5[[#This Row],[Cost of Sales]]-Table5[[#This Row],[Standard cost]]</f>
        <v>0</v>
      </c>
      <c r="U368" s="15">
        <f>Table5[[#This Row],[Net Sales Revenue]]-Table5[[#This Row],[Cost of Sales]]</f>
        <v>46956.800000000003</v>
      </c>
      <c r="V368" s="17">
        <f>Table5[[#This Row],[GrossProfit]]/Table5[[#This Row],[Net Sales Revenue]]</f>
        <v>0.46808510638297873</v>
      </c>
    </row>
    <row r="369" spans="1:22" ht="14.25" customHeight="1" x14ac:dyDescent="0.25">
      <c r="A369" s="1" t="s">
        <v>443</v>
      </c>
      <c r="B369" s="1" t="s">
        <v>436</v>
      </c>
      <c r="C369" s="1" t="s">
        <v>40</v>
      </c>
      <c r="D369" s="1" t="s">
        <v>29</v>
      </c>
      <c r="E369" s="1" t="s">
        <v>31</v>
      </c>
      <c r="F369" s="1">
        <v>1728</v>
      </c>
      <c r="G369" s="14">
        <v>10</v>
      </c>
      <c r="H369" s="1">
        <v>0.08</v>
      </c>
      <c r="I369" s="14">
        <v>15897.6</v>
      </c>
      <c r="J369" s="14">
        <v>6912</v>
      </c>
      <c r="K369" s="15">
        <f>Table5[[#This Row],[Selling Price]]*Table5[[#This Row],[Units Sold]]</f>
        <v>17280</v>
      </c>
      <c r="L369" t="str">
        <f t="shared" si="5"/>
        <v>2023-09</v>
      </c>
      <c r="M369" t="str">
        <f>VLOOKUP(Table5[[#This Row],[Store ID]],Table4[[Store ID]:[Store Location]],2)</f>
        <v>Manchester</v>
      </c>
      <c r="N369" t="str">
        <f>VLOOKUP(Table5[[#This Row],[Store ID]],Table4[[Store ID]:[Region]],3)</f>
        <v>North</v>
      </c>
      <c r="O369" t="str">
        <f>VLOOKUP(Table5[[#This Row],[Product ID]],'Product Master'!$A$2:$D$10,4)</f>
        <v>Supplier F</v>
      </c>
      <c r="P369" s="15">
        <f>Table5[[#This Row],[Total Revenue]]-Table5[[#This Row],[Net Sales Revenue]]</f>
        <v>1382.3999999999996</v>
      </c>
      <c r="Q369" s="15">
        <f>Table5[[#This Row],[Net Sales Revenue]]/Table5[[#This Row],[Units Sold]]</f>
        <v>9.2000000000000011</v>
      </c>
      <c r="R369">
        <f>VLOOKUP(Table5[[#This Row],[Product ID]],'Product Master'!$A$1:$E$10,5,FALSE)</f>
        <v>4</v>
      </c>
      <c r="S369" s="15">
        <f>Table5[[#This Row],[standard product cost per unit]]*Table5[[#This Row],[Units Sold]]</f>
        <v>6912</v>
      </c>
      <c r="T369" s="15">
        <f>Table5[[#This Row],[Cost of Sales]]-Table5[[#This Row],[Standard cost]]</f>
        <v>0</v>
      </c>
      <c r="U369" s="15">
        <f>Table5[[#This Row],[Net Sales Revenue]]-Table5[[#This Row],[Cost of Sales]]</f>
        <v>8985.6</v>
      </c>
      <c r="V369" s="17">
        <f>Table5[[#This Row],[GrossProfit]]/Table5[[#This Row],[Net Sales Revenue]]</f>
        <v>0.56521739130434778</v>
      </c>
    </row>
    <row r="370" spans="1:22" ht="14.25" customHeight="1" x14ac:dyDescent="0.25">
      <c r="A370" s="1" t="s">
        <v>444</v>
      </c>
      <c r="B370" s="1" t="s">
        <v>436</v>
      </c>
      <c r="C370" s="1" t="s">
        <v>40</v>
      </c>
      <c r="D370" s="1" t="s">
        <v>33</v>
      </c>
      <c r="E370" s="1" t="s">
        <v>31</v>
      </c>
      <c r="F370" s="1">
        <v>1392</v>
      </c>
      <c r="G370" s="14">
        <v>22</v>
      </c>
      <c r="H370" s="1">
        <v>7.0000000000000007E-2</v>
      </c>
      <c r="I370" s="14">
        <v>28480.32</v>
      </c>
      <c r="J370" s="14">
        <v>13920</v>
      </c>
      <c r="K370" s="15">
        <f>Table5[[#This Row],[Selling Price]]*Table5[[#This Row],[Units Sold]]</f>
        <v>30624</v>
      </c>
      <c r="L370" t="str">
        <f t="shared" si="5"/>
        <v>2023-09</v>
      </c>
      <c r="M370" t="str">
        <f>VLOOKUP(Table5[[#This Row],[Store ID]],Table4[[Store ID]:[Store Location]],2)</f>
        <v>Manchester</v>
      </c>
      <c r="N370" t="str">
        <f>VLOOKUP(Table5[[#This Row],[Store ID]],Table4[[Store ID]:[Region]],3)</f>
        <v>North</v>
      </c>
      <c r="O370" t="str">
        <f>VLOOKUP(Table5[[#This Row],[Product ID]],'Product Master'!$A$2:$D$10,4)</f>
        <v>Supplier F</v>
      </c>
      <c r="P370" s="15">
        <f>Table5[[#This Row],[Total Revenue]]-Table5[[#This Row],[Net Sales Revenue]]</f>
        <v>2143.6800000000003</v>
      </c>
      <c r="Q370" s="15">
        <f>Table5[[#This Row],[Net Sales Revenue]]/Table5[[#This Row],[Units Sold]]</f>
        <v>20.46</v>
      </c>
      <c r="R370">
        <f>VLOOKUP(Table5[[#This Row],[Product ID]],'Product Master'!$A$1:$E$10,5,FALSE)</f>
        <v>10</v>
      </c>
      <c r="S370" s="15">
        <f>Table5[[#This Row],[standard product cost per unit]]*Table5[[#This Row],[Units Sold]]</f>
        <v>13920</v>
      </c>
      <c r="T370" s="15">
        <f>Table5[[#This Row],[Cost of Sales]]-Table5[[#This Row],[Standard cost]]</f>
        <v>0</v>
      </c>
      <c r="U370" s="15">
        <f>Table5[[#This Row],[Net Sales Revenue]]-Table5[[#This Row],[Cost of Sales]]</f>
        <v>14560.32</v>
      </c>
      <c r="V370" s="17">
        <f>Table5[[#This Row],[GrossProfit]]/Table5[[#This Row],[Net Sales Revenue]]</f>
        <v>0.51124144672531768</v>
      </c>
    </row>
    <row r="371" spans="1:22" ht="14.25" customHeight="1" x14ac:dyDescent="0.25">
      <c r="A371" s="1" t="s">
        <v>445</v>
      </c>
      <c r="B371" s="1" t="s">
        <v>436</v>
      </c>
      <c r="C371" s="1" t="s">
        <v>44</v>
      </c>
      <c r="D371" s="1" t="s">
        <v>6</v>
      </c>
      <c r="E371" s="1" t="s">
        <v>8</v>
      </c>
      <c r="F371" s="1">
        <v>1372</v>
      </c>
      <c r="G371" s="14">
        <v>24</v>
      </c>
      <c r="H371" s="1">
        <v>0.06</v>
      </c>
      <c r="I371" s="14">
        <v>30952.32</v>
      </c>
      <c r="J371" s="14">
        <v>16464</v>
      </c>
      <c r="K371" s="15">
        <f>Table5[[#This Row],[Selling Price]]*Table5[[#This Row],[Units Sold]]</f>
        <v>32928</v>
      </c>
      <c r="L371" t="str">
        <f t="shared" si="5"/>
        <v>2023-09</v>
      </c>
      <c r="M371" t="str">
        <f>VLOOKUP(Table5[[#This Row],[Store ID]],Table4[[Store ID]:[Store Location]],2)</f>
        <v>Birmingham</v>
      </c>
      <c r="N371" t="str">
        <f>VLOOKUP(Table5[[#This Row],[Store ID]],Table4[[Store ID]:[Region]],3)</f>
        <v>Midlands</v>
      </c>
      <c r="O371" t="str">
        <f>VLOOKUP(Table5[[#This Row],[Product ID]],'Product Master'!$A$2:$D$10,4)</f>
        <v>Supplier A</v>
      </c>
      <c r="P371" s="15">
        <f>Table5[[#This Row],[Total Revenue]]-Table5[[#This Row],[Net Sales Revenue]]</f>
        <v>1975.6800000000003</v>
      </c>
      <c r="Q371" s="15">
        <f>Table5[[#This Row],[Net Sales Revenue]]/Table5[[#This Row],[Units Sold]]</f>
        <v>22.56</v>
      </c>
      <c r="R371">
        <f>VLOOKUP(Table5[[#This Row],[Product ID]],'Product Master'!$A$1:$E$10,5,FALSE)</f>
        <v>12</v>
      </c>
      <c r="S371" s="15">
        <f>Table5[[#This Row],[standard product cost per unit]]*Table5[[#This Row],[Units Sold]]</f>
        <v>16464</v>
      </c>
      <c r="T371" s="15">
        <f>Table5[[#This Row],[Cost of Sales]]-Table5[[#This Row],[Standard cost]]</f>
        <v>0</v>
      </c>
      <c r="U371" s="15">
        <f>Table5[[#This Row],[Net Sales Revenue]]-Table5[[#This Row],[Cost of Sales]]</f>
        <v>14488.32</v>
      </c>
      <c r="V371" s="17">
        <f>Table5[[#This Row],[GrossProfit]]/Table5[[#This Row],[Net Sales Revenue]]</f>
        <v>0.46808510638297873</v>
      </c>
    </row>
    <row r="372" spans="1:22" ht="14.25" customHeight="1" x14ac:dyDescent="0.25">
      <c r="A372" s="1" t="s">
        <v>446</v>
      </c>
      <c r="B372" s="1" t="s">
        <v>436</v>
      </c>
      <c r="C372" s="1" t="s">
        <v>44</v>
      </c>
      <c r="D372" s="1" t="s">
        <v>10</v>
      </c>
      <c r="E372" s="1" t="s">
        <v>8</v>
      </c>
      <c r="F372" s="1">
        <v>1908</v>
      </c>
      <c r="G372" s="14">
        <v>50</v>
      </c>
      <c r="H372" s="1">
        <v>0.06</v>
      </c>
      <c r="I372" s="14">
        <v>89676</v>
      </c>
      <c r="J372" s="14">
        <v>53424</v>
      </c>
      <c r="K372" s="15">
        <f>Table5[[#This Row],[Selling Price]]*Table5[[#This Row],[Units Sold]]</f>
        <v>95400</v>
      </c>
      <c r="L372" t="str">
        <f t="shared" si="5"/>
        <v>2023-09</v>
      </c>
      <c r="M372" t="str">
        <f>VLOOKUP(Table5[[#This Row],[Store ID]],Table4[[Store ID]:[Store Location]],2)</f>
        <v>Birmingham</v>
      </c>
      <c r="N372" t="str">
        <f>VLOOKUP(Table5[[#This Row],[Store ID]],Table4[[Store ID]:[Region]],3)</f>
        <v>Midlands</v>
      </c>
      <c r="O372" t="str">
        <f>VLOOKUP(Table5[[#This Row],[Product ID]],'Product Master'!$A$2:$D$10,4)</f>
        <v>Supplier B</v>
      </c>
      <c r="P372" s="15">
        <f>Table5[[#This Row],[Total Revenue]]-Table5[[#This Row],[Net Sales Revenue]]</f>
        <v>5724</v>
      </c>
      <c r="Q372" s="15">
        <f>Table5[[#This Row],[Net Sales Revenue]]/Table5[[#This Row],[Units Sold]]</f>
        <v>47</v>
      </c>
      <c r="R372">
        <f>VLOOKUP(Table5[[#This Row],[Product ID]],'Product Master'!$A$1:$E$10,5,FALSE)</f>
        <v>28</v>
      </c>
      <c r="S372" s="15">
        <f>Table5[[#This Row],[standard product cost per unit]]*Table5[[#This Row],[Units Sold]]</f>
        <v>53424</v>
      </c>
      <c r="T372" s="15">
        <f>Table5[[#This Row],[Cost of Sales]]-Table5[[#This Row],[Standard cost]]</f>
        <v>0</v>
      </c>
      <c r="U372" s="15">
        <f>Table5[[#This Row],[Net Sales Revenue]]-Table5[[#This Row],[Cost of Sales]]</f>
        <v>36252</v>
      </c>
      <c r="V372" s="17">
        <f>Table5[[#This Row],[GrossProfit]]/Table5[[#This Row],[Net Sales Revenue]]</f>
        <v>0.40425531914893614</v>
      </c>
    </row>
    <row r="373" spans="1:22" ht="14.25" customHeight="1" x14ac:dyDescent="0.25">
      <c r="A373" s="1" t="s">
        <v>447</v>
      </c>
      <c r="B373" s="1" t="s">
        <v>436</v>
      </c>
      <c r="C373" s="1" t="s">
        <v>44</v>
      </c>
      <c r="D373" s="1" t="s">
        <v>13</v>
      </c>
      <c r="E373" s="1" t="s">
        <v>15</v>
      </c>
      <c r="F373" s="1">
        <v>1804</v>
      </c>
      <c r="G373" s="14">
        <v>28</v>
      </c>
      <c r="H373" s="1">
        <v>0.09</v>
      </c>
      <c r="I373" s="14">
        <v>45965.919999999998</v>
      </c>
      <c r="J373" s="14">
        <v>27060</v>
      </c>
      <c r="K373" s="15">
        <f>Table5[[#This Row],[Selling Price]]*Table5[[#This Row],[Units Sold]]</f>
        <v>50512</v>
      </c>
      <c r="L373" t="str">
        <f t="shared" si="5"/>
        <v>2023-09</v>
      </c>
      <c r="M373" t="str">
        <f>VLOOKUP(Table5[[#This Row],[Store ID]],Table4[[Store ID]:[Store Location]],2)</f>
        <v>Birmingham</v>
      </c>
      <c r="N373" t="str">
        <f>VLOOKUP(Table5[[#This Row],[Store ID]],Table4[[Store ID]:[Region]],3)</f>
        <v>Midlands</v>
      </c>
      <c r="O373" t="str">
        <f>VLOOKUP(Table5[[#This Row],[Product ID]],'Product Master'!$A$2:$D$10,4)</f>
        <v>Supplier C</v>
      </c>
      <c r="P373" s="15">
        <f>Table5[[#This Row],[Total Revenue]]-Table5[[#This Row],[Net Sales Revenue]]</f>
        <v>4546.0800000000017</v>
      </c>
      <c r="Q373" s="15">
        <f>Table5[[#This Row],[Net Sales Revenue]]/Table5[[#This Row],[Units Sold]]</f>
        <v>25.48</v>
      </c>
      <c r="R373">
        <f>VLOOKUP(Table5[[#This Row],[Product ID]],'Product Master'!$A$1:$E$10,5,FALSE)</f>
        <v>15</v>
      </c>
      <c r="S373" s="15">
        <f>Table5[[#This Row],[standard product cost per unit]]*Table5[[#This Row],[Units Sold]]</f>
        <v>27060</v>
      </c>
      <c r="T373" s="15">
        <f>Table5[[#This Row],[Cost of Sales]]-Table5[[#This Row],[Standard cost]]</f>
        <v>0</v>
      </c>
      <c r="U373" s="15">
        <f>Table5[[#This Row],[Net Sales Revenue]]-Table5[[#This Row],[Cost of Sales]]</f>
        <v>18905.919999999998</v>
      </c>
      <c r="V373" s="17">
        <f>Table5[[#This Row],[GrossProfit]]/Table5[[#This Row],[Net Sales Revenue]]</f>
        <v>0.41130298273155413</v>
      </c>
    </row>
    <row r="374" spans="1:22" ht="14.25" customHeight="1" x14ac:dyDescent="0.25">
      <c r="A374" s="1" t="s">
        <v>448</v>
      </c>
      <c r="B374" s="1" t="s">
        <v>436</v>
      </c>
      <c r="C374" s="1" t="s">
        <v>44</v>
      </c>
      <c r="D374" s="1" t="s">
        <v>17</v>
      </c>
      <c r="E374" s="1" t="s">
        <v>15</v>
      </c>
      <c r="F374" s="1">
        <v>2528</v>
      </c>
      <c r="G374" s="14">
        <v>35</v>
      </c>
      <c r="H374" s="1">
        <v>0.08</v>
      </c>
      <c r="I374" s="14">
        <v>81401.600000000006</v>
      </c>
      <c r="J374" s="14">
        <v>45504</v>
      </c>
      <c r="K374" s="15">
        <f>Table5[[#This Row],[Selling Price]]*Table5[[#This Row],[Units Sold]]</f>
        <v>88480</v>
      </c>
      <c r="L374" t="str">
        <f t="shared" si="5"/>
        <v>2023-09</v>
      </c>
      <c r="M374" t="str">
        <f>VLOOKUP(Table5[[#This Row],[Store ID]],Table4[[Store ID]:[Store Location]],2)</f>
        <v>Birmingham</v>
      </c>
      <c r="N374" t="str">
        <f>VLOOKUP(Table5[[#This Row],[Store ID]],Table4[[Store ID]:[Region]],3)</f>
        <v>Midlands</v>
      </c>
      <c r="O374" t="str">
        <f>VLOOKUP(Table5[[#This Row],[Product ID]],'Product Master'!$A$2:$D$10,4)</f>
        <v>Supplier C</v>
      </c>
      <c r="P374" s="15">
        <f>Table5[[#This Row],[Total Revenue]]-Table5[[#This Row],[Net Sales Revenue]]</f>
        <v>7078.3999999999942</v>
      </c>
      <c r="Q374" s="15">
        <f>Table5[[#This Row],[Net Sales Revenue]]/Table5[[#This Row],[Units Sold]]</f>
        <v>32.200000000000003</v>
      </c>
      <c r="R374">
        <f>VLOOKUP(Table5[[#This Row],[Product ID]],'Product Master'!$A$1:$E$10,5,FALSE)</f>
        <v>18</v>
      </c>
      <c r="S374" s="15">
        <f>Table5[[#This Row],[standard product cost per unit]]*Table5[[#This Row],[Units Sold]]</f>
        <v>45504</v>
      </c>
      <c r="T374" s="15">
        <f>Table5[[#This Row],[Cost of Sales]]-Table5[[#This Row],[Standard cost]]</f>
        <v>0</v>
      </c>
      <c r="U374" s="15">
        <f>Table5[[#This Row],[Net Sales Revenue]]-Table5[[#This Row],[Cost of Sales]]</f>
        <v>35897.600000000006</v>
      </c>
      <c r="V374" s="17">
        <f>Table5[[#This Row],[GrossProfit]]/Table5[[#This Row],[Net Sales Revenue]]</f>
        <v>0.44099378881987583</v>
      </c>
    </row>
    <row r="375" spans="1:22" ht="14.25" customHeight="1" x14ac:dyDescent="0.25">
      <c r="A375" s="1" t="s">
        <v>449</v>
      </c>
      <c r="B375" s="1" t="s">
        <v>436</v>
      </c>
      <c r="C375" s="1" t="s">
        <v>44</v>
      </c>
      <c r="D375" s="1" t="s">
        <v>19</v>
      </c>
      <c r="E375" s="1" t="s">
        <v>21</v>
      </c>
      <c r="F375" s="1">
        <v>1256</v>
      </c>
      <c r="G375" s="14">
        <v>18</v>
      </c>
      <c r="H375" s="1">
        <v>0.06</v>
      </c>
      <c r="I375" s="14">
        <v>21251.52</v>
      </c>
      <c r="J375" s="14">
        <v>11304</v>
      </c>
      <c r="K375" s="15">
        <f>Table5[[#This Row],[Selling Price]]*Table5[[#This Row],[Units Sold]]</f>
        <v>22608</v>
      </c>
      <c r="L375" t="str">
        <f t="shared" si="5"/>
        <v>2023-09</v>
      </c>
      <c r="M375" t="str">
        <f>VLOOKUP(Table5[[#This Row],[Store ID]],Table4[[Store ID]:[Store Location]],2)</f>
        <v>Birmingham</v>
      </c>
      <c r="N375" t="str">
        <f>VLOOKUP(Table5[[#This Row],[Store ID]],Table4[[Store ID]:[Region]],3)</f>
        <v>Midlands</v>
      </c>
      <c r="O375" t="str">
        <f>VLOOKUP(Table5[[#This Row],[Product ID]],'Product Master'!$A$2:$D$10,4)</f>
        <v>Supplier D</v>
      </c>
      <c r="P375" s="15">
        <f>Table5[[#This Row],[Total Revenue]]-Table5[[#This Row],[Net Sales Revenue]]</f>
        <v>1356.4799999999996</v>
      </c>
      <c r="Q375" s="15">
        <f>Table5[[#This Row],[Net Sales Revenue]]/Table5[[#This Row],[Units Sold]]</f>
        <v>16.920000000000002</v>
      </c>
      <c r="R375">
        <f>VLOOKUP(Table5[[#This Row],[Product ID]],'Product Master'!$A$1:$E$10,5,FALSE)</f>
        <v>9</v>
      </c>
      <c r="S375" s="15">
        <f>Table5[[#This Row],[standard product cost per unit]]*Table5[[#This Row],[Units Sold]]</f>
        <v>11304</v>
      </c>
      <c r="T375" s="15">
        <f>Table5[[#This Row],[Cost of Sales]]-Table5[[#This Row],[Standard cost]]</f>
        <v>0</v>
      </c>
      <c r="U375" s="15">
        <f>Table5[[#This Row],[Net Sales Revenue]]-Table5[[#This Row],[Cost of Sales]]</f>
        <v>9947.52</v>
      </c>
      <c r="V375" s="17">
        <f>Table5[[#This Row],[GrossProfit]]/Table5[[#This Row],[Net Sales Revenue]]</f>
        <v>0.46808510638297873</v>
      </c>
    </row>
    <row r="376" spans="1:22" ht="14.25" customHeight="1" x14ac:dyDescent="0.25">
      <c r="A376" s="1" t="s">
        <v>450</v>
      </c>
      <c r="B376" s="1" t="s">
        <v>436</v>
      </c>
      <c r="C376" s="1" t="s">
        <v>44</v>
      </c>
      <c r="D376" s="1" t="s">
        <v>23</v>
      </c>
      <c r="E376" s="1" t="s">
        <v>21</v>
      </c>
      <c r="F376" s="1">
        <v>2796</v>
      </c>
      <c r="G376" s="14">
        <v>30</v>
      </c>
      <c r="H376" s="1">
        <v>0.06</v>
      </c>
      <c r="I376" s="14">
        <v>78847.199999999997</v>
      </c>
      <c r="J376" s="14">
        <v>39144</v>
      </c>
      <c r="K376" s="15">
        <f>Table5[[#This Row],[Selling Price]]*Table5[[#This Row],[Units Sold]]</f>
        <v>83880</v>
      </c>
      <c r="L376" t="str">
        <f t="shared" si="5"/>
        <v>2023-09</v>
      </c>
      <c r="M376" t="str">
        <f>VLOOKUP(Table5[[#This Row],[Store ID]],Table4[[Store ID]:[Store Location]],2)</f>
        <v>Birmingham</v>
      </c>
      <c r="N376" t="str">
        <f>VLOOKUP(Table5[[#This Row],[Store ID]],Table4[[Store ID]:[Region]],3)</f>
        <v>Midlands</v>
      </c>
      <c r="O376" t="str">
        <f>VLOOKUP(Table5[[#This Row],[Product ID]],'Product Master'!$A$2:$D$10,4)</f>
        <v>Supplier D</v>
      </c>
      <c r="P376" s="15">
        <f>Table5[[#This Row],[Total Revenue]]-Table5[[#This Row],[Net Sales Revenue]]</f>
        <v>5032.8000000000029</v>
      </c>
      <c r="Q376" s="15">
        <f>Table5[[#This Row],[Net Sales Revenue]]/Table5[[#This Row],[Units Sold]]</f>
        <v>28.2</v>
      </c>
      <c r="R376">
        <f>VLOOKUP(Table5[[#This Row],[Product ID]],'Product Master'!$A$1:$E$10,5,FALSE)</f>
        <v>14</v>
      </c>
      <c r="S376" s="15">
        <f>Table5[[#This Row],[standard product cost per unit]]*Table5[[#This Row],[Units Sold]]</f>
        <v>39144</v>
      </c>
      <c r="T376" s="15">
        <f>Table5[[#This Row],[Cost of Sales]]-Table5[[#This Row],[Standard cost]]</f>
        <v>0</v>
      </c>
      <c r="U376" s="15">
        <f>Table5[[#This Row],[Net Sales Revenue]]-Table5[[#This Row],[Cost of Sales]]</f>
        <v>39703.199999999997</v>
      </c>
      <c r="V376" s="17">
        <f>Table5[[#This Row],[GrossProfit]]/Table5[[#This Row],[Net Sales Revenue]]</f>
        <v>0.50354609929078009</v>
      </c>
    </row>
    <row r="377" spans="1:22" ht="14.25" customHeight="1" x14ac:dyDescent="0.25">
      <c r="A377" s="1" t="s">
        <v>451</v>
      </c>
      <c r="B377" s="1" t="s">
        <v>436</v>
      </c>
      <c r="C377" s="1" t="s">
        <v>44</v>
      </c>
      <c r="D377" s="1" t="s">
        <v>25</v>
      </c>
      <c r="E377" s="1" t="s">
        <v>27</v>
      </c>
      <c r="F377" s="1">
        <v>1680</v>
      </c>
      <c r="G377" s="14">
        <v>40</v>
      </c>
      <c r="H377" s="1">
        <v>0.08</v>
      </c>
      <c r="I377" s="14">
        <v>61824</v>
      </c>
      <c r="J377" s="14">
        <v>33600</v>
      </c>
      <c r="K377" s="15">
        <f>Table5[[#This Row],[Selling Price]]*Table5[[#This Row],[Units Sold]]</f>
        <v>67200</v>
      </c>
      <c r="L377" t="str">
        <f t="shared" si="5"/>
        <v>2023-09</v>
      </c>
      <c r="M377" t="str">
        <f>VLOOKUP(Table5[[#This Row],[Store ID]],Table4[[Store ID]:[Store Location]],2)</f>
        <v>Birmingham</v>
      </c>
      <c r="N377" t="str">
        <f>VLOOKUP(Table5[[#This Row],[Store ID]],Table4[[Store ID]:[Region]],3)</f>
        <v>Midlands</v>
      </c>
      <c r="O377" t="str">
        <f>VLOOKUP(Table5[[#This Row],[Product ID]],'Product Master'!$A$2:$D$10,4)</f>
        <v>Supplier E</v>
      </c>
      <c r="P377" s="15">
        <f>Table5[[#This Row],[Total Revenue]]-Table5[[#This Row],[Net Sales Revenue]]</f>
        <v>5376</v>
      </c>
      <c r="Q377" s="15">
        <f>Table5[[#This Row],[Net Sales Revenue]]/Table5[[#This Row],[Units Sold]]</f>
        <v>36.799999999999997</v>
      </c>
      <c r="R377">
        <f>VLOOKUP(Table5[[#This Row],[Product ID]],'Product Master'!$A$1:$E$10,5,FALSE)</f>
        <v>20</v>
      </c>
      <c r="S377" s="15">
        <f>Table5[[#This Row],[standard product cost per unit]]*Table5[[#This Row],[Units Sold]]</f>
        <v>33600</v>
      </c>
      <c r="T377" s="15">
        <f>Table5[[#This Row],[Cost of Sales]]-Table5[[#This Row],[Standard cost]]</f>
        <v>0</v>
      </c>
      <c r="U377" s="15">
        <f>Table5[[#This Row],[Net Sales Revenue]]-Table5[[#This Row],[Cost of Sales]]</f>
        <v>28224</v>
      </c>
      <c r="V377" s="17">
        <f>Table5[[#This Row],[GrossProfit]]/Table5[[#This Row],[Net Sales Revenue]]</f>
        <v>0.45652173913043476</v>
      </c>
    </row>
    <row r="378" spans="1:22" ht="14.25" customHeight="1" x14ac:dyDescent="0.25">
      <c r="A378" s="1" t="s">
        <v>452</v>
      </c>
      <c r="B378" s="1" t="s">
        <v>436</v>
      </c>
      <c r="C378" s="1" t="s">
        <v>44</v>
      </c>
      <c r="D378" s="1" t="s">
        <v>29</v>
      </c>
      <c r="E378" s="1" t="s">
        <v>31</v>
      </c>
      <c r="F378" s="1">
        <v>2300</v>
      </c>
      <c r="G378" s="14">
        <v>10</v>
      </c>
      <c r="H378" s="1">
        <v>0.09</v>
      </c>
      <c r="I378" s="14">
        <v>20930</v>
      </c>
      <c r="J378" s="14">
        <v>9200</v>
      </c>
      <c r="K378" s="15">
        <f>Table5[[#This Row],[Selling Price]]*Table5[[#This Row],[Units Sold]]</f>
        <v>23000</v>
      </c>
      <c r="L378" t="str">
        <f t="shared" si="5"/>
        <v>2023-09</v>
      </c>
      <c r="M378" t="str">
        <f>VLOOKUP(Table5[[#This Row],[Store ID]],Table4[[Store ID]:[Store Location]],2)</f>
        <v>Birmingham</v>
      </c>
      <c r="N378" t="str">
        <f>VLOOKUP(Table5[[#This Row],[Store ID]],Table4[[Store ID]:[Region]],3)</f>
        <v>Midlands</v>
      </c>
      <c r="O378" t="str">
        <f>VLOOKUP(Table5[[#This Row],[Product ID]],'Product Master'!$A$2:$D$10,4)</f>
        <v>Supplier F</v>
      </c>
      <c r="P378" s="15">
        <f>Table5[[#This Row],[Total Revenue]]-Table5[[#This Row],[Net Sales Revenue]]</f>
        <v>2070</v>
      </c>
      <c r="Q378" s="15">
        <f>Table5[[#This Row],[Net Sales Revenue]]/Table5[[#This Row],[Units Sold]]</f>
        <v>9.1</v>
      </c>
      <c r="R378">
        <f>VLOOKUP(Table5[[#This Row],[Product ID]],'Product Master'!$A$1:$E$10,5,FALSE)</f>
        <v>4</v>
      </c>
      <c r="S378" s="15">
        <f>Table5[[#This Row],[standard product cost per unit]]*Table5[[#This Row],[Units Sold]]</f>
        <v>9200</v>
      </c>
      <c r="T378" s="15">
        <f>Table5[[#This Row],[Cost of Sales]]-Table5[[#This Row],[Standard cost]]</f>
        <v>0</v>
      </c>
      <c r="U378" s="15">
        <f>Table5[[#This Row],[Net Sales Revenue]]-Table5[[#This Row],[Cost of Sales]]</f>
        <v>11730</v>
      </c>
      <c r="V378" s="17">
        <f>Table5[[#This Row],[GrossProfit]]/Table5[[#This Row],[Net Sales Revenue]]</f>
        <v>0.56043956043956045</v>
      </c>
    </row>
    <row r="379" spans="1:22" ht="14.25" customHeight="1" x14ac:dyDescent="0.25">
      <c r="A379" s="1" t="s">
        <v>453</v>
      </c>
      <c r="B379" s="1" t="s">
        <v>436</v>
      </c>
      <c r="C379" s="1" t="s">
        <v>44</v>
      </c>
      <c r="D379" s="1" t="s">
        <v>33</v>
      </c>
      <c r="E379" s="1" t="s">
        <v>31</v>
      </c>
      <c r="F379" s="1">
        <v>1520</v>
      </c>
      <c r="G379" s="14">
        <v>22</v>
      </c>
      <c r="H379" s="1">
        <v>0.05</v>
      </c>
      <c r="I379" s="14">
        <v>31768</v>
      </c>
      <c r="J379" s="14">
        <v>15200</v>
      </c>
      <c r="K379" s="15">
        <f>Table5[[#This Row],[Selling Price]]*Table5[[#This Row],[Units Sold]]</f>
        <v>33440</v>
      </c>
      <c r="L379" t="str">
        <f t="shared" si="5"/>
        <v>2023-09</v>
      </c>
      <c r="M379" t="str">
        <f>VLOOKUP(Table5[[#This Row],[Store ID]],Table4[[Store ID]:[Store Location]],2)</f>
        <v>Birmingham</v>
      </c>
      <c r="N379" t="str">
        <f>VLOOKUP(Table5[[#This Row],[Store ID]],Table4[[Store ID]:[Region]],3)</f>
        <v>Midlands</v>
      </c>
      <c r="O379" t="str">
        <f>VLOOKUP(Table5[[#This Row],[Product ID]],'Product Master'!$A$2:$D$10,4)</f>
        <v>Supplier F</v>
      </c>
      <c r="P379" s="15">
        <f>Table5[[#This Row],[Total Revenue]]-Table5[[#This Row],[Net Sales Revenue]]</f>
        <v>1672</v>
      </c>
      <c r="Q379" s="15">
        <f>Table5[[#This Row],[Net Sales Revenue]]/Table5[[#This Row],[Units Sold]]</f>
        <v>20.9</v>
      </c>
      <c r="R379">
        <f>VLOOKUP(Table5[[#This Row],[Product ID]],'Product Master'!$A$1:$E$10,5,FALSE)</f>
        <v>10</v>
      </c>
      <c r="S379" s="15">
        <f>Table5[[#This Row],[standard product cost per unit]]*Table5[[#This Row],[Units Sold]]</f>
        <v>15200</v>
      </c>
      <c r="T379" s="15">
        <f>Table5[[#This Row],[Cost of Sales]]-Table5[[#This Row],[Standard cost]]</f>
        <v>0</v>
      </c>
      <c r="U379" s="15">
        <f>Table5[[#This Row],[Net Sales Revenue]]-Table5[[#This Row],[Cost of Sales]]</f>
        <v>16568</v>
      </c>
      <c r="V379" s="17">
        <f>Table5[[#This Row],[GrossProfit]]/Table5[[#This Row],[Net Sales Revenue]]</f>
        <v>0.52153110047846885</v>
      </c>
    </row>
    <row r="380" spans="1:22" ht="14.25" customHeight="1" x14ac:dyDescent="0.25">
      <c r="A380" s="1" t="s">
        <v>454</v>
      </c>
      <c r="B380" s="1" t="s">
        <v>436</v>
      </c>
      <c r="C380" s="1" t="s">
        <v>48</v>
      </c>
      <c r="D380" s="1" t="s">
        <v>6</v>
      </c>
      <c r="E380" s="1" t="s">
        <v>8</v>
      </c>
      <c r="F380" s="1">
        <v>1696</v>
      </c>
      <c r="G380" s="14">
        <v>24</v>
      </c>
      <c r="H380" s="1">
        <v>0.05</v>
      </c>
      <c r="I380" s="14">
        <v>38668.800000000003</v>
      </c>
      <c r="J380" s="14">
        <v>20352</v>
      </c>
      <c r="K380" s="15">
        <f>Table5[[#This Row],[Selling Price]]*Table5[[#This Row],[Units Sold]]</f>
        <v>40704</v>
      </c>
      <c r="L380" t="str">
        <f t="shared" si="5"/>
        <v>2023-09</v>
      </c>
      <c r="M380" t="str">
        <f>VLOOKUP(Table5[[#This Row],[Store ID]],Table4[[Store ID]:[Store Location]],2)</f>
        <v>London Stratford</v>
      </c>
      <c r="N380" t="str">
        <f>VLOOKUP(Table5[[#This Row],[Store ID]],Table4[[Store ID]:[Region]],3)</f>
        <v>South</v>
      </c>
      <c r="O380" t="str">
        <f>VLOOKUP(Table5[[#This Row],[Product ID]],'Product Master'!$A$2:$D$10,4)</f>
        <v>Supplier A</v>
      </c>
      <c r="P380" s="15">
        <f>Table5[[#This Row],[Total Revenue]]-Table5[[#This Row],[Net Sales Revenue]]</f>
        <v>2035.1999999999971</v>
      </c>
      <c r="Q380" s="15">
        <f>Table5[[#This Row],[Net Sales Revenue]]/Table5[[#This Row],[Units Sold]]</f>
        <v>22.8</v>
      </c>
      <c r="R380">
        <f>VLOOKUP(Table5[[#This Row],[Product ID]],'Product Master'!$A$1:$E$10,5,FALSE)</f>
        <v>12</v>
      </c>
      <c r="S380" s="15">
        <f>Table5[[#This Row],[standard product cost per unit]]*Table5[[#This Row],[Units Sold]]</f>
        <v>20352</v>
      </c>
      <c r="T380" s="15">
        <f>Table5[[#This Row],[Cost of Sales]]-Table5[[#This Row],[Standard cost]]</f>
        <v>0</v>
      </c>
      <c r="U380" s="15">
        <f>Table5[[#This Row],[Net Sales Revenue]]-Table5[[#This Row],[Cost of Sales]]</f>
        <v>18316.800000000003</v>
      </c>
      <c r="V380" s="17">
        <f>Table5[[#This Row],[GrossProfit]]/Table5[[#This Row],[Net Sales Revenue]]</f>
        <v>0.47368421052631582</v>
      </c>
    </row>
    <row r="381" spans="1:22" ht="14.25" customHeight="1" x14ac:dyDescent="0.25">
      <c r="A381" s="1" t="s">
        <v>455</v>
      </c>
      <c r="B381" s="1" t="s">
        <v>436</v>
      </c>
      <c r="C381" s="1" t="s">
        <v>48</v>
      </c>
      <c r="D381" s="1" t="s">
        <v>10</v>
      </c>
      <c r="E381" s="1" t="s">
        <v>8</v>
      </c>
      <c r="F381" s="1">
        <v>1716</v>
      </c>
      <c r="G381" s="14">
        <v>50</v>
      </c>
      <c r="H381" s="1">
        <v>0.09</v>
      </c>
      <c r="I381" s="14">
        <v>78078</v>
      </c>
      <c r="J381" s="14">
        <v>48048</v>
      </c>
      <c r="K381" s="15">
        <f>Table5[[#This Row],[Selling Price]]*Table5[[#This Row],[Units Sold]]</f>
        <v>85800</v>
      </c>
      <c r="L381" t="str">
        <f t="shared" si="5"/>
        <v>2023-09</v>
      </c>
      <c r="M381" t="str">
        <f>VLOOKUP(Table5[[#This Row],[Store ID]],Table4[[Store ID]:[Store Location]],2)</f>
        <v>London Stratford</v>
      </c>
      <c r="N381" t="str">
        <f>VLOOKUP(Table5[[#This Row],[Store ID]],Table4[[Store ID]:[Region]],3)</f>
        <v>South</v>
      </c>
      <c r="O381" t="str">
        <f>VLOOKUP(Table5[[#This Row],[Product ID]],'Product Master'!$A$2:$D$10,4)</f>
        <v>Supplier B</v>
      </c>
      <c r="P381" s="15">
        <f>Table5[[#This Row],[Total Revenue]]-Table5[[#This Row],[Net Sales Revenue]]</f>
        <v>7722</v>
      </c>
      <c r="Q381" s="15">
        <f>Table5[[#This Row],[Net Sales Revenue]]/Table5[[#This Row],[Units Sold]]</f>
        <v>45.5</v>
      </c>
      <c r="R381">
        <f>VLOOKUP(Table5[[#This Row],[Product ID]],'Product Master'!$A$1:$E$10,5,FALSE)</f>
        <v>28</v>
      </c>
      <c r="S381" s="15">
        <f>Table5[[#This Row],[standard product cost per unit]]*Table5[[#This Row],[Units Sold]]</f>
        <v>48048</v>
      </c>
      <c r="T381" s="15">
        <f>Table5[[#This Row],[Cost of Sales]]-Table5[[#This Row],[Standard cost]]</f>
        <v>0</v>
      </c>
      <c r="U381" s="15">
        <f>Table5[[#This Row],[Net Sales Revenue]]-Table5[[#This Row],[Cost of Sales]]</f>
        <v>30030</v>
      </c>
      <c r="V381" s="17">
        <f>Table5[[#This Row],[GrossProfit]]/Table5[[#This Row],[Net Sales Revenue]]</f>
        <v>0.38461538461538464</v>
      </c>
    </row>
    <row r="382" spans="1:22" ht="14.25" customHeight="1" x14ac:dyDescent="0.25">
      <c r="A382" s="1" t="s">
        <v>456</v>
      </c>
      <c r="B382" s="1" t="s">
        <v>436</v>
      </c>
      <c r="C382" s="1" t="s">
        <v>48</v>
      </c>
      <c r="D382" s="1" t="s">
        <v>13</v>
      </c>
      <c r="E382" s="1" t="s">
        <v>15</v>
      </c>
      <c r="F382" s="1">
        <v>2172</v>
      </c>
      <c r="G382" s="14">
        <v>28</v>
      </c>
      <c r="H382" s="1">
        <v>0.08</v>
      </c>
      <c r="I382" s="14">
        <v>55950.720000000001</v>
      </c>
      <c r="J382" s="14">
        <v>32580</v>
      </c>
      <c r="K382" s="15">
        <f>Table5[[#This Row],[Selling Price]]*Table5[[#This Row],[Units Sold]]</f>
        <v>60816</v>
      </c>
      <c r="L382" t="str">
        <f t="shared" si="5"/>
        <v>2023-09</v>
      </c>
      <c r="M382" t="str">
        <f>VLOOKUP(Table5[[#This Row],[Store ID]],Table4[[Store ID]:[Store Location]],2)</f>
        <v>London Stratford</v>
      </c>
      <c r="N382" t="str">
        <f>VLOOKUP(Table5[[#This Row],[Store ID]],Table4[[Store ID]:[Region]],3)</f>
        <v>South</v>
      </c>
      <c r="O382" t="str">
        <f>VLOOKUP(Table5[[#This Row],[Product ID]],'Product Master'!$A$2:$D$10,4)</f>
        <v>Supplier C</v>
      </c>
      <c r="P382" s="15">
        <f>Table5[[#This Row],[Total Revenue]]-Table5[[#This Row],[Net Sales Revenue]]</f>
        <v>4865.2799999999988</v>
      </c>
      <c r="Q382" s="15">
        <f>Table5[[#This Row],[Net Sales Revenue]]/Table5[[#This Row],[Units Sold]]</f>
        <v>25.76</v>
      </c>
      <c r="R382">
        <f>VLOOKUP(Table5[[#This Row],[Product ID]],'Product Master'!$A$1:$E$10,5,FALSE)</f>
        <v>15</v>
      </c>
      <c r="S382" s="15">
        <f>Table5[[#This Row],[standard product cost per unit]]*Table5[[#This Row],[Units Sold]]</f>
        <v>32580</v>
      </c>
      <c r="T382" s="15">
        <f>Table5[[#This Row],[Cost of Sales]]-Table5[[#This Row],[Standard cost]]</f>
        <v>0</v>
      </c>
      <c r="U382" s="15">
        <f>Table5[[#This Row],[Net Sales Revenue]]-Table5[[#This Row],[Cost of Sales]]</f>
        <v>23370.720000000001</v>
      </c>
      <c r="V382" s="17">
        <f>Table5[[#This Row],[GrossProfit]]/Table5[[#This Row],[Net Sales Revenue]]</f>
        <v>0.41770186335403731</v>
      </c>
    </row>
    <row r="383" spans="1:22" ht="14.25" customHeight="1" x14ac:dyDescent="0.25">
      <c r="A383" s="1" t="s">
        <v>457</v>
      </c>
      <c r="B383" s="1" t="s">
        <v>436</v>
      </c>
      <c r="C383" s="1" t="s">
        <v>48</v>
      </c>
      <c r="D383" s="1" t="s">
        <v>17</v>
      </c>
      <c r="E383" s="1" t="s">
        <v>15</v>
      </c>
      <c r="F383" s="1">
        <v>2404</v>
      </c>
      <c r="G383" s="14">
        <v>35</v>
      </c>
      <c r="H383" s="1">
        <v>0.06</v>
      </c>
      <c r="I383" s="14">
        <v>79091.600000000006</v>
      </c>
      <c r="J383" s="14">
        <v>43272</v>
      </c>
      <c r="K383" s="15">
        <f>Table5[[#This Row],[Selling Price]]*Table5[[#This Row],[Units Sold]]</f>
        <v>84140</v>
      </c>
      <c r="L383" t="str">
        <f t="shared" si="5"/>
        <v>2023-09</v>
      </c>
      <c r="M383" t="str">
        <f>VLOOKUP(Table5[[#This Row],[Store ID]],Table4[[Store ID]:[Store Location]],2)</f>
        <v>London Stratford</v>
      </c>
      <c r="N383" t="str">
        <f>VLOOKUP(Table5[[#This Row],[Store ID]],Table4[[Store ID]:[Region]],3)</f>
        <v>South</v>
      </c>
      <c r="O383" t="str">
        <f>VLOOKUP(Table5[[#This Row],[Product ID]],'Product Master'!$A$2:$D$10,4)</f>
        <v>Supplier C</v>
      </c>
      <c r="P383" s="15">
        <f>Table5[[#This Row],[Total Revenue]]-Table5[[#This Row],[Net Sales Revenue]]</f>
        <v>5048.3999999999942</v>
      </c>
      <c r="Q383" s="15">
        <f>Table5[[#This Row],[Net Sales Revenue]]/Table5[[#This Row],[Units Sold]]</f>
        <v>32.900000000000006</v>
      </c>
      <c r="R383">
        <f>VLOOKUP(Table5[[#This Row],[Product ID]],'Product Master'!$A$1:$E$10,5,FALSE)</f>
        <v>18</v>
      </c>
      <c r="S383" s="15">
        <f>Table5[[#This Row],[standard product cost per unit]]*Table5[[#This Row],[Units Sold]]</f>
        <v>43272</v>
      </c>
      <c r="T383" s="15">
        <f>Table5[[#This Row],[Cost of Sales]]-Table5[[#This Row],[Standard cost]]</f>
        <v>0</v>
      </c>
      <c r="U383" s="15">
        <f>Table5[[#This Row],[Net Sales Revenue]]-Table5[[#This Row],[Cost of Sales]]</f>
        <v>35819.600000000006</v>
      </c>
      <c r="V383" s="17">
        <f>Table5[[#This Row],[GrossProfit]]/Table5[[#This Row],[Net Sales Revenue]]</f>
        <v>0.45288753799392101</v>
      </c>
    </row>
    <row r="384" spans="1:22" ht="14.25" customHeight="1" x14ac:dyDescent="0.25">
      <c r="A384" s="1" t="s">
        <v>458</v>
      </c>
      <c r="B384" s="1" t="s">
        <v>436</v>
      </c>
      <c r="C384" s="1" t="s">
        <v>48</v>
      </c>
      <c r="D384" s="1" t="s">
        <v>19</v>
      </c>
      <c r="E384" s="1" t="s">
        <v>21</v>
      </c>
      <c r="F384" s="1">
        <v>2188</v>
      </c>
      <c r="G384" s="14">
        <v>18</v>
      </c>
      <c r="H384" s="1">
        <v>0.09</v>
      </c>
      <c r="I384" s="14">
        <v>35839.440000000002</v>
      </c>
      <c r="J384" s="14">
        <v>19692</v>
      </c>
      <c r="K384" s="15">
        <f>Table5[[#This Row],[Selling Price]]*Table5[[#This Row],[Units Sold]]</f>
        <v>39384</v>
      </c>
      <c r="L384" t="str">
        <f t="shared" si="5"/>
        <v>2023-09</v>
      </c>
      <c r="M384" t="str">
        <f>VLOOKUP(Table5[[#This Row],[Store ID]],Table4[[Store ID]:[Store Location]],2)</f>
        <v>London Stratford</v>
      </c>
      <c r="N384" t="str">
        <f>VLOOKUP(Table5[[#This Row],[Store ID]],Table4[[Store ID]:[Region]],3)</f>
        <v>South</v>
      </c>
      <c r="O384" t="str">
        <f>VLOOKUP(Table5[[#This Row],[Product ID]],'Product Master'!$A$2:$D$10,4)</f>
        <v>Supplier D</v>
      </c>
      <c r="P384" s="15">
        <f>Table5[[#This Row],[Total Revenue]]-Table5[[#This Row],[Net Sales Revenue]]</f>
        <v>3544.5599999999977</v>
      </c>
      <c r="Q384" s="15">
        <f>Table5[[#This Row],[Net Sales Revenue]]/Table5[[#This Row],[Units Sold]]</f>
        <v>16.380000000000003</v>
      </c>
      <c r="R384">
        <f>VLOOKUP(Table5[[#This Row],[Product ID]],'Product Master'!$A$1:$E$10,5,FALSE)</f>
        <v>9</v>
      </c>
      <c r="S384" s="15">
        <f>Table5[[#This Row],[standard product cost per unit]]*Table5[[#This Row],[Units Sold]]</f>
        <v>19692</v>
      </c>
      <c r="T384" s="15">
        <f>Table5[[#This Row],[Cost of Sales]]-Table5[[#This Row],[Standard cost]]</f>
        <v>0</v>
      </c>
      <c r="U384" s="15">
        <f>Table5[[#This Row],[Net Sales Revenue]]-Table5[[#This Row],[Cost of Sales]]</f>
        <v>16147.440000000002</v>
      </c>
      <c r="V384" s="17">
        <f>Table5[[#This Row],[GrossProfit]]/Table5[[#This Row],[Net Sales Revenue]]</f>
        <v>0.45054945054945056</v>
      </c>
    </row>
    <row r="385" spans="1:22" ht="14.25" customHeight="1" x14ac:dyDescent="0.25">
      <c r="A385" s="1" t="s">
        <v>459</v>
      </c>
      <c r="B385" s="1" t="s">
        <v>436</v>
      </c>
      <c r="C385" s="1" t="s">
        <v>48</v>
      </c>
      <c r="D385" s="1" t="s">
        <v>23</v>
      </c>
      <c r="E385" s="1" t="s">
        <v>21</v>
      </c>
      <c r="F385" s="1">
        <v>1636</v>
      </c>
      <c r="G385" s="14">
        <v>30</v>
      </c>
      <c r="H385" s="1">
        <v>0.06</v>
      </c>
      <c r="I385" s="14">
        <v>46135.199999999997</v>
      </c>
      <c r="J385" s="14">
        <v>22904</v>
      </c>
      <c r="K385" s="15">
        <f>Table5[[#This Row],[Selling Price]]*Table5[[#This Row],[Units Sold]]</f>
        <v>49080</v>
      </c>
      <c r="L385" t="str">
        <f t="shared" si="5"/>
        <v>2023-09</v>
      </c>
      <c r="M385" t="str">
        <f>VLOOKUP(Table5[[#This Row],[Store ID]],Table4[[Store ID]:[Store Location]],2)</f>
        <v>London Stratford</v>
      </c>
      <c r="N385" t="str">
        <f>VLOOKUP(Table5[[#This Row],[Store ID]],Table4[[Store ID]:[Region]],3)</f>
        <v>South</v>
      </c>
      <c r="O385" t="str">
        <f>VLOOKUP(Table5[[#This Row],[Product ID]],'Product Master'!$A$2:$D$10,4)</f>
        <v>Supplier D</v>
      </c>
      <c r="P385" s="15">
        <f>Table5[[#This Row],[Total Revenue]]-Table5[[#This Row],[Net Sales Revenue]]</f>
        <v>2944.8000000000029</v>
      </c>
      <c r="Q385" s="15">
        <f>Table5[[#This Row],[Net Sales Revenue]]/Table5[[#This Row],[Units Sold]]</f>
        <v>28.2</v>
      </c>
      <c r="R385">
        <f>VLOOKUP(Table5[[#This Row],[Product ID]],'Product Master'!$A$1:$E$10,5,FALSE)</f>
        <v>14</v>
      </c>
      <c r="S385" s="15">
        <f>Table5[[#This Row],[standard product cost per unit]]*Table5[[#This Row],[Units Sold]]</f>
        <v>22904</v>
      </c>
      <c r="T385" s="15">
        <f>Table5[[#This Row],[Cost of Sales]]-Table5[[#This Row],[Standard cost]]</f>
        <v>0</v>
      </c>
      <c r="U385" s="15">
        <f>Table5[[#This Row],[Net Sales Revenue]]-Table5[[#This Row],[Cost of Sales]]</f>
        <v>23231.199999999997</v>
      </c>
      <c r="V385" s="17">
        <f>Table5[[#This Row],[GrossProfit]]/Table5[[#This Row],[Net Sales Revenue]]</f>
        <v>0.50354609929078009</v>
      </c>
    </row>
    <row r="386" spans="1:22" ht="14.25" customHeight="1" x14ac:dyDescent="0.25">
      <c r="A386" s="1" t="s">
        <v>460</v>
      </c>
      <c r="B386" s="1" t="s">
        <v>436</v>
      </c>
      <c r="C386" s="1" t="s">
        <v>48</v>
      </c>
      <c r="D386" s="1" t="s">
        <v>25</v>
      </c>
      <c r="E386" s="1" t="s">
        <v>27</v>
      </c>
      <c r="F386" s="1">
        <v>1364</v>
      </c>
      <c r="G386" s="14">
        <v>40</v>
      </c>
      <c r="H386" s="1">
        <v>0.08</v>
      </c>
      <c r="I386" s="14">
        <v>50195.199999999997</v>
      </c>
      <c r="J386" s="14">
        <v>27280</v>
      </c>
      <c r="K386" s="15">
        <f>Table5[[#This Row],[Selling Price]]*Table5[[#This Row],[Units Sold]]</f>
        <v>54560</v>
      </c>
      <c r="L386" t="str">
        <f t="shared" ref="L386:L449" si="6">TEXT(B386,"yyyy-mm")</f>
        <v>2023-09</v>
      </c>
      <c r="M386" t="str">
        <f>VLOOKUP(Table5[[#This Row],[Store ID]],Table4[[Store ID]:[Store Location]],2)</f>
        <v>London Stratford</v>
      </c>
      <c r="N386" t="str">
        <f>VLOOKUP(Table5[[#This Row],[Store ID]],Table4[[Store ID]:[Region]],3)</f>
        <v>South</v>
      </c>
      <c r="O386" t="str">
        <f>VLOOKUP(Table5[[#This Row],[Product ID]],'Product Master'!$A$2:$D$10,4)</f>
        <v>Supplier E</v>
      </c>
      <c r="P386" s="15">
        <f>Table5[[#This Row],[Total Revenue]]-Table5[[#This Row],[Net Sales Revenue]]</f>
        <v>4364.8000000000029</v>
      </c>
      <c r="Q386" s="15">
        <f>Table5[[#This Row],[Net Sales Revenue]]/Table5[[#This Row],[Units Sold]]</f>
        <v>36.799999999999997</v>
      </c>
      <c r="R386">
        <f>VLOOKUP(Table5[[#This Row],[Product ID]],'Product Master'!$A$1:$E$10,5,FALSE)</f>
        <v>20</v>
      </c>
      <c r="S386" s="15">
        <f>Table5[[#This Row],[standard product cost per unit]]*Table5[[#This Row],[Units Sold]]</f>
        <v>27280</v>
      </c>
      <c r="T386" s="15">
        <f>Table5[[#This Row],[Cost of Sales]]-Table5[[#This Row],[Standard cost]]</f>
        <v>0</v>
      </c>
      <c r="U386" s="15">
        <f>Table5[[#This Row],[Net Sales Revenue]]-Table5[[#This Row],[Cost of Sales]]</f>
        <v>22915.199999999997</v>
      </c>
      <c r="V386" s="17">
        <f>Table5[[#This Row],[GrossProfit]]/Table5[[#This Row],[Net Sales Revenue]]</f>
        <v>0.45652173913043476</v>
      </c>
    </row>
    <row r="387" spans="1:22" ht="14.25" customHeight="1" x14ac:dyDescent="0.25">
      <c r="A387" s="1" t="s">
        <v>461</v>
      </c>
      <c r="B387" s="1" t="s">
        <v>436</v>
      </c>
      <c r="C387" s="1" t="s">
        <v>48</v>
      </c>
      <c r="D387" s="1" t="s">
        <v>29</v>
      </c>
      <c r="E387" s="1" t="s">
        <v>31</v>
      </c>
      <c r="F387" s="1">
        <v>1504</v>
      </c>
      <c r="G387" s="14">
        <v>10</v>
      </c>
      <c r="H387" s="1">
        <v>0.1</v>
      </c>
      <c r="I387" s="14">
        <v>13536</v>
      </c>
      <c r="J387" s="14">
        <v>6016</v>
      </c>
      <c r="K387" s="15">
        <f>Table5[[#This Row],[Selling Price]]*Table5[[#This Row],[Units Sold]]</f>
        <v>15040</v>
      </c>
      <c r="L387" t="str">
        <f t="shared" si="6"/>
        <v>2023-09</v>
      </c>
      <c r="M387" t="str">
        <f>VLOOKUP(Table5[[#This Row],[Store ID]],Table4[[Store ID]:[Store Location]],2)</f>
        <v>London Stratford</v>
      </c>
      <c r="N387" t="str">
        <f>VLOOKUP(Table5[[#This Row],[Store ID]],Table4[[Store ID]:[Region]],3)</f>
        <v>South</v>
      </c>
      <c r="O387" t="str">
        <f>VLOOKUP(Table5[[#This Row],[Product ID]],'Product Master'!$A$2:$D$10,4)</f>
        <v>Supplier F</v>
      </c>
      <c r="P387" s="15">
        <f>Table5[[#This Row],[Total Revenue]]-Table5[[#This Row],[Net Sales Revenue]]</f>
        <v>1504</v>
      </c>
      <c r="Q387" s="15">
        <f>Table5[[#This Row],[Net Sales Revenue]]/Table5[[#This Row],[Units Sold]]</f>
        <v>9</v>
      </c>
      <c r="R387">
        <f>VLOOKUP(Table5[[#This Row],[Product ID]],'Product Master'!$A$1:$E$10,5,FALSE)</f>
        <v>4</v>
      </c>
      <c r="S387" s="15">
        <f>Table5[[#This Row],[standard product cost per unit]]*Table5[[#This Row],[Units Sold]]</f>
        <v>6016</v>
      </c>
      <c r="T387" s="15">
        <f>Table5[[#This Row],[Cost of Sales]]-Table5[[#This Row],[Standard cost]]</f>
        <v>0</v>
      </c>
      <c r="U387" s="15">
        <f>Table5[[#This Row],[Net Sales Revenue]]-Table5[[#This Row],[Cost of Sales]]</f>
        <v>7520</v>
      </c>
      <c r="V387" s="17">
        <f>Table5[[#This Row],[GrossProfit]]/Table5[[#This Row],[Net Sales Revenue]]</f>
        <v>0.55555555555555558</v>
      </c>
    </row>
    <row r="388" spans="1:22" ht="14.25" customHeight="1" x14ac:dyDescent="0.25">
      <c r="A388" s="1" t="s">
        <v>462</v>
      </c>
      <c r="B388" s="1" t="s">
        <v>436</v>
      </c>
      <c r="C388" s="1" t="s">
        <v>48</v>
      </c>
      <c r="D388" s="1" t="s">
        <v>33</v>
      </c>
      <c r="E388" s="1" t="s">
        <v>31</v>
      </c>
      <c r="F388" s="1">
        <v>2532</v>
      </c>
      <c r="G388" s="14">
        <v>22</v>
      </c>
      <c r="H388" s="1">
        <v>0.06</v>
      </c>
      <c r="I388" s="14">
        <v>52361.760000000002</v>
      </c>
      <c r="J388" s="14">
        <v>25320</v>
      </c>
      <c r="K388" s="15">
        <f>Table5[[#This Row],[Selling Price]]*Table5[[#This Row],[Units Sold]]</f>
        <v>55704</v>
      </c>
      <c r="L388" t="str">
        <f t="shared" si="6"/>
        <v>2023-09</v>
      </c>
      <c r="M388" t="str">
        <f>VLOOKUP(Table5[[#This Row],[Store ID]],Table4[[Store ID]:[Store Location]],2)</f>
        <v>London Stratford</v>
      </c>
      <c r="N388" t="str">
        <f>VLOOKUP(Table5[[#This Row],[Store ID]],Table4[[Store ID]:[Region]],3)</f>
        <v>South</v>
      </c>
      <c r="O388" t="str">
        <f>VLOOKUP(Table5[[#This Row],[Product ID]],'Product Master'!$A$2:$D$10,4)</f>
        <v>Supplier F</v>
      </c>
      <c r="P388" s="15">
        <f>Table5[[#This Row],[Total Revenue]]-Table5[[#This Row],[Net Sales Revenue]]</f>
        <v>3342.239999999998</v>
      </c>
      <c r="Q388" s="15">
        <f>Table5[[#This Row],[Net Sales Revenue]]/Table5[[#This Row],[Units Sold]]</f>
        <v>20.68</v>
      </c>
      <c r="R388">
        <f>VLOOKUP(Table5[[#This Row],[Product ID]],'Product Master'!$A$1:$E$10,5,FALSE)</f>
        <v>10</v>
      </c>
      <c r="S388" s="15">
        <f>Table5[[#This Row],[standard product cost per unit]]*Table5[[#This Row],[Units Sold]]</f>
        <v>25320</v>
      </c>
      <c r="T388" s="15">
        <f>Table5[[#This Row],[Cost of Sales]]-Table5[[#This Row],[Standard cost]]</f>
        <v>0</v>
      </c>
      <c r="U388" s="15">
        <f>Table5[[#This Row],[Net Sales Revenue]]-Table5[[#This Row],[Cost of Sales]]</f>
        <v>27041.760000000002</v>
      </c>
      <c r="V388" s="17">
        <f>Table5[[#This Row],[GrossProfit]]/Table5[[#This Row],[Net Sales Revenue]]</f>
        <v>0.51644100580270791</v>
      </c>
    </row>
    <row r="389" spans="1:22" ht="14.25" customHeight="1" x14ac:dyDescent="0.25">
      <c r="A389" s="1" t="s">
        <v>463</v>
      </c>
      <c r="B389" s="1" t="s">
        <v>436</v>
      </c>
      <c r="C389" s="1" t="s">
        <v>52</v>
      </c>
      <c r="D389" s="1" t="s">
        <v>6</v>
      </c>
      <c r="E389" s="1" t="s">
        <v>8</v>
      </c>
      <c r="F389" s="1">
        <v>2220</v>
      </c>
      <c r="G389" s="14">
        <v>24</v>
      </c>
      <c r="H389" s="1">
        <v>0.09</v>
      </c>
      <c r="I389" s="14">
        <v>48484.800000000003</v>
      </c>
      <c r="J389" s="14">
        <v>26640</v>
      </c>
      <c r="K389" s="15">
        <f>Table5[[#This Row],[Selling Price]]*Table5[[#This Row],[Units Sold]]</f>
        <v>53280</v>
      </c>
      <c r="L389" t="str">
        <f t="shared" si="6"/>
        <v>2023-09</v>
      </c>
      <c r="M389" t="str">
        <f>VLOOKUP(Table5[[#This Row],[Store ID]],Table4[[Store ID]:[Store Location]],2)</f>
        <v>Glasgow</v>
      </c>
      <c r="N389" t="str">
        <f>VLOOKUP(Table5[[#This Row],[Store ID]],Table4[[Store ID]:[Region]],3)</f>
        <v>Scotland</v>
      </c>
      <c r="O389" t="str">
        <f>VLOOKUP(Table5[[#This Row],[Product ID]],'Product Master'!$A$2:$D$10,4)</f>
        <v>Supplier A</v>
      </c>
      <c r="P389" s="15">
        <f>Table5[[#This Row],[Total Revenue]]-Table5[[#This Row],[Net Sales Revenue]]</f>
        <v>4795.1999999999971</v>
      </c>
      <c r="Q389" s="15">
        <f>Table5[[#This Row],[Net Sales Revenue]]/Table5[[#This Row],[Units Sold]]</f>
        <v>21.84</v>
      </c>
      <c r="R389">
        <f>VLOOKUP(Table5[[#This Row],[Product ID]],'Product Master'!$A$1:$E$10,5,FALSE)</f>
        <v>12</v>
      </c>
      <c r="S389" s="15">
        <f>Table5[[#This Row],[standard product cost per unit]]*Table5[[#This Row],[Units Sold]]</f>
        <v>26640</v>
      </c>
      <c r="T389" s="15">
        <f>Table5[[#This Row],[Cost of Sales]]-Table5[[#This Row],[Standard cost]]</f>
        <v>0</v>
      </c>
      <c r="U389" s="15">
        <f>Table5[[#This Row],[Net Sales Revenue]]-Table5[[#This Row],[Cost of Sales]]</f>
        <v>21844.800000000003</v>
      </c>
      <c r="V389" s="17">
        <f>Table5[[#This Row],[GrossProfit]]/Table5[[#This Row],[Net Sales Revenue]]</f>
        <v>0.45054945054945056</v>
      </c>
    </row>
    <row r="390" spans="1:22" ht="14.25" customHeight="1" x14ac:dyDescent="0.25">
      <c r="A390" s="1" t="s">
        <v>464</v>
      </c>
      <c r="B390" s="1" t="s">
        <v>436</v>
      </c>
      <c r="C390" s="1" t="s">
        <v>52</v>
      </c>
      <c r="D390" s="1" t="s">
        <v>10</v>
      </c>
      <c r="E390" s="1" t="s">
        <v>8</v>
      </c>
      <c r="F390" s="1">
        <v>1264</v>
      </c>
      <c r="G390" s="14">
        <v>50</v>
      </c>
      <c r="H390" s="1">
        <v>0.06</v>
      </c>
      <c r="I390" s="14">
        <v>59408</v>
      </c>
      <c r="J390" s="14">
        <v>35392</v>
      </c>
      <c r="K390" s="15">
        <f>Table5[[#This Row],[Selling Price]]*Table5[[#This Row],[Units Sold]]</f>
        <v>63200</v>
      </c>
      <c r="L390" t="str">
        <f t="shared" si="6"/>
        <v>2023-09</v>
      </c>
      <c r="M390" t="str">
        <f>VLOOKUP(Table5[[#This Row],[Store ID]],Table4[[Store ID]:[Store Location]],2)</f>
        <v>Glasgow</v>
      </c>
      <c r="N390" t="str">
        <f>VLOOKUP(Table5[[#This Row],[Store ID]],Table4[[Store ID]:[Region]],3)</f>
        <v>Scotland</v>
      </c>
      <c r="O390" t="str">
        <f>VLOOKUP(Table5[[#This Row],[Product ID]],'Product Master'!$A$2:$D$10,4)</f>
        <v>Supplier B</v>
      </c>
      <c r="P390" s="15">
        <f>Table5[[#This Row],[Total Revenue]]-Table5[[#This Row],[Net Sales Revenue]]</f>
        <v>3792</v>
      </c>
      <c r="Q390" s="15">
        <f>Table5[[#This Row],[Net Sales Revenue]]/Table5[[#This Row],[Units Sold]]</f>
        <v>47</v>
      </c>
      <c r="R390">
        <f>VLOOKUP(Table5[[#This Row],[Product ID]],'Product Master'!$A$1:$E$10,5,FALSE)</f>
        <v>28</v>
      </c>
      <c r="S390" s="15">
        <f>Table5[[#This Row],[standard product cost per unit]]*Table5[[#This Row],[Units Sold]]</f>
        <v>35392</v>
      </c>
      <c r="T390" s="15">
        <f>Table5[[#This Row],[Cost of Sales]]-Table5[[#This Row],[Standard cost]]</f>
        <v>0</v>
      </c>
      <c r="U390" s="15">
        <f>Table5[[#This Row],[Net Sales Revenue]]-Table5[[#This Row],[Cost of Sales]]</f>
        <v>24016</v>
      </c>
      <c r="V390" s="17">
        <f>Table5[[#This Row],[GrossProfit]]/Table5[[#This Row],[Net Sales Revenue]]</f>
        <v>0.40425531914893614</v>
      </c>
    </row>
    <row r="391" spans="1:22" ht="14.25" customHeight="1" x14ac:dyDescent="0.25">
      <c r="A391" s="1" t="s">
        <v>465</v>
      </c>
      <c r="B391" s="1" t="s">
        <v>436</v>
      </c>
      <c r="C391" s="1" t="s">
        <v>52</v>
      </c>
      <c r="D391" s="1" t="s">
        <v>13</v>
      </c>
      <c r="E391" s="1" t="s">
        <v>15</v>
      </c>
      <c r="F391" s="1">
        <v>1488</v>
      </c>
      <c r="G391" s="14">
        <v>28</v>
      </c>
      <c r="H391" s="1">
        <v>0.06</v>
      </c>
      <c r="I391" s="14">
        <v>39164.160000000003</v>
      </c>
      <c r="J391" s="14">
        <v>22320</v>
      </c>
      <c r="K391" s="15">
        <f>Table5[[#This Row],[Selling Price]]*Table5[[#This Row],[Units Sold]]</f>
        <v>41664</v>
      </c>
      <c r="L391" t="str">
        <f t="shared" si="6"/>
        <v>2023-09</v>
      </c>
      <c r="M391" t="str">
        <f>VLOOKUP(Table5[[#This Row],[Store ID]],Table4[[Store ID]:[Store Location]],2)</f>
        <v>Glasgow</v>
      </c>
      <c r="N391" t="str">
        <f>VLOOKUP(Table5[[#This Row],[Store ID]],Table4[[Store ID]:[Region]],3)</f>
        <v>Scotland</v>
      </c>
      <c r="O391" t="str">
        <f>VLOOKUP(Table5[[#This Row],[Product ID]],'Product Master'!$A$2:$D$10,4)</f>
        <v>Supplier C</v>
      </c>
      <c r="P391" s="15">
        <f>Table5[[#This Row],[Total Revenue]]-Table5[[#This Row],[Net Sales Revenue]]</f>
        <v>2499.8399999999965</v>
      </c>
      <c r="Q391" s="15">
        <f>Table5[[#This Row],[Net Sales Revenue]]/Table5[[#This Row],[Units Sold]]</f>
        <v>26.320000000000004</v>
      </c>
      <c r="R391">
        <f>VLOOKUP(Table5[[#This Row],[Product ID]],'Product Master'!$A$1:$E$10,5,FALSE)</f>
        <v>15</v>
      </c>
      <c r="S391" s="15">
        <f>Table5[[#This Row],[standard product cost per unit]]*Table5[[#This Row],[Units Sold]]</f>
        <v>22320</v>
      </c>
      <c r="T391" s="15">
        <f>Table5[[#This Row],[Cost of Sales]]-Table5[[#This Row],[Standard cost]]</f>
        <v>0</v>
      </c>
      <c r="U391" s="15">
        <f>Table5[[#This Row],[Net Sales Revenue]]-Table5[[#This Row],[Cost of Sales]]</f>
        <v>16844.160000000003</v>
      </c>
      <c r="V391" s="17">
        <f>Table5[[#This Row],[GrossProfit]]/Table5[[#This Row],[Net Sales Revenue]]</f>
        <v>0.43009118541033442</v>
      </c>
    </row>
    <row r="392" spans="1:22" ht="14.25" customHeight="1" x14ac:dyDescent="0.25">
      <c r="A392" s="1" t="s">
        <v>466</v>
      </c>
      <c r="B392" s="1" t="s">
        <v>436</v>
      </c>
      <c r="C392" s="1" t="s">
        <v>52</v>
      </c>
      <c r="D392" s="1" t="s">
        <v>17</v>
      </c>
      <c r="E392" s="1" t="s">
        <v>15</v>
      </c>
      <c r="F392" s="1">
        <v>1568</v>
      </c>
      <c r="G392" s="14">
        <v>35</v>
      </c>
      <c r="H392" s="1">
        <v>0.05</v>
      </c>
      <c r="I392" s="14">
        <v>52136</v>
      </c>
      <c r="J392" s="14">
        <v>28224</v>
      </c>
      <c r="K392" s="15">
        <f>Table5[[#This Row],[Selling Price]]*Table5[[#This Row],[Units Sold]]</f>
        <v>54880</v>
      </c>
      <c r="L392" t="str">
        <f t="shared" si="6"/>
        <v>2023-09</v>
      </c>
      <c r="M392" t="str">
        <f>VLOOKUP(Table5[[#This Row],[Store ID]],Table4[[Store ID]:[Store Location]],2)</f>
        <v>Glasgow</v>
      </c>
      <c r="N392" t="str">
        <f>VLOOKUP(Table5[[#This Row],[Store ID]],Table4[[Store ID]:[Region]],3)</f>
        <v>Scotland</v>
      </c>
      <c r="O392" t="str">
        <f>VLOOKUP(Table5[[#This Row],[Product ID]],'Product Master'!$A$2:$D$10,4)</f>
        <v>Supplier C</v>
      </c>
      <c r="P392" s="15">
        <f>Table5[[#This Row],[Total Revenue]]-Table5[[#This Row],[Net Sales Revenue]]</f>
        <v>2744</v>
      </c>
      <c r="Q392" s="15">
        <f>Table5[[#This Row],[Net Sales Revenue]]/Table5[[#This Row],[Units Sold]]</f>
        <v>33.25</v>
      </c>
      <c r="R392">
        <f>VLOOKUP(Table5[[#This Row],[Product ID]],'Product Master'!$A$1:$E$10,5,FALSE)</f>
        <v>18</v>
      </c>
      <c r="S392" s="15">
        <f>Table5[[#This Row],[standard product cost per unit]]*Table5[[#This Row],[Units Sold]]</f>
        <v>28224</v>
      </c>
      <c r="T392" s="15">
        <f>Table5[[#This Row],[Cost of Sales]]-Table5[[#This Row],[Standard cost]]</f>
        <v>0</v>
      </c>
      <c r="U392" s="15">
        <f>Table5[[#This Row],[Net Sales Revenue]]-Table5[[#This Row],[Cost of Sales]]</f>
        <v>23912</v>
      </c>
      <c r="V392" s="17">
        <f>Table5[[#This Row],[GrossProfit]]/Table5[[#This Row],[Net Sales Revenue]]</f>
        <v>0.45864661654135336</v>
      </c>
    </row>
    <row r="393" spans="1:22" ht="14.25" customHeight="1" x14ac:dyDescent="0.25">
      <c r="A393" s="1" t="s">
        <v>467</v>
      </c>
      <c r="B393" s="1" t="s">
        <v>436</v>
      </c>
      <c r="C393" s="1" t="s">
        <v>52</v>
      </c>
      <c r="D393" s="1" t="s">
        <v>19</v>
      </c>
      <c r="E393" s="1" t="s">
        <v>21</v>
      </c>
      <c r="F393" s="1">
        <v>1308</v>
      </c>
      <c r="G393" s="14">
        <v>18</v>
      </c>
      <c r="H393" s="1">
        <v>0.09</v>
      </c>
      <c r="I393" s="14">
        <v>21425.040000000001</v>
      </c>
      <c r="J393" s="14">
        <v>11772</v>
      </c>
      <c r="K393" s="15">
        <f>Table5[[#This Row],[Selling Price]]*Table5[[#This Row],[Units Sold]]</f>
        <v>23544</v>
      </c>
      <c r="L393" t="str">
        <f t="shared" si="6"/>
        <v>2023-09</v>
      </c>
      <c r="M393" t="str">
        <f>VLOOKUP(Table5[[#This Row],[Store ID]],Table4[[Store ID]:[Store Location]],2)</f>
        <v>Glasgow</v>
      </c>
      <c r="N393" t="str">
        <f>VLOOKUP(Table5[[#This Row],[Store ID]],Table4[[Store ID]:[Region]],3)</f>
        <v>Scotland</v>
      </c>
      <c r="O393" t="str">
        <f>VLOOKUP(Table5[[#This Row],[Product ID]],'Product Master'!$A$2:$D$10,4)</f>
        <v>Supplier D</v>
      </c>
      <c r="P393" s="15">
        <f>Table5[[#This Row],[Total Revenue]]-Table5[[#This Row],[Net Sales Revenue]]</f>
        <v>2118.9599999999991</v>
      </c>
      <c r="Q393" s="15">
        <f>Table5[[#This Row],[Net Sales Revenue]]/Table5[[#This Row],[Units Sold]]</f>
        <v>16.38</v>
      </c>
      <c r="R393">
        <f>VLOOKUP(Table5[[#This Row],[Product ID]],'Product Master'!$A$1:$E$10,5,FALSE)</f>
        <v>9</v>
      </c>
      <c r="S393" s="15">
        <f>Table5[[#This Row],[standard product cost per unit]]*Table5[[#This Row],[Units Sold]]</f>
        <v>11772</v>
      </c>
      <c r="T393" s="15">
        <f>Table5[[#This Row],[Cost of Sales]]-Table5[[#This Row],[Standard cost]]</f>
        <v>0</v>
      </c>
      <c r="U393" s="15">
        <f>Table5[[#This Row],[Net Sales Revenue]]-Table5[[#This Row],[Cost of Sales]]</f>
        <v>9653.0400000000009</v>
      </c>
      <c r="V393" s="17">
        <f>Table5[[#This Row],[GrossProfit]]/Table5[[#This Row],[Net Sales Revenue]]</f>
        <v>0.45054945054945056</v>
      </c>
    </row>
    <row r="394" spans="1:22" ht="14.25" customHeight="1" x14ac:dyDescent="0.25">
      <c r="A394" s="1" t="s">
        <v>468</v>
      </c>
      <c r="B394" s="1" t="s">
        <v>436</v>
      </c>
      <c r="C394" s="1" t="s">
        <v>52</v>
      </c>
      <c r="D394" s="1" t="s">
        <v>23</v>
      </c>
      <c r="E394" s="1" t="s">
        <v>21</v>
      </c>
      <c r="F394" s="1">
        <v>1296</v>
      </c>
      <c r="G394" s="14">
        <v>30</v>
      </c>
      <c r="H394" s="1">
        <v>0.06</v>
      </c>
      <c r="I394" s="14">
        <v>36547.199999999997</v>
      </c>
      <c r="J394" s="14">
        <v>18144</v>
      </c>
      <c r="K394" s="15">
        <f>Table5[[#This Row],[Selling Price]]*Table5[[#This Row],[Units Sold]]</f>
        <v>38880</v>
      </c>
      <c r="L394" t="str">
        <f t="shared" si="6"/>
        <v>2023-09</v>
      </c>
      <c r="M394" t="str">
        <f>VLOOKUP(Table5[[#This Row],[Store ID]],Table4[[Store ID]:[Store Location]],2)</f>
        <v>Glasgow</v>
      </c>
      <c r="N394" t="str">
        <f>VLOOKUP(Table5[[#This Row],[Store ID]],Table4[[Store ID]:[Region]],3)</f>
        <v>Scotland</v>
      </c>
      <c r="O394" t="str">
        <f>VLOOKUP(Table5[[#This Row],[Product ID]],'Product Master'!$A$2:$D$10,4)</f>
        <v>Supplier D</v>
      </c>
      <c r="P394" s="15">
        <f>Table5[[#This Row],[Total Revenue]]-Table5[[#This Row],[Net Sales Revenue]]</f>
        <v>2332.8000000000029</v>
      </c>
      <c r="Q394" s="15">
        <f>Table5[[#This Row],[Net Sales Revenue]]/Table5[[#This Row],[Units Sold]]</f>
        <v>28.2</v>
      </c>
      <c r="R394">
        <f>VLOOKUP(Table5[[#This Row],[Product ID]],'Product Master'!$A$1:$E$10,5,FALSE)</f>
        <v>14</v>
      </c>
      <c r="S394" s="15">
        <f>Table5[[#This Row],[standard product cost per unit]]*Table5[[#This Row],[Units Sold]]</f>
        <v>18144</v>
      </c>
      <c r="T394" s="15">
        <f>Table5[[#This Row],[Cost of Sales]]-Table5[[#This Row],[Standard cost]]</f>
        <v>0</v>
      </c>
      <c r="U394" s="15">
        <f>Table5[[#This Row],[Net Sales Revenue]]-Table5[[#This Row],[Cost of Sales]]</f>
        <v>18403.199999999997</v>
      </c>
      <c r="V394" s="17">
        <f>Table5[[#This Row],[GrossProfit]]/Table5[[#This Row],[Net Sales Revenue]]</f>
        <v>0.50354609929078009</v>
      </c>
    </row>
    <row r="395" spans="1:22" ht="14.25" customHeight="1" x14ac:dyDescent="0.25">
      <c r="A395" s="1" t="s">
        <v>469</v>
      </c>
      <c r="B395" s="1" t="s">
        <v>436</v>
      </c>
      <c r="C395" s="1" t="s">
        <v>52</v>
      </c>
      <c r="D395" s="1" t="s">
        <v>25</v>
      </c>
      <c r="E395" s="1" t="s">
        <v>27</v>
      </c>
      <c r="F395" s="1">
        <v>2124</v>
      </c>
      <c r="G395" s="14">
        <v>40</v>
      </c>
      <c r="H395" s="1">
        <v>0.05</v>
      </c>
      <c r="I395" s="14">
        <v>80712</v>
      </c>
      <c r="J395" s="14">
        <v>42480</v>
      </c>
      <c r="K395" s="15">
        <f>Table5[[#This Row],[Selling Price]]*Table5[[#This Row],[Units Sold]]</f>
        <v>84960</v>
      </c>
      <c r="L395" t="str">
        <f t="shared" si="6"/>
        <v>2023-09</v>
      </c>
      <c r="M395" t="str">
        <f>VLOOKUP(Table5[[#This Row],[Store ID]],Table4[[Store ID]:[Store Location]],2)</f>
        <v>Glasgow</v>
      </c>
      <c r="N395" t="str">
        <f>VLOOKUP(Table5[[#This Row],[Store ID]],Table4[[Store ID]:[Region]],3)</f>
        <v>Scotland</v>
      </c>
      <c r="O395" t="str">
        <f>VLOOKUP(Table5[[#This Row],[Product ID]],'Product Master'!$A$2:$D$10,4)</f>
        <v>Supplier E</v>
      </c>
      <c r="P395" s="15">
        <f>Table5[[#This Row],[Total Revenue]]-Table5[[#This Row],[Net Sales Revenue]]</f>
        <v>4248</v>
      </c>
      <c r="Q395" s="15">
        <f>Table5[[#This Row],[Net Sales Revenue]]/Table5[[#This Row],[Units Sold]]</f>
        <v>38</v>
      </c>
      <c r="R395">
        <f>VLOOKUP(Table5[[#This Row],[Product ID]],'Product Master'!$A$1:$E$10,5,FALSE)</f>
        <v>20</v>
      </c>
      <c r="S395" s="15">
        <f>Table5[[#This Row],[standard product cost per unit]]*Table5[[#This Row],[Units Sold]]</f>
        <v>42480</v>
      </c>
      <c r="T395" s="15">
        <f>Table5[[#This Row],[Cost of Sales]]-Table5[[#This Row],[Standard cost]]</f>
        <v>0</v>
      </c>
      <c r="U395" s="15">
        <f>Table5[[#This Row],[Net Sales Revenue]]-Table5[[#This Row],[Cost of Sales]]</f>
        <v>38232</v>
      </c>
      <c r="V395" s="17">
        <f>Table5[[#This Row],[GrossProfit]]/Table5[[#This Row],[Net Sales Revenue]]</f>
        <v>0.47368421052631576</v>
      </c>
    </row>
    <row r="396" spans="1:22" ht="14.25" customHeight="1" x14ac:dyDescent="0.25">
      <c r="A396" s="1" t="s">
        <v>470</v>
      </c>
      <c r="B396" s="1" t="s">
        <v>436</v>
      </c>
      <c r="C396" s="1" t="s">
        <v>52</v>
      </c>
      <c r="D396" s="1" t="s">
        <v>29</v>
      </c>
      <c r="E396" s="1" t="s">
        <v>31</v>
      </c>
      <c r="F396" s="1">
        <v>1840</v>
      </c>
      <c r="G396" s="14">
        <v>10</v>
      </c>
      <c r="H396" s="1">
        <v>0.06</v>
      </c>
      <c r="I396" s="14">
        <v>17296</v>
      </c>
      <c r="J396" s="14">
        <v>7360</v>
      </c>
      <c r="K396" s="15">
        <f>Table5[[#This Row],[Selling Price]]*Table5[[#This Row],[Units Sold]]</f>
        <v>18400</v>
      </c>
      <c r="L396" t="str">
        <f t="shared" si="6"/>
        <v>2023-09</v>
      </c>
      <c r="M396" t="str">
        <f>VLOOKUP(Table5[[#This Row],[Store ID]],Table4[[Store ID]:[Store Location]],2)</f>
        <v>Glasgow</v>
      </c>
      <c r="N396" t="str">
        <f>VLOOKUP(Table5[[#This Row],[Store ID]],Table4[[Store ID]:[Region]],3)</f>
        <v>Scotland</v>
      </c>
      <c r="O396" t="str">
        <f>VLOOKUP(Table5[[#This Row],[Product ID]],'Product Master'!$A$2:$D$10,4)</f>
        <v>Supplier F</v>
      </c>
      <c r="P396" s="15">
        <f>Table5[[#This Row],[Total Revenue]]-Table5[[#This Row],[Net Sales Revenue]]</f>
        <v>1104</v>
      </c>
      <c r="Q396" s="15">
        <f>Table5[[#This Row],[Net Sales Revenue]]/Table5[[#This Row],[Units Sold]]</f>
        <v>9.4</v>
      </c>
      <c r="R396">
        <f>VLOOKUP(Table5[[#This Row],[Product ID]],'Product Master'!$A$1:$E$10,5,FALSE)</f>
        <v>4</v>
      </c>
      <c r="S396" s="15">
        <f>Table5[[#This Row],[standard product cost per unit]]*Table5[[#This Row],[Units Sold]]</f>
        <v>7360</v>
      </c>
      <c r="T396" s="15">
        <f>Table5[[#This Row],[Cost of Sales]]-Table5[[#This Row],[Standard cost]]</f>
        <v>0</v>
      </c>
      <c r="U396" s="15">
        <f>Table5[[#This Row],[Net Sales Revenue]]-Table5[[#This Row],[Cost of Sales]]</f>
        <v>9936</v>
      </c>
      <c r="V396" s="17">
        <f>Table5[[#This Row],[GrossProfit]]/Table5[[#This Row],[Net Sales Revenue]]</f>
        <v>0.57446808510638303</v>
      </c>
    </row>
    <row r="397" spans="1:22" ht="14.25" customHeight="1" x14ac:dyDescent="0.25">
      <c r="A397" s="1" t="s">
        <v>471</v>
      </c>
      <c r="B397" s="1" t="s">
        <v>436</v>
      </c>
      <c r="C397" s="1" t="s">
        <v>52</v>
      </c>
      <c r="D397" s="1" t="s">
        <v>33</v>
      </c>
      <c r="E397" s="1" t="s">
        <v>31</v>
      </c>
      <c r="F397" s="1">
        <v>1992</v>
      </c>
      <c r="G397" s="14">
        <v>22</v>
      </c>
      <c r="H397" s="1">
        <v>0.06</v>
      </c>
      <c r="I397" s="14">
        <v>41194.559999999998</v>
      </c>
      <c r="J397" s="14">
        <v>19920</v>
      </c>
      <c r="K397" s="15">
        <f>Table5[[#This Row],[Selling Price]]*Table5[[#This Row],[Units Sold]]</f>
        <v>43824</v>
      </c>
      <c r="L397" t="str">
        <f t="shared" si="6"/>
        <v>2023-09</v>
      </c>
      <c r="M397" t="str">
        <f>VLOOKUP(Table5[[#This Row],[Store ID]],Table4[[Store ID]:[Store Location]],2)</f>
        <v>Glasgow</v>
      </c>
      <c r="N397" t="str">
        <f>VLOOKUP(Table5[[#This Row],[Store ID]],Table4[[Store ID]:[Region]],3)</f>
        <v>Scotland</v>
      </c>
      <c r="O397" t="str">
        <f>VLOOKUP(Table5[[#This Row],[Product ID]],'Product Master'!$A$2:$D$10,4)</f>
        <v>Supplier F</v>
      </c>
      <c r="P397" s="15">
        <f>Table5[[#This Row],[Total Revenue]]-Table5[[#This Row],[Net Sales Revenue]]</f>
        <v>2629.4400000000023</v>
      </c>
      <c r="Q397" s="15">
        <f>Table5[[#This Row],[Net Sales Revenue]]/Table5[[#This Row],[Units Sold]]</f>
        <v>20.68</v>
      </c>
      <c r="R397">
        <f>VLOOKUP(Table5[[#This Row],[Product ID]],'Product Master'!$A$1:$E$10,5,FALSE)</f>
        <v>10</v>
      </c>
      <c r="S397" s="15">
        <f>Table5[[#This Row],[standard product cost per unit]]*Table5[[#This Row],[Units Sold]]</f>
        <v>19920</v>
      </c>
      <c r="T397" s="15">
        <f>Table5[[#This Row],[Cost of Sales]]-Table5[[#This Row],[Standard cost]]</f>
        <v>0</v>
      </c>
      <c r="U397" s="15">
        <f>Table5[[#This Row],[Net Sales Revenue]]-Table5[[#This Row],[Cost of Sales]]</f>
        <v>21274.559999999998</v>
      </c>
      <c r="V397" s="17">
        <f>Table5[[#This Row],[GrossProfit]]/Table5[[#This Row],[Net Sales Revenue]]</f>
        <v>0.51644100580270791</v>
      </c>
    </row>
    <row r="398" spans="1:22" ht="14.25" customHeight="1" x14ac:dyDescent="0.25">
      <c r="A398" s="1" t="s">
        <v>472</v>
      </c>
      <c r="B398" s="1" t="s">
        <v>436</v>
      </c>
      <c r="C398" s="1" t="s">
        <v>56</v>
      </c>
      <c r="D398" s="1" t="s">
        <v>6</v>
      </c>
      <c r="E398" s="1" t="s">
        <v>8</v>
      </c>
      <c r="F398" s="1">
        <v>2688</v>
      </c>
      <c r="G398" s="14">
        <v>24</v>
      </c>
      <c r="H398" s="1">
        <v>0.09</v>
      </c>
      <c r="I398" s="14">
        <v>58705.919999999998</v>
      </c>
      <c r="J398" s="14">
        <v>32256</v>
      </c>
      <c r="K398" s="15">
        <f>Table5[[#This Row],[Selling Price]]*Table5[[#This Row],[Units Sold]]</f>
        <v>64512</v>
      </c>
      <c r="L398" t="str">
        <f t="shared" si="6"/>
        <v>2023-09</v>
      </c>
      <c r="M398" t="str">
        <f>VLOOKUP(Table5[[#This Row],[Store ID]],Table4[[Store ID]:[Store Location]],2)</f>
        <v>Leeds</v>
      </c>
      <c r="N398" t="str">
        <f>VLOOKUP(Table5[[#This Row],[Store ID]],Table4[[Store ID]:[Region]],3)</f>
        <v>North</v>
      </c>
      <c r="O398" t="str">
        <f>VLOOKUP(Table5[[#This Row],[Product ID]],'Product Master'!$A$2:$D$10,4)</f>
        <v>Supplier A</v>
      </c>
      <c r="P398" s="15">
        <f>Table5[[#This Row],[Total Revenue]]-Table5[[#This Row],[Net Sales Revenue]]</f>
        <v>5806.0800000000017</v>
      </c>
      <c r="Q398" s="15">
        <f>Table5[[#This Row],[Net Sales Revenue]]/Table5[[#This Row],[Units Sold]]</f>
        <v>21.84</v>
      </c>
      <c r="R398">
        <f>VLOOKUP(Table5[[#This Row],[Product ID]],'Product Master'!$A$1:$E$10,5,FALSE)</f>
        <v>12</v>
      </c>
      <c r="S398" s="15">
        <f>Table5[[#This Row],[standard product cost per unit]]*Table5[[#This Row],[Units Sold]]</f>
        <v>32256</v>
      </c>
      <c r="T398" s="15">
        <f>Table5[[#This Row],[Cost of Sales]]-Table5[[#This Row],[Standard cost]]</f>
        <v>0</v>
      </c>
      <c r="U398" s="15">
        <f>Table5[[#This Row],[Net Sales Revenue]]-Table5[[#This Row],[Cost of Sales]]</f>
        <v>26449.919999999998</v>
      </c>
      <c r="V398" s="17">
        <f>Table5[[#This Row],[GrossProfit]]/Table5[[#This Row],[Net Sales Revenue]]</f>
        <v>0.45054945054945056</v>
      </c>
    </row>
    <row r="399" spans="1:22" ht="14.25" customHeight="1" x14ac:dyDescent="0.25">
      <c r="A399" s="1" t="s">
        <v>473</v>
      </c>
      <c r="B399" s="1" t="s">
        <v>436</v>
      </c>
      <c r="C399" s="1" t="s">
        <v>56</v>
      </c>
      <c r="D399" s="1" t="s">
        <v>10</v>
      </c>
      <c r="E399" s="1" t="s">
        <v>8</v>
      </c>
      <c r="F399" s="1">
        <v>2444</v>
      </c>
      <c r="G399" s="14">
        <v>50</v>
      </c>
      <c r="H399" s="1">
        <v>0.09</v>
      </c>
      <c r="I399" s="14">
        <v>111202</v>
      </c>
      <c r="J399" s="14">
        <v>68432</v>
      </c>
      <c r="K399" s="15">
        <f>Table5[[#This Row],[Selling Price]]*Table5[[#This Row],[Units Sold]]</f>
        <v>122200</v>
      </c>
      <c r="L399" t="str">
        <f t="shared" si="6"/>
        <v>2023-09</v>
      </c>
      <c r="M399" t="str">
        <f>VLOOKUP(Table5[[#This Row],[Store ID]],Table4[[Store ID]:[Store Location]],2)</f>
        <v>Leeds</v>
      </c>
      <c r="N399" t="str">
        <f>VLOOKUP(Table5[[#This Row],[Store ID]],Table4[[Store ID]:[Region]],3)</f>
        <v>North</v>
      </c>
      <c r="O399" t="str">
        <f>VLOOKUP(Table5[[#This Row],[Product ID]],'Product Master'!$A$2:$D$10,4)</f>
        <v>Supplier B</v>
      </c>
      <c r="P399" s="15">
        <f>Table5[[#This Row],[Total Revenue]]-Table5[[#This Row],[Net Sales Revenue]]</f>
        <v>10998</v>
      </c>
      <c r="Q399" s="15">
        <f>Table5[[#This Row],[Net Sales Revenue]]/Table5[[#This Row],[Units Sold]]</f>
        <v>45.5</v>
      </c>
      <c r="R399">
        <f>VLOOKUP(Table5[[#This Row],[Product ID]],'Product Master'!$A$1:$E$10,5,FALSE)</f>
        <v>28</v>
      </c>
      <c r="S399" s="15">
        <f>Table5[[#This Row],[standard product cost per unit]]*Table5[[#This Row],[Units Sold]]</f>
        <v>68432</v>
      </c>
      <c r="T399" s="15">
        <f>Table5[[#This Row],[Cost of Sales]]-Table5[[#This Row],[Standard cost]]</f>
        <v>0</v>
      </c>
      <c r="U399" s="15">
        <f>Table5[[#This Row],[Net Sales Revenue]]-Table5[[#This Row],[Cost of Sales]]</f>
        <v>42770</v>
      </c>
      <c r="V399" s="17">
        <f>Table5[[#This Row],[GrossProfit]]/Table5[[#This Row],[Net Sales Revenue]]</f>
        <v>0.38461538461538464</v>
      </c>
    </row>
    <row r="400" spans="1:22" ht="14.25" customHeight="1" x14ac:dyDescent="0.25">
      <c r="A400" s="1" t="s">
        <v>474</v>
      </c>
      <c r="B400" s="1" t="s">
        <v>436</v>
      </c>
      <c r="C400" s="1" t="s">
        <v>56</v>
      </c>
      <c r="D400" s="1" t="s">
        <v>13</v>
      </c>
      <c r="E400" s="1" t="s">
        <v>15</v>
      </c>
      <c r="F400" s="1">
        <v>2752</v>
      </c>
      <c r="G400" s="14">
        <v>28</v>
      </c>
      <c r="H400" s="1">
        <v>0.09</v>
      </c>
      <c r="I400" s="14">
        <v>70120.960000000006</v>
      </c>
      <c r="J400" s="14">
        <v>41280</v>
      </c>
      <c r="K400" s="15">
        <f>Table5[[#This Row],[Selling Price]]*Table5[[#This Row],[Units Sold]]</f>
        <v>77056</v>
      </c>
      <c r="L400" t="str">
        <f t="shared" si="6"/>
        <v>2023-09</v>
      </c>
      <c r="M400" t="str">
        <f>VLOOKUP(Table5[[#This Row],[Store ID]],Table4[[Store ID]:[Store Location]],2)</f>
        <v>Leeds</v>
      </c>
      <c r="N400" t="str">
        <f>VLOOKUP(Table5[[#This Row],[Store ID]],Table4[[Store ID]:[Region]],3)</f>
        <v>North</v>
      </c>
      <c r="O400" t="str">
        <f>VLOOKUP(Table5[[#This Row],[Product ID]],'Product Master'!$A$2:$D$10,4)</f>
        <v>Supplier C</v>
      </c>
      <c r="P400" s="15">
        <f>Table5[[#This Row],[Total Revenue]]-Table5[[#This Row],[Net Sales Revenue]]</f>
        <v>6935.0399999999936</v>
      </c>
      <c r="Q400" s="15">
        <f>Table5[[#This Row],[Net Sales Revenue]]/Table5[[#This Row],[Units Sold]]</f>
        <v>25.480000000000004</v>
      </c>
      <c r="R400">
        <f>VLOOKUP(Table5[[#This Row],[Product ID]],'Product Master'!$A$1:$E$10,5,FALSE)</f>
        <v>15</v>
      </c>
      <c r="S400" s="15">
        <f>Table5[[#This Row],[standard product cost per unit]]*Table5[[#This Row],[Units Sold]]</f>
        <v>41280</v>
      </c>
      <c r="T400" s="15">
        <f>Table5[[#This Row],[Cost of Sales]]-Table5[[#This Row],[Standard cost]]</f>
        <v>0</v>
      </c>
      <c r="U400" s="15">
        <f>Table5[[#This Row],[Net Sales Revenue]]-Table5[[#This Row],[Cost of Sales]]</f>
        <v>28840.960000000006</v>
      </c>
      <c r="V400" s="17">
        <f>Table5[[#This Row],[GrossProfit]]/Table5[[#This Row],[Net Sales Revenue]]</f>
        <v>0.41130298273155419</v>
      </c>
    </row>
    <row r="401" spans="1:22" ht="14.25" customHeight="1" x14ac:dyDescent="0.25">
      <c r="A401" s="1" t="s">
        <v>475</v>
      </c>
      <c r="B401" s="1" t="s">
        <v>436</v>
      </c>
      <c r="C401" s="1" t="s">
        <v>56</v>
      </c>
      <c r="D401" s="1" t="s">
        <v>17</v>
      </c>
      <c r="E401" s="1" t="s">
        <v>15</v>
      </c>
      <c r="F401" s="1">
        <v>1296</v>
      </c>
      <c r="G401" s="14">
        <v>35</v>
      </c>
      <c r="H401" s="1">
        <v>0.06</v>
      </c>
      <c r="I401" s="14">
        <v>42638.400000000001</v>
      </c>
      <c r="J401" s="14">
        <v>23328</v>
      </c>
      <c r="K401" s="15">
        <f>Table5[[#This Row],[Selling Price]]*Table5[[#This Row],[Units Sold]]</f>
        <v>45360</v>
      </c>
      <c r="L401" t="str">
        <f t="shared" si="6"/>
        <v>2023-09</v>
      </c>
      <c r="M401" t="str">
        <f>VLOOKUP(Table5[[#This Row],[Store ID]],Table4[[Store ID]:[Store Location]],2)</f>
        <v>Leeds</v>
      </c>
      <c r="N401" t="str">
        <f>VLOOKUP(Table5[[#This Row],[Store ID]],Table4[[Store ID]:[Region]],3)</f>
        <v>North</v>
      </c>
      <c r="O401" t="str">
        <f>VLOOKUP(Table5[[#This Row],[Product ID]],'Product Master'!$A$2:$D$10,4)</f>
        <v>Supplier C</v>
      </c>
      <c r="P401" s="15">
        <f>Table5[[#This Row],[Total Revenue]]-Table5[[#This Row],[Net Sales Revenue]]</f>
        <v>2721.5999999999985</v>
      </c>
      <c r="Q401" s="15">
        <f>Table5[[#This Row],[Net Sales Revenue]]/Table5[[#This Row],[Units Sold]]</f>
        <v>32.9</v>
      </c>
      <c r="R401">
        <f>VLOOKUP(Table5[[#This Row],[Product ID]],'Product Master'!$A$1:$E$10,5,FALSE)</f>
        <v>18</v>
      </c>
      <c r="S401" s="15">
        <f>Table5[[#This Row],[standard product cost per unit]]*Table5[[#This Row],[Units Sold]]</f>
        <v>23328</v>
      </c>
      <c r="T401" s="15">
        <f>Table5[[#This Row],[Cost of Sales]]-Table5[[#This Row],[Standard cost]]</f>
        <v>0</v>
      </c>
      <c r="U401" s="15">
        <f>Table5[[#This Row],[Net Sales Revenue]]-Table5[[#This Row],[Cost of Sales]]</f>
        <v>19310.400000000001</v>
      </c>
      <c r="V401" s="17">
        <f>Table5[[#This Row],[GrossProfit]]/Table5[[#This Row],[Net Sales Revenue]]</f>
        <v>0.45288753799392101</v>
      </c>
    </row>
    <row r="402" spans="1:22" ht="14.25" customHeight="1" x14ac:dyDescent="0.25">
      <c r="A402" s="1" t="s">
        <v>476</v>
      </c>
      <c r="B402" s="1" t="s">
        <v>436</v>
      </c>
      <c r="C402" s="1" t="s">
        <v>56</v>
      </c>
      <c r="D402" s="1" t="s">
        <v>19</v>
      </c>
      <c r="E402" s="1" t="s">
        <v>21</v>
      </c>
      <c r="F402" s="1">
        <v>1572</v>
      </c>
      <c r="G402" s="14">
        <v>18</v>
      </c>
      <c r="H402" s="1">
        <v>0.06</v>
      </c>
      <c r="I402" s="14">
        <v>26598.240000000002</v>
      </c>
      <c r="J402" s="14">
        <v>14148</v>
      </c>
      <c r="K402" s="15">
        <f>Table5[[#This Row],[Selling Price]]*Table5[[#This Row],[Units Sold]]</f>
        <v>28296</v>
      </c>
      <c r="L402" t="str">
        <f t="shared" si="6"/>
        <v>2023-09</v>
      </c>
      <c r="M402" t="str">
        <f>VLOOKUP(Table5[[#This Row],[Store ID]],Table4[[Store ID]:[Store Location]],2)</f>
        <v>Leeds</v>
      </c>
      <c r="N402" t="str">
        <f>VLOOKUP(Table5[[#This Row],[Store ID]],Table4[[Store ID]:[Region]],3)</f>
        <v>North</v>
      </c>
      <c r="O402" t="str">
        <f>VLOOKUP(Table5[[#This Row],[Product ID]],'Product Master'!$A$2:$D$10,4)</f>
        <v>Supplier D</v>
      </c>
      <c r="P402" s="15">
        <f>Table5[[#This Row],[Total Revenue]]-Table5[[#This Row],[Net Sales Revenue]]</f>
        <v>1697.7599999999984</v>
      </c>
      <c r="Q402" s="15">
        <f>Table5[[#This Row],[Net Sales Revenue]]/Table5[[#This Row],[Units Sold]]</f>
        <v>16.920000000000002</v>
      </c>
      <c r="R402">
        <f>VLOOKUP(Table5[[#This Row],[Product ID]],'Product Master'!$A$1:$E$10,5,FALSE)</f>
        <v>9</v>
      </c>
      <c r="S402" s="15">
        <f>Table5[[#This Row],[standard product cost per unit]]*Table5[[#This Row],[Units Sold]]</f>
        <v>14148</v>
      </c>
      <c r="T402" s="15">
        <f>Table5[[#This Row],[Cost of Sales]]-Table5[[#This Row],[Standard cost]]</f>
        <v>0</v>
      </c>
      <c r="U402" s="15">
        <f>Table5[[#This Row],[Net Sales Revenue]]-Table5[[#This Row],[Cost of Sales]]</f>
        <v>12450.240000000002</v>
      </c>
      <c r="V402" s="17">
        <f>Table5[[#This Row],[GrossProfit]]/Table5[[#This Row],[Net Sales Revenue]]</f>
        <v>0.46808510638297873</v>
      </c>
    </row>
    <row r="403" spans="1:22" ht="14.25" customHeight="1" x14ac:dyDescent="0.25">
      <c r="A403" s="1" t="s">
        <v>477</v>
      </c>
      <c r="B403" s="1" t="s">
        <v>436</v>
      </c>
      <c r="C403" s="1" t="s">
        <v>56</v>
      </c>
      <c r="D403" s="1" t="s">
        <v>23</v>
      </c>
      <c r="E403" s="1" t="s">
        <v>21</v>
      </c>
      <c r="F403" s="1">
        <v>2600</v>
      </c>
      <c r="G403" s="14">
        <v>30</v>
      </c>
      <c r="H403" s="1">
        <v>0.09</v>
      </c>
      <c r="I403" s="14">
        <v>70980</v>
      </c>
      <c r="J403" s="14">
        <v>36400</v>
      </c>
      <c r="K403" s="15">
        <f>Table5[[#This Row],[Selling Price]]*Table5[[#This Row],[Units Sold]]</f>
        <v>78000</v>
      </c>
      <c r="L403" t="str">
        <f t="shared" si="6"/>
        <v>2023-09</v>
      </c>
      <c r="M403" t="str">
        <f>VLOOKUP(Table5[[#This Row],[Store ID]],Table4[[Store ID]:[Store Location]],2)</f>
        <v>Leeds</v>
      </c>
      <c r="N403" t="str">
        <f>VLOOKUP(Table5[[#This Row],[Store ID]],Table4[[Store ID]:[Region]],3)</f>
        <v>North</v>
      </c>
      <c r="O403" t="str">
        <f>VLOOKUP(Table5[[#This Row],[Product ID]],'Product Master'!$A$2:$D$10,4)</f>
        <v>Supplier D</v>
      </c>
      <c r="P403" s="15">
        <f>Table5[[#This Row],[Total Revenue]]-Table5[[#This Row],[Net Sales Revenue]]</f>
        <v>7020</v>
      </c>
      <c r="Q403" s="15">
        <f>Table5[[#This Row],[Net Sales Revenue]]/Table5[[#This Row],[Units Sold]]</f>
        <v>27.3</v>
      </c>
      <c r="R403">
        <f>VLOOKUP(Table5[[#This Row],[Product ID]],'Product Master'!$A$1:$E$10,5,FALSE)</f>
        <v>14</v>
      </c>
      <c r="S403" s="15">
        <f>Table5[[#This Row],[standard product cost per unit]]*Table5[[#This Row],[Units Sold]]</f>
        <v>36400</v>
      </c>
      <c r="T403" s="15">
        <f>Table5[[#This Row],[Cost of Sales]]-Table5[[#This Row],[Standard cost]]</f>
        <v>0</v>
      </c>
      <c r="U403" s="15">
        <f>Table5[[#This Row],[Net Sales Revenue]]-Table5[[#This Row],[Cost of Sales]]</f>
        <v>34580</v>
      </c>
      <c r="V403" s="17">
        <f>Table5[[#This Row],[GrossProfit]]/Table5[[#This Row],[Net Sales Revenue]]</f>
        <v>0.48717948717948717</v>
      </c>
    </row>
    <row r="404" spans="1:22" ht="14.25" customHeight="1" x14ac:dyDescent="0.25">
      <c r="A404" s="1" t="s">
        <v>478</v>
      </c>
      <c r="B404" s="1" t="s">
        <v>436</v>
      </c>
      <c r="C404" s="1" t="s">
        <v>56</v>
      </c>
      <c r="D404" s="1" t="s">
        <v>25</v>
      </c>
      <c r="E404" s="1" t="s">
        <v>27</v>
      </c>
      <c r="F404" s="1">
        <v>2448</v>
      </c>
      <c r="G404" s="14">
        <v>40</v>
      </c>
      <c r="H404" s="1">
        <v>0.1</v>
      </c>
      <c r="I404" s="14">
        <v>88128</v>
      </c>
      <c r="J404" s="14">
        <v>48960</v>
      </c>
      <c r="K404" s="15">
        <f>Table5[[#This Row],[Selling Price]]*Table5[[#This Row],[Units Sold]]</f>
        <v>97920</v>
      </c>
      <c r="L404" t="str">
        <f t="shared" si="6"/>
        <v>2023-09</v>
      </c>
      <c r="M404" t="str">
        <f>VLOOKUP(Table5[[#This Row],[Store ID]],Table4[[Store ID]:[Store Location]],2)</f>
        <v>Leeds</v>
      </c>
      <c r="N404" t="str">
        <f>VLOOKUP(Table5[[#This Row],[Store ID]],Table4[[Store ID]:[Region]],3)</f>
        <v>North</v>
      </c>
      <c r="O404" t="str">
        <f>VLOOKUP(Table5[[#This Row],[Product ID]],'Product Master'!$A$2:$D$10,4)</f>
        <v>Supplier E</v>
      </c>
      <c r="P404" s="15">
        <f>Table5[[#This Row],[Total Revenue]]-Table5[[#This Row],[Net Sales Revenue]]</f>
        <v>9792</v>
      </c>
      <c r="Q404" s="15">
        <f>Table5[[#This Row],[Net Sales Revenue]]/Table5[[#This Row],[Units Sold]]</f>
        <v>36</v>
      </c>
      <c r="R404">
        <f>VLOOKUP(Table5[[#This Row],[Product ID]],'Product Master'!$A$1:$E$10,5,FALSE)</f>
        <v>20</v>
      </c>
      <c r="S404" s="15">
        <f>Table5[[#This Row],[standard product cost per unit]]*Table5[[#This Row],[Units Sold]]</f>
        <v>48960</v>
      </c>
      <c r="T404" s="15">
        <f>Table5[[#This Row],[Cost of Sales]]-Table5[[#This Row],[Standard cost]]</f>
        <v>0</v>
      </c>
      <c r="U404" s="15">
        <f>Table5[[#This Row],[Net Sales Revenue]]-Table5[[#This Row],[Cost of Sales]]</f>
        <v>39168</v>
      </c>
      <c r="V404" s="17">
        <f>Table5[[#This Row],[GrossProfit]]/Table5[[#This Row],[Net Sales Revenue]]</f>
        <v>0.44444444444444442</v>
      </c>
    </row>
    <row r="405" spans="1:22" ht="14.25" customHeight="1" x14ac:dyDescent="0.25">
      <c r="A405" s="1" t="s">
        <v>479</v>
      </c>
      <c r="B405" s="1" t="s">
        <v>436</v>
      </c>
      <c r="C405" s="1" t="s">
        <v>56</v>
      </c>
      <c r="D405" s="1" t="s">
        <v>29</v>
      </c>
      <c r="E405" s="1" t="s">
        <v>31</v>
      </c>
      <c r="F405" s="1">
        <v>1244</v>
      </c>
      <c r="G405" s="14">
        <v>10</v>
      </c>
      <c r="H405" s="1">
        <v>0.09</v>
      </c>
      <c r="I405" s="14">
        <v>11320.4</v>
      </c>
      <c r="J405" s="14">
        <v>4976</v>
      </c>
      <c r="K405" s="15">
        <f>Table5[[#This Row],[Selling Price]]*Table5[[#This Row],[Units Sold]]</f>
        <v>12440</v>
      </c>
      <c r="L405" t="str">
        <f t="shared" si="6"/>
        <v>2023-09</v>
      </c>
      <c r="M405" t="str">
        <f>VLOOKUP(Table5[[#This Row],[Store ID]],Table4[[Store ID]:[Store Location]],2)</f>
        <v>Leeds</v>
      </c>
      <c r="N405" t="str">
        <f>VLOOKUP(Table5[[#This Row],[Store ID]],Table4[[Store ID]:[Region]],3)</f>
        <v>North</v>
      </c>
      <c r="O405" t="str">
        <f>VLOOKUP(Table5[[#This Row],[Product ID]],'Product Master'!$A$2:$D$10,4)</f>
        <v>Supplier F</v>
      </c>
      <c r="P405" s="15">
        <f>Table5[[#This Row],[Total Revenue]]-Table5[[#This Row],[Net Sales Revenue]]</f>
        <v>1119.6000000000004</v>
      </c>
      <c r="Q405" s="15">
        <f>Table5[[#This Row],[Net Sales Revenue]]/Table5[[#This Row],[Units Sold]]</f>
        <v>9.1</v>
      </c>
      <c r="R405">
        <f>VLOOKUP(Table5[[#This Row],[Product ID]],'Product Master'!$A$1:$E$10,5,FALSE)</f>
        <v>4</v>
      </c>
      <c r="S405" s="15">
        <f>Table5[[#This Row],[standard product cost per unit]]*Table5[[#This Row],[Units Sold]]</f>
        <v>4976</v>
      </c>
      <c r="T405" s="15">
        <f>Table5[[#This Row],[Cost of Sales]]-Table5[[#This Row],[Standard cost]]</f>
        <v>0</v>
      </c>
      <c r="U405" s="15">
        <f>Table5[[#This Row],[Net Sales Revenue]]-Table5[[#This Row],[Cost of Sales]]</f>
        <v>6344.4</v>
      </c>
      <c r="V405" s="17">
        <f>Table5[[#This Row],[GrossProfit]]/Table5[[#This Row],[Net Sales Revenue]]</f>
        <v>0.56043956043956045</v>
      </c>
    </row>
    <row r="406" spans="1:22" ht="14.25" customHeight="1" x14ac:dyDescent="0.25">
      <c r="A406" s="1" t="s">
        <v>480</v>
      </c>
      <c r="B406" s="1" t="s">
        <v>436</v>
      </c>
      <c r="C406" s="1" t="s">
        <v>56</v>
      </c>
      <c r="D406" s="1" t="s">
        <v>33</v>
      </c>
      <c r="E406" s="1" t="s">
        <v>31</v>
      </c>
      <c r="F406" s="1">
        <v>2408</v>
      </c>
      <c r="G406" s="14">
        <v>22</v>
      </c>
      <c r="H406" s="1">
        <v>0.06</v>
      </c>
      <c r="I406" s="14">
        <v>49797.440000000002</v>
      </c>
      <c r="J406" s="14">
        <v>24080</v>
      </c>
      <c r="K406" s="15">
        <f>Table5[[#This Row],[Selling Price]]*Table5[[#This Row],[Units Sold]]</f>
        <v>52976</v>
      </c>
      <c r="L406" t="str">
        <f t="shared" si="6"/>
        <v>2023-09</v>
      </c>
      <c r="M406" t="str">
        <f>VLOOKUP(Table5[[#This Row],[Store ID]],Table4[[Store ID]:[Store Location]],2)</f>
        <v>Leeds</v>
      </c>
      <c r="N406" t="str">
        <f>VLOOKUP(Table5[[#This Row],[Store ID]],Table4[[Store ID]:[Region]],3)</f>
        <v>North</v>
      </c>
      <c r="O406" t="str">
        <f>VLOOKUP(Table5[[#This Row],[Product ID]],'Product Master'!$A$2:$D$10,4)</f>
        <v>Supplier F</v>
      </c>
      <c r="P406" s="15">
        <f>Table5[[#This Row],[Total Revenue]]-Table5[[#This Row],[Net Sales Revenue]]</f>
        <v>3178.5599999999977</v>
      </c>
      <c r="Q406" s="15">
        <f>Table5[[#This Row],[Net Sales Revenue]]/Table5[[#This Row],[Units Sold]]</f>
        <v>20.68</v>
      </c>
      <c r="R406">
        <f>VLOOKUP(Table5[[#This Row],[Product ID]],'Product Master'!$A$1:$E$10,5,FALSE)</f>
        <v>10</v>
      </c>
      <c r="S406" s="15">
        <f>Table5[[#This Row],[standard product cost per unit]]*Table5[[#This Row],[Units Sold]]</f>
        <v>24080</v>
      </c>
      <c r="T406" s="15">
        <f>Table5[[#This Row],[Cost of Sales]]-Table5[[#This Row],[Standard cost]]</f>
        <v>0</v>
      </c>
      <c r="U406" s="15">
        <f>Table5[[#This Row],[Net Sales Revenue]]-Table5[[#This Row],[Cost of Sales]]</f>
        <v>25717.440000000002</v>
      </c>
      <c r="V406" s="17">
        <f>Table5[[#This Row],[GrossProfit]]/Table5[[#This Row],[Net Sales Revenue]]</f>
        <v>0.51644100580270791</v>
      </c>
    </row>
    <row r="407" spans="1:22" ht="14.25" customHeight="1" x14ac:dyDescent="0.25">
      <c r="A407" s="1" t="s">
        <v>481</v>
      </c>
      <c r="B407" s="1" t="s">
        <v>482</v>
      </c>
      <c r="C407" s="1" t="s">
        <v>40</v>
      </c>
      <c r="D407" s="1" t="s">
        <v>6</v>
      </c>
      <c r="E407" s="1" t="s">
        <v>8</v>
      </c>
      <c r="F407" s="1">
        <v>1372</v>
      </c>
      <c r="G407" s="14">
        <v>24</v>
      </c>
      <c r="H407" s="1">
        <v>7.0000000000000007E-2</v>
      </c>
      <c r="I407" s="14">
        <v>30623.040000000001</v>
      </c>
      <c r="J407" s="14">
        <v>16464</v>
      </c>
      <c r="K407" s="15">
        <f>Table5[[#This Row],[Selling Price]]*Table5[[#This Row],[Units Sold]]</f>
        <v>32928</v>
      </c>
      <c r="L407" t="str">
        <f t="shared" si="6"/>
        <v>2023-10</v>
      </c>
      <c r="M407" t="str">
        <f>VLOOKUP(Table5[[#This Row],[Store ID]],Table4[[Store ID]:[Store Location]],2)</f>
        <v>Manchester</v>
      </c>
      <c r="N407" t="str">
        <f>VLOOKUP(Table5[[#This Row],[Store ID]],Table4[[Store ID]:[Region]],3)</f>
        <v>North</v>
      </c>
      <c r="O407" t="str">
        <f>VLOOKUP(Table5[[#This Row],[Product ID]],'Product Master'!$A$2:$D$10,4)</f>
        <v>Supplier A</v>
      </c>
      <c r="P407" s="15">
        <f>Table5[[#This Row],[Total Revenue]]-Table5[[#This Row],[Net Sales Revenue]]</f>
        <v>2304.9599999999991</v>
      </c>
      <c r="Q407" s="15">
        <f>Table5[[#This Row],[Net Sales Revenue]]/Table5[[#This Row],[Units Sold]]</f>
        <v>22.32</v>
      </c>
      <c r="R407">
        <f>VLOOKUP(Table5[[#This Row],[Product ID]],'Product Master'!$A$1:$E$10,5,FALSE)</f>
        <v>12</v>
      </c>
      <c r="S407" s="15">
        <f>Table5[[#This Row],[standard product cost per unit]]*Table5[[#This Row],[Units Sold]]</f>
        <v>16464</v>
      </c>
      <c r="T407" s="15">
        <f>Table5[[#This Row],[Cost of Sales]]-Table5[[#This Row],[Standard cost]]</f>
        <v>0</v>
      </c>
      <c r="U407" s="15">
        <f>Table5[[#This Row],[Net Sales Revenue]]-Table5[[#This Row],[Cost of Sales]]</f>
        <v>14159.04</v>
      </c>
      <c r="V407" s="17">
        <f>Table5[[#This Row],[GrossProfit]]/Table5[[#This Row],[Net Sales Revenue]]</f>
        <v>0.4623655913978495</v>
      </c>
    </row>
    <row r="408" spans="1:22" ht="14.25" customHeight="1" x14ac:dyDescent="0.25">
      <c r="A408" s="1" t="s">
        <v>483</v>
      </c>
      <c r="B408" s="1" t="s">
        <v>482</v>
      </c>
      <c r="C408" s="1" t="s">
        <v>40</v>
      </c>
      <c r="D408" s="1" t="s">
        <v>10</v>
      </c>
      <c r="E408" s="1" t="s">
        <v>8</v>
      </c>
      <c r="F408" s="1">
        <v>2768</v>
      </c>
      <c r="G408" s="14">
        <v>50</v>
      </c>
      <c r="H408" s="1">
        <v>0.09</v>
      </c>
      <c r="I408" s="14">
        <v>125944</v>
      </c>
      <c r="J408" s="14">
        <v>77504</v>
      </c>
      <c r="K408" s="15">
        <f>Table5[[#This Row],[Selling Price]]*Table5[[#This Row],[Units Sold]]</f>
        <v>138400</v>
      </c>
      <c r="L408" t="str">
        <f t="shared" si="6"/>
        <v>2023-10</v>
      </c>
      <c r="M408" t="str">
        <f>VLOOKUP(Table5[[#This Row],[Store ID]],Table4[[Store ID]:[Store Location]],2)</f>
        <v>Manchester</v>
      </c>
      <c r="N408" t="str">
        <f>VLOOKUP(Table5[[#This Row],[Store ID]],Table4[[Store ID]:[Region]],3)</f>
        <v>North</v>
      </c>
      <c r="O408" t="str">
        <f>VLOOKUP(Table5[[#This Row],[Product ID]],'Product Master'!$A$2:$D$10,4)</f>
        <v>Supplier B</v>
      </c>
      <c r="P408" s="15">
        <f>Table5[[#This Row],[Total Revenue]]-Table5[[#This Row],[Net Sales Revenue]]</f>
        <v>12456</v>
      </c>
      <c r="Q408" s="15">
        <f>Table5[[#This Row],[Net Sales Revenue]]/Table5[[#This Row],[Units Sold]]</f>
        <v>45.5</v>
      </c>
      <c r="R408">
        <f>VLOOKUP(Table5[[#This Row],[Product ID]],'Product Master'!$A$1:$E$10,5,FALSE)</f>
        <v>28</v>
      </c>
      <c r="S408" s="15">
        <f>Table5[[#This Row],[standard product cost per unit]]*Table5[[#This Row],[Units Sold]]</f>
        <v>77504</v>
      </c>
      <c r="T408" s="15">
        <f>Table5[[#This Row],[Cost of Sales]]-Table5[[#This Row],[Standard cost]]</f>
        <v>0</v>
      </c>
      <c r="U408" s="15">
        <f>Table5[[#This Row],[Net Sales Revenue]]-Table5[[#This Row],[Cost of Sales]]</f>
        <v>48440</v>
      </c>
      <c r="V408" s="17">
        <f>Table5[[#This Row],[GrossProfit]]/Table5[[#This Row],[Net Sales Revenue]]</f>
        <v>0.38461538461538464</v>
      </c>
    </row>
    <row r="409" spans="1:22" ht="14.25" customHeight="1" x14ac:dyDescent="0.25">
      <c r="A409" s="1" t="s">
        <v>484</v>
      </c>
      <c r="B409" s="1" t="s">
        <v>482</v>
      </c>
      <c r="C409" s="1" t="s">
        <v>40</v>
      </c>
      <c r="D409" s="1" t="s">
        <v>13</v>
      </c>
      <c r="E409" s="1" t="s">
        <v>15</v>
      </c>
      <c r="F409" s="1">
        <v>2024</v>
      </c>
      <c r="G409" s="14">
        <v>28</v>
      </c>
      <c r="H409" s="1">
        <v>7.0000000000000007E-2</v>
      </c>
      <c r="I409" s="14">
        <v>52704.959999999999</v>
      </c>
      <c r="J409" s="14">
        <v>30360</v>
      </c>
      <c r="K409" s="15">
        <f>Table5[[#This Row],[Selling Price]]*Table5[[#This Row],[Units Sold]]</f>
        <v>56672</v>
      </c>
      <c r="L409" t="str">
        <f t="shared" si="6"/>
        <v>2023-10</v>
      </c>
      <c r="M409" t="str">
        <f>VLOOKUP(Table5[[#This Row],[Store ID]],Table4[[Store ID]:[Store Location]],2)</f>
        <v>Manchester</v>
      </c>
      <c r="N409" t="str">
        <f>VLOOKUP(Table5[[#This Row],[Store ID]],Table4[[Store ID]:[Region]],3)</f>
        <v>North</v>
      </c>
      <c r="O409" t="str">
        <f>VLOOKUP(Table5[[#This Row],[Product ID]],'Product Master'!$A$2:$D$10,4)</f>
        <v>Supplier C</v>
      </c>
      <c r="P409" s="15">
        <f>Table5[[#This Row],[Total Revenue]]-Table5[[#This Row],[Net Sales Revenue]]</f>
        <v>3967.0400000000009</v>
      </c>
      <c r="Q409" s="15">
        <f>Table5[[#This Row],[Net Sales Revenue]]/Table5[[#This Row],[Units Sold]]</f>
        <v>26.04</v>
      </c>
      <c r="R409">
        <f>VLOOKUP(Table5[[#This Row],[Product ID]],'Product Master'!$A$1:$E$10,5,FALSE)</f>
        <v>15</v>
      </c>
      <c r="S409" s="15">
        <f>Table5[[#This Row],[standard product cost per unit]]*Table5[[#This Row],[Units Sold]]</f>
        <v>30360</v>
      </c>
      <c r="T409" s="15">
        <f>Table5[[#This Row],[Cost of Sales]]-Table5[[#This Row],[Standard cost]]</f>
        <v>0</v>
      </c>
      <c r="U409" s="15">
        <f>Table5[[#This Row],[Net Sales Revenue]]-Table5[[#This Row],[Cost of Sales]]</f>
        <v>22344.959999999999</v>
      </c>
      <c r="V409" s="17">
        <f>Table5[[#This Row],[GrossProfit]]/Table5[[#This Row],[Net Sales Revenue]]</f>
        <v>0.42396313364055299</v>
      </c>
    </row>
    <row r="410" spans="1:22" ht="14.25" customHeight="1" x14ac:dyDescent="0.25">
      <c r="A410" s="1" t="s">
        <v>485</v>
      </c>
      <c r="B410" s="1" t="s">
        <v>482</v>
      </c>
      <c r="C410" s="1" t="s">
        <v>40</v>
      </c>
      <c r="D410" s="1" t="s">
        <v>17</v>
      </c>
      <c r="E410" s="1" t="s">
        <v>15</v>
      </c>
      <c r="F410" s="1">
        <v>2196</v>
      </c>
      <c r="G410" s="14">
        <v>35</v>
      </c>
      <c r="H410" s="1">
        <v>0.08</v>
      </c>
      <c r="I410" s="14">
        <v>70711.199999999997</v>
      </c>
      <c r="J410" s="14">
        <v>39528</v>
      </c>
      <c r="K410" s="15">
        <f>Table5[[#This Row],[Selling Price]]*Table5[[#This Row],[Units Sold]]</f>
        <v>76860</v>
      </c>
      <c r="L410" t="str">
        <f t="shared" si="6"/>
        <v>2023-10</v>
      </c>
      <c r="M410" t="str">
        <f>VLOOKUP(Table5[[#This Row],[Store ID]],Table4[[Store ID]:[Store Location]],2)</f>
        <v>Manchester</v>
      </c>
      <c r="N410" t="str">
        <f>VLOOKUP(Table5[[#This Row],[Store ID]],Table4[[Store ID]:[Region]],3)</f>
        <v>North</v>
      </c>
      <c r="O410" t="str">
        <f>VLOOKUP(Table5[[#This Row],[Product ID]],'Product Master'!$A$2:$D$10,4)</f>
        <v>Supplier C</v>
      </c>
      <c r="P410" s="15">
        <f>Table5[[#This Row],[Total Revenue]]-Table5[[#This Row],[Net Sales Revenue]]</f>
        <v>6148.8000000000029</v>
      </c>
      <c r="Q410" s="15">
        <f>Table5[[#This Row],[Net Sales Revenue]]/Table5[[#This Row],[Units Sold]]</f>
        <v>32.199999999999996</v>
      </c>
      <c r="R410">
        <f>VLOOKUP(Table5[[#This Row],[Product ID]],'Product Master'!$A$1:$E$10,5,FALSE)</f>
        <v>18</v>
      </c>
      <c r="S410" s="15">
        <f>Table5[[#This Row],[standard product cost per unit]]*Table5[[#This Row],[Units Sold]]</f>
        <v>39528</v>
      </c>
      <c r="T410" s="15">
        <f>Table5[[#This Row],[Cost of Sales]]-Table5[[#This Row],[Standard cost]]</f>
        <v>0</v>
      </c>
      <c r="U410" s="15">
        <f>Table5[[#This Row],[Net Sales Revenue]]-Table5[[#This Row],[Cost of Sales]]</f>
        <v>31183.199999999997</v>
      </c>
      <c r="V410" s="17">
        <f>Table5[[#This Row],[GrossProfit]]/Table5[[#This Row],[Net Sales Revenue]]</f>
        <v>0.44099378881987578</v>
      </c>
    </row>
    <row r="411" spans="1:22" ht="14.25" customHeight="1" x14ac:dyDescent="0.25">
      <c r="A411" s="1" t="s">
        <v>486</v>
      </c>
      <c r="B411" s="1" t="s">
        <v>482</v>
      </c>
      <c r="C411" s="1" t="s">
        <v>40</v>
      </c>
      <c r="D411" s="1" t="s">
        <v>19</v>
      </c>
      <c r="E411" s="1" t="s">
        <v>21</v>
      </c>
      <c r="F411" s="1">
        <v>1484</v>
      </c>
      <c r="G411" s="14">
        <v>18</v>
      </c>
      <c r="H411" s="1">
        <v>7.0000000000000007E-2</v>
      </c>
      <c r="I411" s="14">
        <v>24842.16</v>
      </c>
      <c r="J411" s="14">
        <v>13356</v>
      </c>
      <c r="K411" s="15">
        <f>Table5[[#This Row],[Selling Price]]*Table5[[#This Row],[Units Sold]]</f>
        <v>26712</v>
      </c>
      <c r="L411" t="str">
        <f t="shared" si="6"/>
        <v>2023-10</v>
      </c>
      <c r="M411" t="str">
        <f>VLOOKUP(Table5[[#This Row],[Store ID]],Table4[[Store ID]:[Store Location]],2)</f>
        <v>Manchester</v>
      </c>
      <c r="N411" t="str">
        <f>VLOOKUP(Table5[[#This Row],[Store ID]],Table4[[Store ID]:[Region]],3)</f>
        <v>North</v>
      </c>
      <c r="O411" t="str">
        <f>VLOOKUP(Table5[[#This Row],[Product ID]],'Product Master'!$A$2:$D$10,4)</f>
        <v>Supplier D</v>
      </c>
      <c r="P411" s="15">
        <f>Table5[[#This Row],[Total Revenue]]-Table5[[#This Row],[Net Sales Revenue]]</f>
        <v>1869.8400000000001</v>
      </c>
      <c r="Q411" s="15">
        <f>Table5[[#This Row],[Net Sales Revenue]]/Table5[[#This Row],[Units Sold]]</f>
        <v>16.739999999999998</v>
      </c>
      <c r="R411">
        <f>VLOOKUP(Table5[[#This Row],[Product ID]],'Product Master'!$A$1:$E$10,5,FALSE)</f>
        <v>9</v>
      </c>
      <c r="S411" s="15">
        <f>Table5[[#This Row],[standard product cost per unit]]*Table5[[#This Row],[Units Sold]]</f>
        <v>13356</v>
      </c>
      <c r="T411" s="15">
        <f>Table5[[#This Row],[Cost of Sales]]-Table5[[#This Row],[Standard cost]]</f>
        <v>0</v>
      </c>
      <c r="U411" s="15">
        <f>Table5[[#This Row],[Net Sales Revenue]]-Table5[[#This Row],[Cost of Sales]]</f>
        <v>11486.16</v>
      </c>
      <c r="V411" s="17">
        <f>Table5[[#This Row],[GrossProfit]]/Table5[[#This Row],[Net Sales Revenue]]</f>
        <v>0.46236559139784944</v>
      </c>
    </row>
    <row r="412" spans="1:22" ht="14.25" customHeight="1" x14ac:dyDescent="0.25">
      <c r="A412" s="1" t="s">
        <v>487</v>
      </c>
      <c r="B412" s="1" t="s">
        <v>482</v>
      </c>
      <c r="C412" s="1" t="s">
        <v>40</v>
      </c>
      <c r="D412" s="1" t="s">
        <v>23</v>
      </c>
      <c r="E412" s="1" t="s">
        <v>21</v>
      </c>
      <c r="F412" s="1">
        <v>1528</v>
      </c>
      <c r="G412" s="14">
        <v>30</v>
      </c>
      <c r="H412" s="1">
        <v>0.06</v>
      </c>
      <c r="I412" s="14">
        <v>43089.599999999999</v>
      </c>
      <c r="J412" s="14">
        <v>21392</v>
      </c>
      <c r="K412" s="15">
        <f>Table5[[#This Row],[Selling Price]]*Table5[[#This Row],[Units Sold]]</f>
        <v>45840</v>
      </c>
      <c r="L412" t="str">
        <f t="shared" si="6"/>
        <v>2023-10</v>
      </c>
      <c r="M412" t="str">
        <f>VLOOKUP(Table5[[#This Row],[Store ID]],Table4[[Store ID]:[Store Location]],2)</f>
        <v>Manchester</v>
      </c>
      <c r="N412" t="str">
        <f>VLOOKUP(Table5[[#This Row],[Store ID]],Table4[[Store ID]:[Region]],3)</f>
        <v>North</v>
      </c>
      <c r="O412" t="str">
        <f>VLOOKUP(Table5[[#This Row],[Product ID]],'Product Master'!$A$2:$D$10,4)</f>
        <v>Supplier D</v>
      </c>
      <c r="P412" s="15">
        <f>Table5[[#This Row],[Total Revenue]]-Table5[[#This Row],[Net Sales Revenue]]</f>
        <v>2750.4000000000015</v>
      </c>
      <c r="Q412" s="15">
        <f>Table5[[#This Row],[Net Sales Revenue]]/Table5[[#This Row],[Units Sold]]</f>
        <v>28.2</v>
      </c>
      <c r="R412">
        <f>VLOOKUP(Table5[[#This Row],[Product ID]],'Product Master'!$A$1:$E$10,5,FALSE)</f>
        <v>14</v>
      </c>
      <c r="S412" s="15">
        <f>Table5[[#This Row],[standard product cost per unit]]*Table5[[#This Row],[Units Sold]]</f>
        <v>21392</v>
      </c>
      <c r="T412" s="15">
        <f>Table5[[#This Row],[Cost of Sales]]-Table5[[#This Row],[Standard cost]]</f>
        <v>0</v>
      </c>
      <c r="U412" s="15">
        <f>Table5[[#This Row],[Net Sales Revenue]]-Table5[[#This Row],[Cost of Sales]]</f>
        <v>21697.599999999999</v>
      </c>
      <c r="V412" s="17">
        <f>Table5[[#This Row],[GrossProfit]]/Table5[[#This Row],[Net Sales Revenue]]</f>
        <v>0.50354609929078009</v>
      </c>
    </row>
    <row r="413" spans="1:22" ht="14.25" customHeight="1" x14ac:dyDescent="0.25">
      <c r="A413" s="1" t="s">
        <v>488</v>
      </c>
      <c r="B413" s="1" t="s">
        <v>482</v>
      </c>
      <c r="C413" s="1" t="s">
        <v>40</v>
      </c>
      <c r="D413" s="1" t="s">
        <v>25</v>
      </c>
      <c r="E413" s="1" t="s">
        <v>27</v>
      </c>
      <c r="F413" s="1">
        <v>2420</v>
      </c>
      <c r="G413" s="14">
        <v>40</v>
      </c>
      <c r="H413" s="1">
        <v>0.05</v>
      </c>
      <c r="I413" s="14">
        <v>91960</v>
      </c>
      <c r="J413" s="14">
        <v>48400</v>
      </c>
      <c r="K413" s="15">
        <f>Table5[[#This Row],[Selling Price]]*Table5[[#This Row],[Units Sold]]</f>
        <v>96800</v>
      </c>
      <c r="L413" t="str">
        <f t="shared" si="6"/>
        <v>2023-10</v>
      </c>
      <c r="M413" t="str">
        <f>VLOOKUP(Table5[[#This Row],[Store ID]],Table4[[Store ID]:[Store Location]],2)</f>
        <v>Manchester</v>
      </c>
      <c r="N413" t="str">
        <f>VLOOKUP(Table5[[#This Row],[Store ID]],Table4[[Store ID]:[Region]],3)</f>
        <v>North</v>
      </c>
      <c r="O413" t="str">
        <f>VLOOKUP(Table5[[#This Row],[Product ID]],'Product Master'!$A$2:$D$10,4)</f>
        <v>Supplier E</v>
      </c>
      <c r="P413" s="15">
        <f>Table5[[#This Row],[Total Revenue]]-Table5[[#This Row],[Net Sales Revenue]]</f>
        <v>4840</v>
      </c>
      <c r="Q413" s="15">
        <f>Table5[[#This Row],[Net Sales Revenue]]/Table5[[#This Row],[Units Sold]]</f>
        <v>38</v>
      </c>
      <c r="R413">
        <f>VLOOKUP(Table5[[#This Row],[Product ID]],'Product Master'!$A$1:$E$10,5,FALSE)</f>
        <v>20</v>
      </c>
      <c r="S413" s="15">
        <f>Table5[[#This Row],[standard product cost per unit]]*Table5[[#This Row],[Units Sold]]</f>
        <v>48400</v>
      </c>
      <c r="T413" s="15">
        <f>Table5[[#This Row],[Cost of Sales]]-Table5[[#This Row],[Standard cost]]</f>
        <v>0</v>
      </c>
      <c r="U413" s="15">
        <f>Table5[[#This Row],[Net Sales Revenue]]-Table5[[#This Row],[Cost of Sales]]</f>
        <v>43560</v>
      </c>
      <c r="V413" s="17">
        <f>Table5[[#This Row],[GrossProfit]]/Table5[[#This Row],[Net Sales Revenue]]</f>
        <v>0.47368421052631576</v>
      </c>
    </row>
    <row r="414" spans="1:22" ht="14.25" customHeight="1" x14ac:dyDescent="0.25">
      <c r="A414" s="1" t="s">
        <v>489</v>
      </c>
      <c r="B414" s="1" t="s">
        <v>482</v>
      </c>
      <c r="C414" s="1" t="s">
        <v>40</v>
      </c>
      <c r="D414" s="1" t="s">
        <v>29</v>
      </c>
      <c r="E414" s="1" t="s">
        <v>31</v>
      </c>
      <c r="F414" s="1">
        <v>1812</v>
      </c>
      <c r="G414" s="14">
        <v>10</v>
      </c>
      <c r="H414" s="1">
        <v>7.0000000000000007E-2</v>
      </c>
      <c r="I414" s="14">
        <v>16851.599999999999</v>
      </c>
      <c r="J414" s="14">
        <v>7248</v>
      </c>
      <c r="K414" s="15">
        <f>Table5[[#This Row],[Selling Price]]*Table5[[#This Row],[Units Sold]]</f>
        <v>18120</v>
      </c>
      <c r="L414" t="str">
        <f t="shared" si="6"/>
        <v>2023-10</v>
      </c>
      <c r="M414" t="str">
        <f>VLOOKUP(Table5[[#This Row],[Store ID]],Table4[[Store ID]:[Store Location]],2)</f>
        <v>Manchester</v>
      </c>
      <c r="N414" t="str">
        <f>VLOOKUP(Table5[[#This Row],[Store ID]],Table4[[Store ID]:[Region]],3)</f>
        <v>North</v>
      </c>
      <c r="O414" t="str">
        <f>VLOOKUP(Table5[[#This Row],[Product ID]],'Product Master'!$A$2:$D$10,4)</f>
        <v>Supplier F</v>
      </c>
      <c r="P414" s="15">
        <f>Table5[[#This Row],[Total Revenue]]-Table5[[#This Row],[Net Sales Revenue]]</f>
        <v>1268.4000000000015</v>
      </c>
      <c r="Q414" s="15">
        <f>Table5[[#This Row],[Net Sales Revenue]]/Table5[[#This Row],[Units Sold]]</f>
        <v>9.2999999999999989</v>
      </c>
      <c r="R414">
        <f>VLOOKUP(Table5[[#This Row],[Product ID]],'Product Master'!$A$1:$E$10,5,FALSE)</f>
        <v>4</v>
      </c>
      <c r="S414" s="15">
        <f>Table5[[#This Row],[standard product cost per unit]]*Table5[[#This Row],[Units Sold]]</f>
        <v>7248</v>
      </c>
      <c r="T414" s="15">
        <f>Table5[[#This Row],[Cost of Sales]]-Table5[[#This Row],[Standard cost]]</f>
        <v>0</v>
      </c>
      <c r="U414" s="15">
        <f>Table5[[#This Row],[Net Sales Revenue]]-Table5[[#This Row],[Cost of Sales]]</f>
        <v>9603.5999999999985</v>
      </c>
      <c r="V414" s="17">
        <f>Table5[[#This Row],[GrossProfit]]/Table5[[#This Row],[Net Sales Revenue]]</f>
        <v>0.56989247311827951</v>
      </c>
    </row>
    <row r="415" spans="1:22" ht="14.25" customHeight="1" x14ac:dyDescent="0.25">
      <c r="A415" s="1" t="s">
        <v>490</v>
      </c>
      <c r="B415" s="1" t="s">
        <v>482</v>
      </c>
      <c r="C415" s="1" t="s">
        <v>40</v>
      </c>
      <c r="D415" s="1" t="s">
        <v>33</v>
      </c>
      <c r="E415" s="1" t="s">
        <v>31</v>
      </c>
      <c r="F415" s="1">
        <v>2204</v>
      </c>
      <c r="G415" s="14">
        <v>22</v>
      </c>
      <c r="H415" s="1">
        <v>0.09</v>
      </c>
      <c r="I415" s="14">
        <v>44124.08</v>
      </c>
      <c r="J415" s="14">
        <v>22040</v>
      </c>
      <c r="K415" s="15">
        <f>Table5[[#This Row],[Selling Price]]*Table5[[#This Row],[Units Sold]]</f>
        <v>48488</v>
      </c>
      <c r="L415" t="str">
        <f t="shared" si="6"/>
        <v>2023-10</v>
      </c>
      <c r="M415" t="str">
        <f>VLOOKUP(Table5[[#This Row],[Store ID]],Table4[[Store ID]:[Store Location]],2)</f>
        <v>Manchester</v>
      </c>
      <c r="N415" t="str">
        <f>VLOOKUP(Table5[[#This Row],[Store ID]],Table4[[Store ID]:[Region]],3)</f>
        <v>North</v>
      </c>
      <c r="O415" t="str">
        <f>VLOOKUP(Table5[[#This Row],[Product ID]],'Product Master'!$A$2:$D$10,4)</f>
        <v>Supplier F</v>
      </c>
      <c r="P415" s="15">
        <f>Table5[[#This Row],[Total Revenue]]-Table5[[#This Row],[Net Sales Revenue]]</f>
        <v>4363.9199999999983</v>
      </c>
      <c r="Q415" s="15">
        <f>Table5[[#This Row],[Net Sales Revenue]]/Table5[[#This Row],[Units Sold]]</f>
        <v>20.02</v>
      </c>
      <c r="R415">
        <f>VLOOKUP(Table5[[#This Row],[Product ID]],'Product Master'!$A$1:$E$10,5,FALSE)</f>
        <v>10</v>
      </c>
      <c r="S415" s="15">
        <f>Table5[[#This Row],[standard product cost per unit]]*Table5[[#This Row],[Units Sold]]</f>
        <v>22040</v>
      </c>
      <c r="T415" s="15">
        <f>Table5[[#This Row],[Cost of Sales]]-Table5[[#This Row],[Standard cost]]</f>
        <v>0</v>
      </c>
      <c r="U415" s="15">
        <f>Table5[[#This Row],[Net Sales Revenue]]-Table5[[#This Row],[Cost of Sales]]</f>
        <v>22084.080000000002</v>
      </c>
      <c r="V415" s="17">
        <f>Table5[[#This Row],[GrossProfit]]/Table5[[#This Row],[Net Sales Revenue]]</f>
        <v>0.50049950049950054</v>
      </c>
    </row>
    <row r="416" spans="1:22" ht="14.25" customHeight="1" x14ac:dyDescent="0.25">
      <c r="A416" s="1" t="s">
        <v>491</v>
      </c>
      <c r="B416" s="1" t="s">
        <v>482</v>
      </c>
      <c r="C416" s="1" t="s">
        <v>44</v>
      </c>
      <c r="D416" s="1" t="s">
        <v>6</v>
      </c>
      <c r="E416" s="1" t="s">
        <v>8</v>
      </c>
      <c r="F416" s="1">
        <v>1328</v>
      </c>
      <c r="G416" s="14">
        <v>24</v>
      </c>
      <c r="H416" s="1">
        <v>0.1</v>
      </c>
      <c r="I416" s="14">
        <v>28684.799999999999</v>
      </c>
      <c r="J416" s="14">
        <v>15936</v>
      </c>
      <c r="K416" s="15">
        <f>Table5[[#This Row],[Selling Price]]*Table5[[#This Row],[Units Sold]]</f>
        <v>31872</v>
      </c>
      <c r="L416" t="str">
        <f t="shared" si="6"/>
        <v>2023-10</v>
      </c>
      <c r="M416" t="str">
        <f>VLOOKUP(Table5[[#This Row],[Store ID]],Table4[[Store ID]:[Store Location]],2)</f>
        <v>Birmingham</v>
      </c>
      <c r="N416" t="str">
        <f>VLOOKUP(Table5[[#This Row],[Store ID]],Table4[[Store ID]:[Region]],3)</f>
        <v>Midlands</v>
      </c>
      <c r="O416" t="str">
        <f>VLOOKUP(Table5[[#This Row],[Product ID]],'Product Master'!$A$2:$D$10,4)</f>
        <v>Supplier A</v>
      </c>
      <c r="P416" s="15">
        <f>Table5[[#This Row],[Total Revenue]]-Table5[[#This Row],[Net Sales Revenue]]</f>
        <v>3187.2000000000007</v>
      </c>
      <c r="Q416" s="15">
        <f>Table5[[#This Row],[Net Sales Revenue]]/Table5[[#This Row],[Units Sold]]</f>
        <v>21.599999999999998</v>
      </c>
      <c r="R416">
        <f>VLOOKUP(Table5[[#This Row],[Product ID]],'Product Master'!$A$1:$E$10,5,FALSE)</f>
        <v>12</v>
      </c>
      <c r="S416" s="15">
        <f>Table5[[#This Row],[standard product cost per unit]]*Table5[[#This Row],[Units Sold]]</f>
        <v>15936</v>
      </c>
      <c r="T416" s="15">
        <f>Table5[[#This Row],[Cost of Sales]]-Table5[[#This Row],[Standard cost]]</f>
        <v>0</v>
      </c>
      <c r="U416" s="15">
        <f>Table5[[#This Row],[Net Sales Revenue]]-Table5[[#This Row],[Cost of Sales]]</f>
        <v>12748.8</v>
      </c>
      <c r="V416" s="17">
        <f>Table5[[#This Row],[GrossProfit]]/Table5[[#This Row],[Net Sales Revenue]]</f>
        <v>0.44444444444444442</v>
      </c>
    </row>
    <row r="417" spans="1:22" ht="14.25" customHeight="1" x14ac:dyDescent="0.25">
      <c r="A417" s="1" t="s">
        <v>492</v>
      </c>
      <c r="B417" s="1" t="s">
        <v>482</v>
      </c>
      <c r="C417" s="1" t="s">
        <v>44</v>
      </c>
      <c r="D417" s="1" t="s">
        <v>10</v>
      </c>
      <c r="E417" s="1" t="s">
        <v>8</v>
      </c>
      <c r="F417" s="1">
        <v>2068</v>
      </c>
      <c r="G417" s="14">
        <v>50</v>
      </c>
      <c r="H417" s="1">
        <v>0.08</v>
      </c>
      <c r="I417" s="14">
        <v>95128</v>
      </c>
      <c r="J417" s="14">
        <v>57904</v>
      </c>
      <c r="K417" s="15">
        <f>Table5[[#This Row],[Selling Price]]*Table5[[#This Row],[Units Sold]]</f>
        <v>103400</v>
      </c>
      <c r="L417" t="str">
        <f t="shared" si="6"/>
        <v>2023-10</v>
      </c>
      <c r="M417" t="str">
        <f>VLOOKUP(Table5[[#This Row],[Store ID]],Table4[[Store ID]:[Store Location]],2)</f>
        <v>Birmingham</v>
      </c>
      <c r="N417" t="str">
        <f>VLOOKUP(Table5[[#This Row],[Store ID]],Table4[[Store ID]:[Region]],3)</f>
        <v>Midlands</v>
      </c>
      <c r="O417" t="str">
        <f>VLOOKUP(Table5[[#This Row],[Product ID]],'Product Master'!$A$2:$D$10,4)</f>
        <v>Supplier B</v>
      </c>
      <c r="P417" s="15">
        <f>Table5[[#This Row],[Total Revenue]]-Table5[[#This Row],[Net Sales Revenue]]</f>
        <v>8272</v>
      </c>
      <c r="Q417" s="15">
        <f>Table5[[#This Row],[Net Sales Revenue]]/Table5[[#This Row],[Units Sold]]</f>
        <v>46</v>
      </c>
      <c r="R417">
        <f>VLOOKUP(Table5[[#This Row],[Product ID]],'Product Master'!$A$1:$E$10,5,FALSE)</f>
        <v>28</v>
      </c>
      <c r="S417" s="15">
        <f>Table5[[#This Row],[standard product cost per unit]]*Table5[[#This Row],[Units Sold]]</f>
        <v>57904</v>
      </c>
      <c r="T417" s="15">
        <f>Table5[[#This Row],[Cost of Sales]]-Table5[[#This Row],[Standard cost]]</f>
        <v>0</v>
      </c>
      <c r="U417" s="15">
        <f>Table5[[#This Row],[Net Sales Revenue]]-Table5[[#This Row],[Cost of Sales]]</f>
        <v>37224</v>
      </c>
      <c r="V417" s="17">
        <f>Table5[[#This Row],[GrossProfit]]/Table5[[#This Row],[Net Sales Revenue]]</f>
        <v>0.39130434782608697</v>
      </c>
    </row>
    <row r="418" spans="1:22" ht="14.25" customHeight="1" x14ac:dyDescent="0.25">
      <c r="A418" s="1" t="s">
        <v>493</v>
      </c>
      <c r="B418" s="1" t="s">
        <v>482</v>
      </c>
      <c r="C418" s="1" t="s">
        <v>44</v>
      </c>
      <c r="D418" s="1" t="s">
        <v>13</v>
      </c>
      <c r="E418" s="1" t="s">
        <v>15</v>
      </c>
      <c r="F418" s="1">
        <v>1224</v>
      </c>
      <c r="G418" s="14">
        <v>28</v>
      </c>
      <c r="H418" s="1">
        <v>0.06</v>
      </c>
      <c r="I418" s="14">
        <v>32215.68</v>
      </c>
      <c r="J418" s="14">
        <v>18360</v>
      </c>
      <c r="K418" s="15">
        <f>Table5[[#This Row],[Selling Price]]*Table5[[#This Row],[Units Sold]]</f>
        <v>34272</v>
      </c>
      <c r="L418" t="str">
        <f t="shared" si="6"/>
        <v>2023-10</v>
      </c>
      <c r="M418" t="str">
        <f>VLOOKUP(Table5[[#This Row],[Store ID]],Table4[[Store ID]:[Store Location]],2)</f>
        <v>Birmingham</v>
      </c>
      <c r="N418" t="str">
        <f>VLOOKUP(Table5[[#This Row],[Store ID]],Table4[[Store ID]:[Region]],3)</f>
        <v>Midlands</v>
      </c>
      <c r="O418" t="str">
        <f>VLOOKUP(Table5[[#This Row],[Product ID]],'Product Master'!$A$2:$D$10,4)</f>
        <v>Supplier C</v>
      </c>
      <c r="P418" s="15">
        <f>Table5[[#This Row],[Total Revenue]]-Table5[[#This Row],[Net Sales Revenue]]</f>
        <v>2056.3199999999997</v>
      </c>
      <c r="Q418" s="15">
        <f>Table5[[#This Row],[Net Sales Revenue]]/Table5[[#This Row],[Units Sold]]</f>
        <v>26.32</v>
      </c>
      <c r="R418">
        <f>VLOOKUP(Table5[[#This Row],[Product ID]],'Product Master'!$A$1:$E$10,5,FALSE)</f>
        <v>15</v>
      </c>
      <c r="S418" s="15">
        <f>Table5[[#This Row],[standard product cost per unit]]*Table5[[#This Row],[Units Sold]]</f>
        <v>18360</v>
      </c>
      <c r="T418" s="15">
        <f>Table5[[#This Row],[Cost of Sales]]-Table5[[#This Row],[Standard cost]]</f>
        <v>0</v>
      </c>
      <c r="U418" s="15">
        <f>Table5[[#This Row],[Net Sales Revenue]]-Table5[[#This Row],[Cost of Sales]]</f>
        <v>13855.68</v>
      </c>
      <c r="V418" s="17">
        <f>Table5[[#This Row],[GrossProfit]]/Table5[[#This Row],[Net Sales Revenue]]</f>
        <v>0.43009118541033436</v>
      </c>
    </row>
    <row r="419" spans="1:22" ht="14.25" customHeight="1" x14ac:dyDescent="0.25">
      <c r="A419" s="1" t="s">
        <v>494</v>
      </c>
      <c r="B419" s="1" t="s">
        <v>482</v>
      </c>
      <c r="C419" s="1" t="s">
        <v>44</v>
      </c>
      <c r="D419" s="1" t="s">
        <v>17</v>
      </c>
      <c r="E419" s="1" t="s">
        <v>15</v>
      </c>
      <c r="F419" s="1">
        <v>1212</v>
      </c>
      <c r="G419" s="14">
        <v>35</v>
      </c>
      <c r="H419" s="1">
        <v>0.05</v>
      </c>
      <c r="I419" s="14">
        <v>40299</v>
      </c>
      <c r="J419" s="14">
        <v>21816</v>
      </c>
      <c r="K419" s="15">
        <f>Table5[[#This Row],[Selling Price]]*Table5[[#This Row],[Units Sold]]</f>
        <v>42420</v>
      </c>
      <c r="L419" t="str">
        <f t="shared" si="6"/>
        <v>2023-10</v>
      </c>
      <c r="M419" t="str">
        <f>VLOOKUP(Table5[[#This Row],[Store ID]],Table4[[Store ID]:[Store Location]],2)</f>
        <v>Birmingham</v>
      </c>
      <c r="N419" t="str">
        <f>VLOOKUP(Table5[[#This Row],[Store ID]],Table4[[Store ID]:[Region]],3)</f>
        <v>Midlands</v>
      </c>
      <c r="O419" t="str">
        <f>VLOOKUP(Table5[[#This Row],[Product ID]],'Product Master'!$A$2:$D$10,4)</f>
        <v>Supplier C</v>
      </c>
      <c r="P419" s="15">
        <f>Table5[[#This Row],[Total Revenue]]-Table5[[#This Row],[Net Sales Revenue]]</f>
        <v>2121</v>
      </c>
      <c r="Q419" s="15">
        <f>Table5[[#This Row],[Net Sales Revenue]]/Table5[[#This Row],[Units Sold]]</f>
        <v>33.25</v>
      </c>
      <c r="R419">
        <f>VLOOKUP(Table5[[#This Row],[Product ID]],'Product Master'!$A$1:$E$10,5,FALSE)</f>
        <v>18</v>
      </c>
      <c r="S419" s="15">
        <f>Table5[[#This Row],[standard product cost per unit]]*Table5[[#This Row],[Units Sold]]</f>
        <v>21816</v>
      </c>
      <c r="T419" s="15">
        <f>Table5[[#This Row],[Cost of Sales]]-Table5[[#This Row],[Standard cost]]</f>
        <v>0</v>
      </c>
      <c r="U419" s="15">
        <f>Table5[[#This Row],[Net Sales Revenue]]-Table5[[#This Row],[Cost of Sales]]</f>
        <v>18483</v>
      </c>
      <c r="V419" s="17">
        <f>Table5[[#This Row],[GrossProfit]]/Table5[[#This Row],[Net Sales Revenue]]</f>
        <v>0.45864661654135336</v>
      </c>
    </row>
    <row r="420" spans="1:22" ht="14.25" customHeight="1" x14ac:dyDescent="0.25">
      <c r="A420" s="1" t="s">
        <v>495</v>
      </c>
      <c r="B420" s="1" t="s">
        <v>482</v>
      </c>
      <c r="C420" s="1" t="s">
        <v>44</v>
      </c>
      <c r="D420" s="1" t="s">
        <v>19</v>
      </c>
      <c r="E420" s="1" t="s">
        <v>21</v>
      </c>
      <c r="F420" s="1">
        <v>2084</v>
      </c>
      <c r="G420" s="14">
        <v>18</v>
      </c>
      <c r="H420" s="1">
        <v>0.05</v>
      </c>
      <c r="I420" s="14">
        <v>35636.400000000001</v>
      </c>
      <c r="J420" s="14">
        <v>18756</v>
      </c>
      <c r="K420" s="15">
        <f>Table5[[#This Row],[Selling Price]]*Table5[[#This Row],[Units Sold]]</f>
        <v>37512</v>
      </c>
      <c r="L420" t="str">
        <f t="shared" si="6"/>
        <v>2023-10</v>
      </c>
      <c r="M420" t="str">
        <f>VLOOKUP(Table5[[#This Row],[Store ID]],Table4[[Store ID]:[Store Location]],2)</f>
        <v>Birmingham</v>
      </c>
      <c r="N420" t="str">
        <f>VLOOKUP(Table5[[#This Row],[Store ID]],Table4[[Store ID]:[Region]],3)</f>
        <v>Midlands</v>
      </c>
      <c r="O420" t="str">
        <f>VLOOKUP(Table5[[#This Row],[Product ID]],'Product Master'!$A$2:$D$10,4)</f>
        <v>Supplier D</v>
      </c>
      <c r="P420" s="15">
        <f>Table5[[#This Row],[Total Revenue]]-Table5[[#This Row],[Net Sales Revenue]]</f>
        <v>1875.5999999999985</v>
      </c>
      <c r="Q420" s="15">
        <f>Table5[[#This Row],[Net Sales Revenue]]/Table5[[#This Row],[Units Sold]]</f>
        <v>17.100000000000001</v>
      </c>
      <c r="R420">
        <f>VLOOKUP(Table5[[#This Row],[Product ID]],'Product Master'!$A$1:$E$10,5,FALSE)</f>
        <v>9</v>
      </c>
      <c r="S420" s="15">
        <f>Table5[[#This Row],[standard product cost per unit]]*Table5[[#This Row],[Units Sold]]</f>
        <v>18756</v>
      </c>
      <c r="T420" s="15">
        <f>Table5[[#This Row],[Cost of Sales]]-Table5[[#This Row],[Standard cost]]</f>
        <v>0</v>
      </c>
      <c r="U420" s="15">
        <f>Table5[[#This Row],[Net Sales Revenue]]-Table5[[#This Row],[Cost of Sales]]</f>
        <v>16880.400000000001</v>
      </c>
      <c r="V420" s="17">
        <f>Table5[[#This Row],[GrossProfit]]/Table5[[#This Row],[Net Sales Revenue]]</f>
        <v>0.47368421052631582</v>
      </c>
    </row>
    <row r="421" spans="1:22" ht="14.25" customHeight="1" x14ac:dyDescent="0.25">
      <c r="A421" s="1" t="s">
        <v>496</v>
      </c>
      <c r="B421" s="1" t="s">
        <v>482</v>
      </c>
      <c r="C421" s="1" t="s">
        <v>44</v>
      </c>
      <c r="D421" s="1" t="s">
        <v>23</v>
      </c>
      <c r="E421" s="1" t="s">
        <v>21</v>
      </c>
      <c r="F421" s="1">
        <v>1516</v>
      </c>
      <c r="G421" s="14">
        <v>30</v>
      </c>
      <c r="H421" s="1">
        <v>0.06</v>
      </c>
      <c r="I421" s="14">
        <v>42751.199999999997</v>
      </c>
      <c r="J421" s="14">
        <v>21224</v>
      </c>
      <c r="K421" s="15">
        <f>Table5[[#This Row],[Selling Price]]*Table5[[#This Row],[Units Sold]]</f>
        <v>45480</v>
      </c>
      <c r="L421" t="str">
        <f t="shared" si="6"/>
        <v>2023-10</v>
      </c>
      <c r="M421" t="str">
        <f>VLOOKUP(Table5[[#This Row],[Store ID]],Table4[[Store ID]:[Store Location]],2)</f>
        <v>Birmingham</v>
      </c>
      <c r="N421" t="str">
        <f>VLOOKUP(Table5[[#This Row],[Store ID]],Table4[[Store ID]:[Region]],3)</f>
        <v>Midlands</v>
      </c>
      <c r="O421" t="str">
        <f>VLOOKUP(Table5[[#This Row],[Product ID]],'Product Master'!$A$2:$D$10,4)</f>
        <v>Supplier D</v>
      </c>
      <c r="P421" s="15">
        <f>Table5[[#This Row],[Total Revenue]]-Table5[[#This Row],[Net Sales Revenue]]</f>
        <v>2728.8000000000029</v>
      </c>
      <c r="Q421" s="15">
        <f>Table5[[#This Row],[Net Sales Revenue]]/Table5[[#This Row],[Units Sold]]</f>
        <v>28.2</v>
      </c>
      <c r="R421">
        <f>VLOOKUP(Table5[[#This Row],[Product ID]],'Product Master'!$A$1:$E$10,5,FALSE)</f>
        <v>14</v>
      </c>
      <c r="S421" s="15">
        <f>Table5[[#This Row],[standard product cost per unit]]*Table5[[#This Row],[Units Sold]]</f>
        <v>21224</v>
      </c>
      <c r="T421" s="15">
        <f>Table5[[#This Row],[Cost of Sales]]-Table5[[#This Row],[Standard cost]]</f>
        <v>0</v>
      </c>
      <c r="U421" s="15">
        <f>Table5[[#This Row],[Net Sales Revenue]]-Table5[[#This Row],[Cost of Sales]]</f>
        <v>21527.199999999997</v>
      </c>
      <c r="V421" s="17">
        <f>Table5[[#This Row],[GrossProfit]]/Table5[[#This Row],[Net Sales Revenue]]</f>
        <v>0.50354609929078009</v>
      </c>
    </row>
    <row r="422" spans="1:22" ht="14.25" customHeight="1" x14ac:dyDescent="0.25">
      <c r="A422" s="1" t="s">
        <v>497</v>
      </c>
      <c r="B422" s="1" t="s">
        <v>482</v>
      </c>
      <c r="C422" s="1" t="s">
        <v>44</v>
      </c>
      <c r="D422" s="1" t="s">
        <v>25</v>
      </c>
      <c r="E422" s="1" t="s">
        <v>27</v>
      </c>
      <c r="F422" s="1">
        <v>1728</v>
      </c>
      <c r="G422" s="14">
        <v>40</v>
      </c>
      <c r="H422" s="1">
        <v>0.08</v>
      </c>
      <c r="I422" s="14">
        <v>63590.400000000001</v>
      </c>
      <c r="J422" s="14">
        <v>34560</v>
      </c>
      <c r="K422" s="15">
        <f>Table5[[#This Row],[Selling Price]]*Table5[[#This Row],[Units Sold]]</f>
        <v>69120</v>
      </c>
      <c r="L422" t="str">
        <f t="shared" si="6"/>
        <v>2023-10</v>
      </c>
      <c r="M422" t="str">
        <f>VLOOKUP(Table5[[#This Row],[Store ID]],Table4[[Store ID]:[Store Location]],2)</f>
        <v>Birmingham</v>
      </c>
      <c r="N422" t="str">
        <f>VLOOKUP(Table5[[#This Row],[Store ID]],Table4[[Store ID]:[Region]],3)</f>
        <v>Midlands</v>
      </c>
      <c r="O422" t="str">
        <f>VLOOKUP(Table5[[#This Row],[Product ID]],'Product Master'!$A$2:$D$10,4)</f>
        <v>Supplier E</v>
      </c>
      <c r="P422" s="15">
        <f>Table5[[#This Row],[Total Revenue]]-Table5[[#This Row],[Net Sales Revenue]]</f>
        <v>5529.5999999999985</v>
      </c>
      <c r="Q422" s="15">
        <f>Table5[[#This Row],[Net Sales Revenue]]/Table5[[#This Row],[Units Sold]]</f>
        <v>36.800000000000004</v>
      </c>
      <c r="R422">
        <f>VLOOKUP(Table5[[#This Row],[Product ID]],'Product Master'!$A$1:$E$10,5,FALSE)</f>
        <v>20</v>
      </c>
      <c r="S422" s="15">
        <f>Table5[[#This Row],[standard product cost per unit]]*Table5[[#This Row],[Units Sold]]</f>
        <v>34560</v>
      </c>
      <c r="T422" s="15">
        <f>Table5[[#This Row],[Cost of Sales]]-Table5[[#This Row],[Standard cost]]</f>
        <v>0</v>
      </c>
      <c r="U422" s="15">
        <f>Table5[[#This Row],[Net Sales Revenue]]-Table5[[#This Row],[Cost of Sales]]</f>
        <v>29030.400000000001</v>
      </c>
      <c r="V422" s="17">
        <f>Table5[[#This Row],[GrossProfit]]/Table5[[#This Row],[Net Sales Revenue]]</f>
        <v>0.45652173913043481</v>
      </c>
    </row>
    <row r="423" spans="1:22" ht="14.25" customHeight="1" x14ac:dyDescent="0.25">
      <c r="A423" s="1" t="s">
        <v>498</v>
      </c>
      <c r="B423" s="1" t="s">
        <v>482</v>
      </c>
      <c r="C423" s="1" t="s">
        <v>44</v>
      </c>
      <c r="D423" s="1" t="s">
        <v>29</v>
      </c>
      <c r="E423" s="1" t="s">
        <v>31</v>
      </c>
      <c r="F423" s="1">
        <v>1724</v>
      </c>
      <c r="G423" s="14">
        <v>10</v>
      </c>
      <c r="H423" s="1">
        <v>7.0000000000000007E-2</v>
      </c>
      <c r="I423" s="14">
        <v>16033.2</v>
      </c>
      <c r="J423" s="14">
        <v>6896</v>
      </c>
      <c r="K423" s="15">
        <f>Table5[[#This Row],[Selling Price]]*Table5[[#This Row],[Units Sold]]</f>
        <v>17240</v>
      </c>
      <c r="L423" t="str">
        <f t="shared" si="6"/>
        <v>2023-10</v>
      </c>
      <c r="M423" t="str">
        <f>VLOOKUP(Table5[[#This Row],[Store ID]],Table4[[Store ID]:[Store Location]],2)</f>
        <v>Birmingham</v>
      </c>
      <c r="N423" t="str">
        <f>VLOOKUP(Table5[[#This Row],[Store ID]],Table4[[Store ID]:[Region]],3)</f>
        <v>Midlands</v>
      </c>
      <c r="O423" t="str">
        <f>VLOOKUP(Table5[[#This Row],[Product ID]],'Product Master'!$A$2:$D$10,4)</f>
        <v>Supplier F</v>
      </c>
      <c r="P423" s="15">
        <f>Table5[[#This Row],[Total Revenue]]-Table5[[#This Row],[Net Sales Revenue]]</f>
        <v>1206.7999999999993</v>
      </c>
      <c r="Q423" s="15">
        <f>Table5[[#This Row],[Net Sales Revenue]]/Table5[[#This Row],[Units Sold]]</f>
        <v>9.3000000000000007</v>
      </c>
      <c r="R423">
        <f>VLOOKUP(Table5[[#This Row],[Product ID]],'Product Master'!$A$1:$E$10,5,FALSE)</f>
        <v>4</v>
      </c>
      <c r="S423" s="15">
        <f>Table5[[#This Row],[standard product cost per unit]]*Table5[[#This Row],[Units Sold]]</f>
        <v>6896</v>
      </c>
      <c r="T423" s="15">
        <f>Table5[[#This Row],[Cost of Sales]]-Table5[[#This Row],[Standard cost]]</f>
        <v>0</v>
      </c>
      <c r="U423" s="15">
        <f>Table5[[#This Row],[Net Sales Revenue]]-Table5[[#This Row],[Cost of Sales]]</f>
        <v>9137.2000000000007</v>
      </c>
      <c r="V423" s="17">
        <f>Table5[[#This Row],[GrossProfit]]/Table5[[#This Row],[Net Sales Revenue]]</f>
        <v>0.56989247311827962</v>
      </c>
    </row>
    <row r="424" spans="1:22" ht="14.25" customHeight="1" x14ac:dyDescent="0.25">
      <c r="A424" s="1" t="s">
        <v>499</v>
      </c>
      <c r="B424" s="1" t="s">
        <v>482</v>
      </c>
      <c r="C424" s="1" t="s">
        <v>44</v>
      </c>
      <c r="D424" s="1" t="s">
        <v>33</v>
      </c>
      <c r="E424" s="1" t="s">
        <v>31</v>
      </c>
      <c r="F424" s="1">
        <v>2716</v>
      </c>
      <c r="G424" s="14">
        <v>22</v>
      </c>
      <c r="H424" s="1">
        <v>0.09</v>
      </c>
      <c r="I424" s="14">
        <v>54374.32</v>
      </c>
      <c r="J424" s="14">
        <v>27160</v>
      </c>
      <c r="K424" s="15">
        <f>Table5[[#This Row],[Selling Price]]*Table5[[#This Row],[Units Sold]]</f>
        <v>59752</v>
      </c>
      <c r="L424" t="str">
        <f t="shared" si="6"/>
        <v>2023-10</v>
      </c>
      <c r="M424" t="str">
        <f>VLOOKUP(Table5[[#This Row],[Store ID]],Table4[[Store ID]:[Store Location]],2)</f>
        <v>Birmingham</v>
      </c>
      <c r="N424" t="str">
        <f>VLOOKUP(Table5[[#This Row],[Store ID]],Table4[[Store ID]:[Region]],3)</f>
        <v>Midlands</v>
      </c>
      <c r="O424" t="str">
        <f>VLOOKUP(Table5[[#This Row],[Product ID]],'Product Master'!$A$2:$D$10,4)</f>
        <v>Supplier F</v>
      </c>
      <c r="P424" s="15">
        <f>Table5[[#This Row],[Total Revenue]]-Table5[[#This Row],[Net Sales Revenue]]</f>
        <v>5377.68</v>
      </c>
      <c r="Q424" s="15">
        <f>Table5[[#This Row],[Net Sales Revenue]]/Table5[[#This Row],[Units Sold]]</f>
        <v>20.02</v>
      </c>
      <c r="R424">
        <f>VLOOKUP(Table5[[#This Row],[Product ID]],'Product Master'!$A$1:$E$10,5,FALSE)</f>
        <v>10</v>
      </c>
      <c r="S424" s="15">
        <f>Table5[[#This Row],[standard product cost per unit]]*Table5[[#This Row],[Units Sold]]</f>
        <v>27160</v>
      </c>
      <c r="T424" s="15">
        <f>Table5[[#This Row],[Cost of Sales]]-Table5[[#This Row],[Standard cost]]</f>
        <v>0</v>
      </c>
      <c r="U424" s="15">
        <f>Table5[[#This Row],[Net Sales Revenue]]-Table5[[#This Row],[Cost of Sales]]</f>
        <v>27214.32</v>
      </c>
      <c r="V424" s="17">
        <f>Table5[[#This Row],[GrossProfit]]/Table5[[#This Row],[Net Sales Revenue]]</f>
        <v>0.50049950049950054</v>
      </c>
    </row>
    <row r="425" spans="1:22" ht="14.25" customHeight="1" x14ac:dyDescent="0.25">
      <c r="A425" s="1" t="s">
        <v>500</v>
      </c>
      <c r="B425" s="1" t="s">
        <v>482</v>
      </c>
      <c r="C425" s="1" t="s">
        <v>48</v>
      </c>
      <c r="D425" s="1" t="s">
        <v>6</v>
      </c>
      <c r="E425" s="1" t="s">
        <v>8</v>
      </c>
      <c r="F425" s="1">
        <v>1592</v>
      </c>
      <c r="G425" s="14">
        <v>24</v>
      </c>
      <c r="H425" s="1">
        <v>0.06</v>
      </c>
      <c r="I425" s="14">
        <v>35915.519999999997</v>
      </c>
      <c r="J425" s="14">
        <v>19104</v>
      </c>
      <c r="K425" s="15">
        <f>Table5[[#This Row],[Selling Price]]*Table5[[#This Row],[Units Sold]]</f>
        <v>38208</v>
      </c>
      <c r="L425" t="str">
        <f t="shared" si="6"/>
        <v>2023-10</v>
      </c>
      <c r="M425" t="str">
        <f>VLOOKUP(Table5[[#This Row],[Store ID]],Table4[[Store ID]:[Store Location]],2)</f>
        <v>London Stratford</v>
      </c>
      <c r="N425" t="str">
        <f>VLOOKUP(Table5[[#This Row],[Store ID]],Table4[[Store ID]:[Region]],3)</f>
        <v>South</v>
      </c>
      <c r="O425" t="str">
        <f>VLOOKUP(Table5[[#This Row],[Product ID]],'Product Master'!$A$2:$D$10,4)</f>
        <v>Supplier A</v>
      </c>
      <c r="P425" s="15">
        <f>Table5[[#This Row],[Total Revenue]]-Table5[[#This Row],[Net Sales Revenue]]</f>
        <v>2292.4800000000032</v>
      </c>
      <c r="Q425" s="15">
        <f>Table5[[#This Row],[Net Sales Revenue]]/Table5[[#This Row],[Units Sold]]</f>
        <v>22.56</v>
      </c>
      <c r="R425">
        <f>VLOOKUP(Table5[[#This Row],[Product ID]],'Product Master'!$A$1:$E$10,5,FALSE)</f>
        <v>12</v>
      </c>
      <c r="S425" s="15">
        <f>Table5[[#This Row],[standard product cost per unit]]*Table5[[#This Row],[Units Sold]]</f>
        <v>19104</v>
      </c>
      <c r="T425" s="15">
        <f>Table5[[#This Row],[Cost of Sales]]-Table5[[#This Row],[Standard cost]]</f>
        <v>0</v>
      </c>
      <c r="U425" s="15">
        <f>Table5[[#This Row],[Net Sales Revenue]]-Table5[[#This Row],[Cost of Sales]]</f>
        <v>16811.519999999997</v>
      </c>
      <c r="V425" s="17">
        <f>Table5[[#This Row],[GrossProfit]]/Table5[[#This Row],[Net Sales Revenue]]</f>
        <v>0.46808510638297868</v>
      </c>
    </row>
    <row r="426" spans="1:22" ht="14.25" customHeight="1" x14ac:dyDescent="0.25">
      <c r="A426" s="1" t="s">
        <v>501</v>
      </c>
      <c r="B426" s="1" t="s">
        <v>482</v>
      </c>
      <c r="C426" s="1" t="s">
        <v>48</v>
      </c>
      <c r="D426" s="1" t="s">
        <v>10</v>
      </c>
      <c r="E426" s="1" t="s">
        <v>8</v>
      </c>
      <c r="F426" s="1">
        <v>1712</v>
      </c>
      <c r="G426" s="14">
        <v>50</v>
      </c>
      <c r="H426" s="1">
        <v>0.06</v>
      </c>
      <c r="I426" s="14">
        <v>80464</v>
      </c>
      <c r="J426" s="14">
        <v>47936</v>
      </c>
      <c r="K426" s="15">
        <f>Table5[[#This Row],[Selling Price]]*Table5[[#This Row],[Units Sold]]</f>
        <v>85600</v>
      </c>
      <c r="L426" t="str">
        <f t="shared" si="6"/>
        <v>2023-10</v>
      </c>
      <c r="M426" t="str">
        <f>VLOOKUP(Table5[[#This Row],[Store ID]],Table4[[Store ID]:[Store Location]],2)</f>
        <v>London Stratford</v>
      </c>
      <c r="N426" t="str">
        <f>VLOOKUP(Table5[[#This Row],[Store ID]],Table4[[Store ID]:[Region]],3)</f>
        <v>South</v>
      </c>
      <c r="O426" t="str">
        <f>VLOOKUP(Table5[[#This Row],[Product ID]],'Product Master'!$A$2:$D$10,4)</f>
        <v>Supplier B</v>
      </c>
      <c r="P426" s="15">
        <f>Table5[[#This Row],[Total Revenue]]-Table5[[#This Row],[Net Sales Revenue]]</f>
        <v>5136</v>
      </c>
      <c r="Q426" s="15">
        <f>Table5[[#This Row],[Net Sales Revenue]]/Table5[[#This Row],[Units Sold]]</f>
        <v>47</v>
      </c>
      <c r="R426">
        <f>VLOOKUP(Table5[[#This Row],[Product ID]],'Product Master'!$A$1:$E$10,5,FALSE)</f>
        <v>28</v>
      </c>
      <c r="S426" s="15">
        <f>Table5[[#This Row],[standard product cost per unit]]*Table5[[#This Row],[Units Sold]]</f>
        <v>47936</v>
      </c>
      <c r="T426" s="15">
        <f>Table5[[#This Row],[Cost of Sales]]-Table5[[#This Row],[Standard cost]]</f>
        <v>0</v>
      </c>
      <c r="U426" s="15">
        <f>Table5[[#This Row],[Net Sales Revenue]]-Table5[[#This Row],[Cost of Sales]]</f>
        <v>32528</v>
      </c>
      <c r="V426" s="17">
        <f>Table5[[#This Row],[GrossProfit]]/Table5[[#This Row],[Net Sales Revenue]]</f>
        <v>0.40425531914893614</v>
      </c>
    </row>
    <row r="427" spans="1:22" ht="14.25" customHeight="1" x14ac:dyDescent="0.25">
      <c r="A427" s="1" t="s">
        <v>502</v>
      </c>
      <c r="B427" s="1" t="s">
        <v>482</v>
      </c>
      <c r="C427" s="1" t="s">
        <v>48</v>
      </c>
      <c r="D427" s="1" t="s">
        <v>13</v>
      </c>
      <c r="E427" s="1" t="s">
        <v>15</v>
      </c>
      <c r="F427" s="1">
        <v>2176</v>
      </c>
      <c r="G427" s="14">
        <v>28</v>
      </c>
      <c r="H427" s="1">
        <v>0.09</v>
      </c>
      <c r="I427" s="14">
        <v>55444.480000000003</v>
      </c>
      <c r="J427" s="14">
        <v>32640</v>
      </c>
      <c r="K427" s="15">
        <f>Table5[[#This Row],[Selling Price]]*Table5[[#This Row],[Units Sold]]</f>
        <v>60928</v>
      </c>
      <c r="L427" t="str">
        <f t="shared" si="6"/>
        <v>2023-10</v>
      </c>
      <c r="M427" t="str">
        <f>VLOOKUP(Table5[[#This Row],[Store ID]],Table4[[Store ID]:[Store Location]],2)</f>
        <v>London Stratford</v>
      </c>
      <c r="N427" t="str">
        <f>VLOOKUP(Table5[[#This Row],[Store ID]],Table4[[Store ID]:[Region]],3)</f>
        <v>South</v>
      </c>
      <c r="O427" t="str">
        <f>VLOOKUP(Table5[[#This Row],[Product ID]],'Product Master'!$A$2:$D$10,4)</f>
        <v>Supplier C</v>
      </c>
      <c r="P427" s="15">
        <f>Table5[[#This Row],[Total Revenue]]-Table5[[#This Row],[Net Sales Revenue]]</f>
        <v>5483.5199999999968</v>
      </c>
      <c r="Q427" s="15">
        <f>Table5[[#This Row],[Net Sales Revenue]]/Table5[[#This Row],[Units Sold]]</f>
        <v>25.48</v>
      </c>
      <c r="R427">
        <f>VLOOKUP(Table5[[#This Row],[Product ID]],'Product Master'!$A$1:$E$10,5,FALSE)</f>
        <v>15</v>
      </c>
      <c r="S427" s="15">
        <f>Table5[[#This Row],[standard product cost per unit]]*Table5[[#This Row],[Units Sold]]</f>
        <v>32640</v>
      </c>
      <c r="T427" s="15">
        <f>Table5[[#This Row],[Cost of Sales]]-Table5[[#This Row],[Standard cost]]</f>
        <v>0</v>
      </c>
      <c r="U427" s="15">
        <f>Table5[[#This Row],[Net Sales Revenue]]-Table5[[#This Row],[Cost of Sales]]</f>
        <v>22804.480000000003</v>
      </c>
      <c r="V427" s="17">
        <f>Table5[[#This Row],[GrossProfit]]/Table5[[#This Row],[Net Sales Revenue]]</f>
        <v>0.41130298273155419</v>
      </c>
    </row>
    <row r="428" spans="1:22" ht="14.25" customHeight="1" x14ac:dyDescent="0.25">
      <c r="A428" s="1" t="s">
        <v>503</v>
      </c>
      <c r="B428" s="1" t="s">
        <v>482</v>
      </c>
      <c r="C428" s="1" t="s">
        <v>48</v>
      </c>
      <c r="D428" s="1" t="s">
        <v>17</v>
      </c>
      <c r="E428" s="1" t="s">
        <v>15</v>
      </c>
      <c r="F428" s="1">
        <v>1736</v>
      </c>
      <c r="G428" s="14">
        <v>35</v>
      </c>
      <c r="H428" s="1">
        <v>0.08</v>
      </c>
      <c r="I428" s="14">
        <v>55899.199999999997</v>
      </c>
      <c r="J428" s="14">
        <v>31248</v>
      </c>
      <c r="K428" s="15">
        <f>Table5[[#This Row],[Selling Price]]*Table5[[#This Row],[Units Sold]]</f>
        <v>60760</v>
      </c>
      <c r="L428" t="str">
        <f t="shared" si="6"/>
        <v>2023-10</v>
      </c>
      <c r="M428" t="str">
        <f>VLOOKUP(Table5[[#This Row],[Store ID]],Table4[[Store ID]:[Store Location]],2)</f>
        <v>London Stratford</v>
      </c>
      <c r="N428" t="str">
        <f>VLOOKUP(Table5[[#This Row],[Store ID]],Table4[[Store ID]:[Region]],3)</f>
        <v>South</v>
      </c>
      <c r="O428" t="str">
        <f>VLOOKUP(Table5[[#This Row],[Product ID]],'Product Master'!$A$2:$D$10,4)</f>
        <v>Supplier C</v>
      </c>
      <c r="P428" s="15">
        <f>Table5[[#This Row],[Total Revenue]]-Table5[[#This Row],[Net Sales Revenue]]</f>
        <v>4860.8000000000029</v>
      </c>
      <c r="Q428" s="15">
        <f>Table5[[#This Row],[Net Sales Revenue]]/Table5[[#This Row],[Units Sold]]</f>
        <v>32.199999999999996</v>
      </c>
      <c r="R428">
        <f>VLOOKUP(Table5[[#This Row],[Product ID]],'Product Master'!$A$1:$E$10,5,FALSE)</f>
        <v>18</v>
      </c>
      <c r="S428" s="15">
        <f>Table5[[#This Row],[standard product cost per unit]]*Table5[[#This Row],[Units Sold]]</f>
        <v>31248</v>
      </c>
      <c r="T428" s="15">
        <f>Table5[[#This Row],[Cost of Sales]]-Table5[[#This Row],[Standard cost]]</f>
        <v>0</v>
      </c>
      <c r="U428" s="15">
        <f>Table5[[#This Row],[Net Sales Revenue]]-Table5[[#This Row],[Cost of Sales]]</f>
        <v>24651.199999999997</v>
      </c>
      <c r="V428" s="17">
        <f>Table5[[#This Row],[GrossProfit]]/Table5[[#This Row],[Net Sales Revenue]]</f>
        <v>0.44099378881987572</v>
      </c>
    </row>
    <row r="429" spans="1:22" ht="14.25" customHeight="1" x14ac:dyDescent="0.25">
      <c r="A429" s="1" t="s">
        <v>504</v>
      </c>
      <c r="B429" s="1" t="s">
        <v>482</v>
      </c>
      <c r="C429" s="1" t="s">
        <v>48</v>
      </c>
      <c r="D429" s="1" t="s">
        <v>19</v>
      </c>
      <c r="E429" s="1" t="s">
        <v>21</v>
      </c>
      <c r="F429" s="1">
        <v>2000</v>
      </c>
      <c r="G429" s="14">
        <v>18</v>
      </c>
      <c r="H429" s="1">
        <v>7.0000000000000007E-2</v>
      </c>
      <c r="I429" s="14">
        <v>33480</v>
      </c>
      <c r="J429" s="14">
        <v>18000</v>
      </c>
      <c r="K429" s="15">
        <f>Table5[[#This Row],[Selling Price]]*Table5[[#This Row],[Units Sold]]</f>
        <v>36000</v>
      </c>
      <c r="L429" t="str">
        <f t="shared" si="6"/>
        <v>2023-10</v>
      </c>
      <c r="M429" t="str">
        <f>VLOOKUP(Table5[[#This Row],[Store ID]],Table4[[Store ID]:[Store Location]],2)</f>
        <v>London Stratford</v>
      </c>
      <c r="N429" t="str">
        <f>VLOOKUP(Table5[[#This Row],[Store ID]],Table4[[Store ID]:[Region]],3)</f>
        <v>South</v>
      </c>
      <c r="O429" t="str">
        <f>VLOOKUP(Table5[[#This Row],[Product ID]],'Product Master'!$A$2:$D$10,4)</f>
        <v>Supplier D</v>
      </c>
      <c r="P429" s="15">
        <f>Table5[[#This Row],[Total Revenue]]-Table5[[#This Row],[Net Sales Revenue]]</f>
        <v>2520</v>
      </c>
      <c r="Q429" s="15">
        <f>Table5[[#This Row],[Net Sales Revenue]]/Table5[[#This Row],[Units Sold]]</f>
        <v>16.739999999999998</v>
      </c>
      <c r="R429">
        <f>VLOOKUP(Table5[[#This Row],[Product ID]],'Product Master'!$A$1:$E$10,5,FALSE)</f>
        <v>9</v>
      </c>
      <c r="S429" s="15">
        <f>Table5[[#This Row],[standard product cost per unit]]*Table5[[#This Row],[Units Sold]]</f>
        <v>18000</v>
      </c>
      <c r="T429" s="15">
        <f>Table5[[#This Row],[Cost of Sales]]-Table5[[#This Row],[Standard cost]]</f>
        <v>0</v>
      </c>
      <c r="U429" s="15">
        <f>Table5[[#This Row],[Net Sales Revenue]]-Table5[[#This Row],[Cost of Sales]]</f>
        <v>15480</v>
      </c>
      <c r="V429" s="17">
        <f>Table5[[#This Row],[GrossProfit]]/Table5[[#This Row],[Net Sales Revenue]]</f>
        <v>0.46236559139784944</v>
      </c>
    </row>
    <row r="430" spans="1:22" ht="14.25" customHeight="1" x14ac:dyDescent="0.25">
      <c r="A430" s="1" t="s">
        <v>505</v>
      </c>
      <c r="B430" s="1" t="s">
        <v>482</v>
      </c>
      <c r="C430" s="1" t="s">
        <v>48</v>
      </c>
      <c r="D430" s="1" t="s">
        <v>23</v>
      </c>
      <c r="E430" s="1" t="s">
        <v>21</v>
      </c>
      <c r="F430" s="1">
        <v>2372</v>
      </c>
      <c r="G430" s="14">
        <v>30</v>
      </c>
      <c r="H430" s="1">
        <v>0.09</v>
      </c>
      <c r="I430" s="14">
        <v>64755.6</v>
      </c>
      <c r="J430" s="14">
        <v>33208</v>
      </c>
      <c r="K430" s="15">
        <f>Table5[[#This Row],[Selling Price]]*Table5[[#This Row],[Units Sold]]</f>
        <v>71160</v>
      </c>
      <c r="L430" t="str">
        <f t="shared" si="6"/>
        <v>2023-10</v>
      </c>
      <c r="M430" t="str">
        <f>VLOOKUP(Table5[[#This Row],[Store ID]],Table4[[Store ID]:[Store Location]],2)</f>
        <v>London Stratford</v>
      </c>
      <c r="N430" t="str">
        <f>VLOOKUP(Table5[[#This Row],[Store ID]],Table4[[Store ID]:[Region]],3)</f>
        <v>South</v>
      </c>
      <c r="O430" t="str">
        <f>VLOOKUP(Table5[[#This Row],[Product ID]],'Product Master'!$A$2:$D$10,4)</f>
        <v>Supplier D</v>
      </c>
      <c r="P430" s="15">
        <f>Table5[[#This Row],[Total Revenue]]-Table5[[#This Row],[Net Sales Revenue]]</f>
        <v>6404.4000000000015</v>
      </c>
      <c r="Q430" s="15">
        <f>Table5[[#This Row],[Net Sales Revenue]]/Table5[[#This Row],[Units Sold]]</f>
        <v>27.3</v>
      </c>
      <c r="R430">
        <f>VLOOKUP(Table5[[#This Row],[Product ID]],'Product Master'!$A$1:$E$10,5,FALSE)</f>
        <v>14</v>
      </c>
      <c r="S430" s="15">
        <f>Table5[[#This Row],[standard product cost per unit]]*Table5[[#This Row],[Units Sold]]</f>
        <v>33208</v>
      </c>
      <c r="T430" s="15">
        <f>Table5[[#This Row],[Cost of Sales]]-Table5[[#This Row],[Standard cost]]</f>
        <v>0</v>
      </c>
      <c r="U430" s="15">
        <f>Table5[[#This Row],[Net Sales Revenue]]-Table5[[#This Row],[Cost of Sales]]</f>
        <v>31547.599999999999</v>
      </c>
      <c r="V430" s="17">
        <f>Table5[[#This Row],[GrossProfit]]/Table5[[#This Row],[Net Sales Revenue]]</f>
        <v>0.48717948717948717</v>
      </c>
    </row>
    <row r="431" spans="1:22" ht="14.25" customHeight="1" x14ac:dyDescent="0.25">
      <c r="A431" s="1" t="s">
        <v>506</v>
      </c>
      <c r="B431" s="1" t="s">
        <v>482</v>
      </c>
      <c r="C431" s="1" t="s">
        <v>48</v>
      </c>
      <c r="D431" s="1" t="s">
        <v>25</v>
      </c>
      <c r="E431" s="1" t="s">
        <v>27</v>
      </c>
      <c r="F431" s="1">
        <v>2732</v>
      </c>
      <c r="G431" s="14">
        <v>40</v>
      </c>
      <c r="H431" s="1">
        <v>0.08</v>
      </c>
      <c r="I431" s="14">
        <v>100537.60000000001</v>
      </c>
      <c r="J431" s="14">
        <v>54640</v>
      </c>
      <c r="K431" s="15">
        <f>Table5[[#This Row],[Selling Price]]*Table5[[#This Row],[Units Sold]]</f>
        <v>109280</v>
      </c>
      <c r="L431" t="str">
        <f t="shared" si="6"/>
        <v>2023-10</v>
      </c>
      <c r="M431" t="str">
        <f>VLOOKUP(Table5[[#This Row],[Store ID]],Table4[[Store ID]:[Store Location]],2)</f>
        <v>London Stratford</v>
      </c>
      <c r="N431" t="str">
        <f>VLOOKUP(Table5[[#This Row],[Store ID]],Table4[[Store ID]:[Region]],3)</f>
        <v>South</v>
      </c>
      <c r="O431" t="str">
        <f>VLOOKUP(Table5[[#This Row],[Product ID]],'Product Master'!$A$2:$D$10,4)</f>
        <v>Supplier E</v>
      </c>
      <c r="P431" s="15">
        <f>Table5[[#This Row],[Total Revenue]]-Table5[[#This Row],[Net Sales Revenue]]</f>
        <v>8742.3999999999942</v>
      </c>
      <c r="Q431" s="15">
        <f>Table5[[#This Row],[Net Sales Revenue]]/Table5[[#This Row],[Units Sold]]</f>
        <v>36.800000000000004</v>
      </c>
      <c r="R431">
        <f>VLOOKUP(Table5[[#This Row],[Product ID]],'Product Master'!$A$1:$E$10,5,FALSE)</f>
        <v>20</v>
      </c>
      <c r="S431" s="15">
        <f>Table5[[#This Row],[standard product cost per unit]]*Table5[[#This Row],[Units Sold]]</f>
        <v>54640</v>
      </c>
      <c r="T431" s="15">
        <f>Table5[[#This Row],[Cost of Sales]]-Table5[[#This Row],[Standard cost]]</f>
        <v>0</v>
      </c>
      <c r="U431" s="15">
        <f>Table5[[#This Row],[Net Sales Revenue]]-Table5[[#This Row],[Cost of Sales]]</f>
        <v>45897.600000000006</v>
      </c>
      <c r="V431" s="17">
        <f>Table5[[#This Row],[GrossProfit]]/Table5[[#This Row],[Net Sales Revenue]]</f>
        <v>0.45652173913043481</v>
      </c>
    </row>
    <row r="432" spans="1:22" ht="14.25" customHeight="1" x14ac:dyDescent="0.25">
      <c r="A432" s="1" t="s">
        <v>507</v>
      </c>
      <c r="B432" s="1" t="s">
        <v>482</v>
      </c>
      <c r="C432" s="1" t="s">
        <v>48</v>
      </c>
      <c r="D432" s="1" t="s">
        <v>29</v>
      </c>
      <c r="E432" s="1" t="s">
        <v>31</v>
      </c>
      <c r="F432" s="1">
        <v>2260</v>
      </c>
      <c r="G432" s="14">
        <v>10</v>
      </c>
      <c r="H432" s="1">
        <v>0.09</v>
      </c>
      <c r="I432" s="14">
        <v>20566</v>
      </c>
      <c r="J432" s="14">
        <v>9040</v>
      </c>
      <c r="K432" s="15">
        <f>Table5[[#This Row],[Selling Price]]*Table5[[#This Row],[Units Sold]]</f>
        <v>22600</v>
      </c>
      <c r="L432" t="str">
        <f t="shared" si="6"/>
        <v>2023-10</v>
      </c>
      <c r="M432" t="str">
        <f>VLOOKUP(Table5[[#This Row],[Store ID]],Table4[[Store ID]:[Store Location]],2)</f>
        <v>London Stratford</v>
      </c>
      <c r="N432" t="str">
        <f>VLOOKUP(Table5[[#This Row],[Store ID]],Table4[[Store ID]:[Region]],3)</f>
        <v>South</v>
      </c>
      <c r="O432" t="str">
        <f>VLOOKUP(Table5[[#This Row],[Product ID]],'Product Master'!$A$2:$D$10,4)</f>
        <v>Supplier F</v>
      </c>
      <c r="P432" s="15">
        <f>Table5[[#This Row],[Total Revenue]]-Table5[[#This Row],[Net Sales Revenue]]</f>
        <v>2034</v>
      </c>
      <c r="Q432" s="15">
        <f>Table5[[#This Row],[Net Sales Revenue]]/Table5[[#This Row],[Units Sold]]</f>
        <v>9.1</v>
      </c>
      <c r="R432">
        <f>VLOOKUP(Table5[[#This Row],[Product ID]],'Product Master'!$A$1:$E$10,5,FALSE)</f>
        <v>4</v>
      </c>
      <c r="S432" s="15">
        <f>Table5[[#This Row],[standard product cost per unit]]*Table5[[#This Row],[Units Sold]]</f>
        <v>9040</v>
      </c>
      <c r="T432" s="15">
        <f>Table5[[#This Row],[Cost of Sales]]-Table5[[#This Row],[Standard cost]]</f>
        <v>0</v>
      </c>
      <c r="U432" s="15">
        <f>Table5[[#This Row],[Net Sales Revenue]]-Table5[[#This Row],[Cost of Sales]]</f>
        <v>11526</v>
      </c>
      <c r="V432" s="17">
        <f>Table5[[#This Row],[GrossProfit]]/Table5[[#This Row],[Net Sales Revenue]]</f>
        <v>0.56043956043956045</v>
      </c>
    </row>
    <row r="433" spans="1:22" ht="14.25" customHeight="1" x14ac:dyDescent="0.25">
      <c r="A433" s="1" t="s">
        <v>508</v>
      </c>
      <c r="B433" s="1" t="s">
        <v>482</v>
      </c>
      <c r="C433" s="1" t="s">
        <v>48</v>
      </c>
      <c r="D433" s="1" t="s">
        <v>33</v>
      </c>
      <c r="E433" s="1" t="s">
        <v>31</v>
      </c>
      <c r="F433" s="1">
        <v>2696</v>
      </c>
      <c r="G433" s="14">
        <v>22</v>
      </c>
      <c r="H433" s="1">
        <v>0.06</v>
      </c>
      <c r="I433" s="14">
        <v>55753.279999999999</v>
      </c>
      <c r="J433" s="14">
        <v>26960</v>
      </c>
      <c r="K433" s="15">
        <f>Table5[[#This Row],[Selling Price]]*Table5[[#This Row],[Units Sold]]</f>
        <v>59312</v>
      </c>
      <c r="L433" t="str">
        <f t="shared" si="6"/>
        <v>2023-10</v>
      </c>
      <c r="M433" t="str">
        <f>VLOOKUP(Table5[[#This Row],[Store ID]],Table4[[Store ID]:[Store Location]],2)</f>
        <v>London Stratford</v>
      </c>
      <c r="N433" t="str">
        <f>VLOOKUP(Table5[[#This Row],[Store ID]],Table4[[Store ID]:[Region]],3)</f>
        <v>South</v>
      </c>
      <c r="O433" t="str">
        <f>VLOOKUP(Table5[[#This Row],[Product ID]],'Product Master'!$A$2:$D$10,4)</f>
        <v>Supplier F</v>
      </c>
      <c r="P433" s="15">
        <f>Table5[[#This Row],[Total Revenue]]-Table5[[#This Row],[Net Sales Revenue]]</f>
        <v>3558.7200000000012</v>
      </c>
      <c r="Q433" s="15">
        <f>Table5[[#This Row],[Net Sales Revenue]]/Table5[[#This Row],[Units Sold]]</f>
        <v>20.68</v>
      </c>
      <c r="R433">
        <f>VLOOKUP(Table5[[#This Row],[Product ID]],'Product Master'!$A$1:$E$10,5,FALSE)</f>
        <v>10</v>
      </c>
      <c r="S433" s="15">
        <f>Table5[[#This Row],[standard product cost per unit]]*Table5[[#This Row],[Units Sold]]</f>
        <v>26960</v>
      </c>
      <c r="T433" s="15">
        <f>Table5[[#This Row],[Cost of Sales]]-Table5[[#This Row],[Standard cost]]</f>
        <v>0</v>
      </c>
      <c r="U433" s="15">
        <f>Table5[[#This Row],[Net Sales Revenue]]-Table5[[#This Row],[Cost of Sales]]</f>
        <v>28793.279999999999</v>
      </c>
      <c r="V433" s="17">
        <f>Table5[[#This Row],[GrossProfit]]/Table5[[#This Row],[Net Sales Revenue]]</f>
        <v>0.51644100580270791</v>
      </c>
    </row>
    <row r="434" spans="1:22" ht="14.25" customHeight="1" x14ac:dyDescent="0.25">
      <c r="A434" s="1" t="s">
        <v>509</v>
      </c>
      <c r="B434" s="1" t="s">
        <v>482</v>
      </c>
      <c r="C434" s="1" t="s">
        <v>52</v>
      </c>
      <c r="D434" s="1" t="s">
        <v>6</v>
      </c>
      <c r="E434" s="1" t="s">
        <v>8</v>
      </c>
      <c r="F434" s="1">
        <v>1968</v>
      </c>
      <c r="G434" s="14">
        <v>24</v>
      </c>
      <c r="H434" s="1">
        <v>0.05</v>
      </c>
      <c r="I434" s="14">
        <v>44870.400000000001</v>
      </c>
      <c r="J434" s="14">
        <v>23616</v>
      </c>
      <c r="K434" s="15">
        <f>Table5[[#This Row],[Selling Price]]*Table5[[#This Row],[Units Sold]]</f>
        <v>47232</v>
      </c>
      <c r="L434" t="str">
        <f t="shared" si="6"/>
        <v>2023-10</v>
      </c>
      <c r="M434" t="str">
        <f>VLOOKUP(Table5[[#This Row],[Store ID]],Table4[[Store ID]:[Store Location]],2)</f>
        <v>Glasgow</v>
      </c>
      <c r="N434" t="str">
        <f>VLOOKUP(Table5[[#This Row],[Store ID]],Table4[[Store ID]:[Region]],3)</f>
        <v>Scotland</v>
      </c>
      <c r="O434" t="str">
        <f>VLOOKUP(Table5[[#This Row],[Product ID]],'Product Master'!$A$2:$D$10,4)</f>
        <v>Supplier A</v>
      </c>
      <c r="P434" s="15">
        <f>Table5[[#This Row],[Total Revenue]]-Table5[[#This Row],[Net Sales Revenue]]</f>
        <v>2361.5999999999985</v>
      </c>
      <c r="Q434" s="15">
        <f>Table5[[#This Row],[Net Sales Revenue]]/Table5[[#This Row],[Units Sold]]</f>
        <v>22.8</v>
      </c>
      <c r="R434">
        <f>VLOOKUP(Table5[[#This Row],[Product ID]],'Product Master'!$A$1:$E$10,5,FALSE)</f>
        <v>12</v>
      </c>
      <c r="S434" s="15">
        <f>Table5[[#This Row],[standard product cost per unit]]*Table5[[#This Row],[Units Sold]]</f>
        <v>23616</v>
      </c>
      <c r="T434" s="15">
        <f>Table5[[#This Row],[Cost of Sales]]-Table5[[#This Row],[Standard cost]]</f>
        <v>0</v>
      </c>
      <c r="U434" s="15">
        <f>Table5[[#This Row],[Net Sales Revenue]]-Table5[[#This Row],[Cost of Sales]]</f>
        <v>21254.400000000001</v>
      </c>
      <c r="V434" s="17">
        <f>Table5[[#This Row],[GrossProfit]]/Table5[[#This Row],[Net Sales Revenue]]</f>
        <v>0.47368421052631582</v>
      </c>
    </row>
    <row r="435" spans="1:22" ht="14.25" customHeight="1" x14ac:dyDescent="0.25">
      <c r="A435" s="1" t="s">
        <v>510</v>
      </c>
      <c r="B435" s="1" t="s">
        <v>482</v>
      </c>
      <c r="C435" s="1" t="s">
        <v>52</v>
      </c>
      <c r="D435" s="1" t="s">
        <v>10</v>
      </c>
      <c r="E435" s="1" t="s">
        <v>8</v>
      </c>
      <c r="F435" s="1">
        <v>1456</v>
      </c>
      <c r="G435" s="14">
        <v>50</v>
      </c>
      <c r="H435" s="1">
        <v>0.06</v>
      </c>
      <c r="I435" s="14">
        <v>68432</v>
      </c>
      <c r="J435" s="14">
        <v>40768</v>
      </c>
      <c r="K435" s="15">
        <f>Table5[[#This Row],[Selling Price]]*Table5[[#This Row],[Units Sold]]</f>
        <v>72800</v>
      </c>
      <c r="L435" t="str">
        <f t="shared" si="6"/>
        <v>2023-10</v>
      </c>
      <c r="M435" t="str">
        <f>VLOOKUP(Table5[[#This Row],[Store ID]],Table4[[Store ID]:[Store Location]],2)</f>
        <v>Glasgow</v>
      </c>
      <c r="N435" t="str">
        <f>VLOOKUP(Table5[[#This Row],[Store ID]],Table4[[Store ID]:[Region]],3)</f>
        <v>Scotland</v>
      </c>
      <c r="O435" t="str">
        <f>VLOOKUP(Table5[[#This Row],[Product ID]],'Product Master'!$A$2:$D$10,4)</f>
        <v>Supplier B</v>
      </c>
      <c r="P435" s="15">
        <f>Table5[[#This Row],[Total Revenue]]-Table5[[#This Row],[Net Sales Revenue]]</f>
        <v>4368</v>
      </c>
      <c r="Q435" s="15">
        <f>Table5[[#This Row],[Net Sales Revenue]]/Table5[[#This Row],[Units Sold]]</f>
        <v>47</v>
      </c>
      <c r="R435">
        <f>VLOOKUP(Table5[[#This Row],[Product ID]],'Product Master'!$A$1:$E$10,5,FALSE)</f>
        <v>28</v>
      </c>
      <c r="S435" s="15">
        <f>Table5[[#This Row],[standard product cost per unit]]*Table5[[#This Row],[Units Sold]]</f>
        <v>40768</v>
      </c>
      <c r="T435" s="15">
        <f>Table5[[#This Row],[Cost of Sales]]-Table5[[#This Row],[Standard cost]]</f>
        <v>0</v>
      </c>
      <c r="U435" s="15">
        <f>Table5[[#This Row],[Net Sales Revenue]]-Table5[[#This Row],[Cost of Sales]]</f>
        <v>27664</v>
      </c>
      <c r="V435" s="17">
        <f>Table5[[#This Row],[GrossProfit]]/Table5[[#This Row],[Net Sales Revenue]]</f>
        <v>0.40425531914893614</v>
      </c>
    </row>
    <row r="436" spans="1:22" ht="14.25" customHeight="1" x14ac:dyDescent="0.25">
      <c r="A436" s="1" t="s">
        <v>511</v>
      </c>
      <c r="B436" s="1" t="s">
        <v>482</v>
      </c>
      <c r="C436" s="1" t="s">
        <v>52</v>
      </c>
      <c r="D436" s="1" t="s">
        <v>13</v>
      </c>
      <c r="E436" s="1" t="s">
        <v>15</v>
      </c>
      <c r="F436" s="1">
        <v>2516</v>
      </c>
      <c r="G436" s="14">
        <v>28</v>
      </c>
      <c r="H436" s="1">
        <v>0.08</v>
      </c>
      <c r="I436" s="14">
        <v>64812.160000000003</v>
      </c>
      <c r="J436" s="14">
        <v>37740</v>
      </c>
      <c r="K436" s="15">
        <f>Table5[[#This Row],[Selling Price]]*Table5[[#This Row],[Units Sold]]</f>
        <v>70448</v>
      </c>
      <c r="L436" t="str">
        <f t="shared" si="6"/>
        <v>2023-10</v>
      </c>
      <c r="M436" t="str">
        <f>VLOOKUP(Table5[[#This Row],[Store ID]],Table4[[Store ID]:[Store Location]],2)</f>
        <v>Glasgow</v>
      </c>
      <c r="N436" t="str">
        <f>VLOOKUP(Table5[[#This Row],[Store ID]],Table4[[Store ID]:[Region]],3)</f>
        <v>Scotland</v>
      </c>
      <c r="O436" t="str">
        <f>VLOOKUP(Table5[[#This Row],[Product ID]],'Product Master'!$A$2:$D$10,4)</f>
        <v>Supplier C</v>
      </c>
      <c r="P436" s="15">
        <f>Table5[[#This Row],[Total Revenue]]-Table5[[#This Row],[Net Sales Revenue]]</f>
        <v>5635.8399999999965</v>
      </c>
      <c r="Q436" s="15">
        <f>Table5[[#This Row],[Net Sales Revenue]]/Table5[[#This Row],[Units Sold]]</f>
        <v>25.76</v>
      </c>
      <c r="R436">
        <f>VLOOKUP(Table5[[#This Row],[Product ID]],'Product Master'!$A$1:$E$10,5,FALSE)</f>
        <v>15</v>
      </c>
      <c r="S436" s="15">
        <f>Table5[[#This Row],[standard product cost per unit]]*Table5[[#This Row],[Units Sold]]</f>
        <v>37740</v>
      </c>
      <c r="T436" s="15">
        <f>Table5[[#This Row],[Cost of Sales]]-Table5[[#This Row],[Standard cost]]</f>
        <v>0</v>
      </c>
      <c r="U436" s="15">
        <f>Table5[[#This Row],[Net Sales Revenue]]-Table5[[#This Row],[Cost of Sales]]</f>
        <v>27072.160000000003</v>
      </c>
      <c r="V436" s="17">
        <f>Table5[[#This Row],[GrossProfit]]/Table5[[#This Row],[Net Sales Revenue]]</f>
        <v>0.41770186335403731</v>
      </c>
    </row>
    <row r="437" spans="1:22" ht="14.25" customHeight="1" x14ac:dyDescent="0.25">
      <c r="A437" s="1" t="s">
        <v>512</v>
      </c>
      <c r="B437" s="1" t="s">
        <v>482</v>
      </c>
      <c r="C437" s="1" t="s">
        <v>52</v>
      </c>
      <c r="D437" s="1" t="s">
        <v>17</v>
      </c>
      <c r="E437" s="1" t="s">
        <v>15</v>
      </c>
      <c r="F437" s="1">
        <v>1272</v>
      </c>
      <c r="G437" s="14">
        <v>35</v>
      </c>
      <c r="H437" s="1">
        <v>0.08</v>
      </c>
      <c r="I437" s="14">
        <v>40958.400000000001</v>
      </c>
      <c r="J437" s="14">
        <v>22896</v>
      </c>
      <c r="K437" s="15">
        <f>Table5[[#This Row],[Selling Price]]*Table5[[#This Row],[Units Sold]]</f>
        <v>44520</v>
      </c>
      <c r="L437" t="str">
        <f t="shared" si="6"/>
        <v>2023-10</v>
      </c>
      <c r="M437" t="str">
        <f>VLOOKUP(Table5[[#This Row],[Store ID]],Table4[[Store ID]:[Store Location]],2)</f>
        <v>Glasgow</v>
      </c>
      <c r="N437" t="str">
        <f>VLOOKUP(Table5[[#This Row],[Store ID]],Table4[[Store ID]:[Region]],3)</f>
        <v>Scotland</v>
      </c>
      <c r="O437" t="str">
        <f>VLOOKUP(Table5[[#This Row],[Product ID]],'Product Master'!$A$2:$D$10,4)</f>
        <v>Supplier C</v>
      </c>
      <c r="P437" s="15">
        <f>Table5[[#This Row],[Total Revenue]]-Table5[[#This Row],[Net Sales Revenue]]</f>
        <v>3561.5999999999985</v>
      </c>
      <c r="Q437" s="15">
        <f>Table5[[#This Row],[Net Sales Revenue]]/Table5[[#This Row],[Units Sold]]</f>
        <v>32.200000000000003</v>
      </c>
      <c r="R437">
        <f>VLOOKUP(Table5[[#This Row],[Product ID]],'Product Master'!$A$1:$E$10,5,FALSE)</f>
        <v>18</v>
      </c>
      <c r="S437" s="15">
        <f>Table5[[#This Row],[standard product cost per unit]]*Table5[[#This Row],[Units Sold]]</f>
        <v>22896</v>
      </c>
      <c r="T437" s="15">
        <f>Table5[[#This Row],[Cost of Sales]]-Table5[[#This Row],[Standard cost]]</f>
        <v>0</v>
      </c>
      <c r="U437" s="15">
        <f>Table5[[#This Row],[Net Sales Revenue]]-Table5[[#This Row],[Cost of Sales]]</f>
        <v>18062.400000000001</v>
      </c>
      <c r="V437" s="17">
        <f>Table5[[#This Row],[GrossProfit]]/Table5[[#This Row],[Net Sales Revenue]]</f>
        <v>0.44099378881987578</v>
      </c>
    </row>
    <row r="438" spans="1:22" ht="14.25" customHeight="1" x14ac:dyDescent="0.25">
      <c r="A438" s="1" t="s">
        <v>513</v>
      </c>
      <c r="B438" s="1" t="s">
        <v>482</v>
      </c>
      <c r="C438" s="1" t="s">
        <v>52</v>
      </c>
      <c r="D438" s="1" t="s">
        <v>19</v>
      </c>
      <c r="E438" s="1" t="s">
        <v>21</v>
      </c>
      <c r="F438" s="1">
        <v>1672</v>
      </c>
      <c r="G438" s="14">
        <v>18</v>
      </c>
      <c r="H438" s="1">
        <v>0.09</v>
      </c>
      <c r="I438" s="14">
        <v>27387.360000000001</v>
      </c>
      <c r="J438" s="14">
        <v>15048</v>
      </c>
      <c r="K438" s="15">
        <f>Table5[[#This Row],[Selling Price]]*Table5[[#This Row],[Units Sold]]</f>
        <v>30096</v>
      </c>
      <c r="L438" t="str">
        <f t="shared" si="6"/>
        <v>2023-10</v>
      </c>
      <c r="M438" t="str">
        <f>VLOOKUP(Table5[[#This Row],[Store ID]],Table4[[Store ID]:[Store Location]],2)</f>
        <v>Glasgow</v>
      </c>
      <c r="N438" t="str">
        <f>VLOOKUP(Table5[[#This Row],[Store ID]],Table4[[Store ID]:[Region]],3)</f>
        <v>Scotland</v>
      </c>
      <c r="O438" t="str">
        <f>VLOOKUP(Table5[[#This Row],[Product ID]],'Product Master'!$A$2:$D$10,4)</f>
        <v>Supplier D</v>
      </c>
      <c r="P438" s="15">
        <f>Table5[[#This Row],[Total Revenue]]-Table5[[#This Row],[Net Sales Revenue]]</f>
        <v>2708.6399999999994</v>
      </c>
      <c r="Q438" s="15">
        <f>Table5[[#This Row],[Net Sales Revenue]]/Table5[[#This Row],[Units Sold]]</f>
        <v>16.38</v>
      </c>
      <c r="R438">
        <f>VLOOKUP(Table5[[#This Row],[Product ID]],'Product Master'!$A$1:$E$10,5,FALSE)</f>
        <v>9</v>
      </c>
      <c r="S438" s="15">
        <f>Table5[[#This Row],[standard product cost per unit]]*Table5[[#This Row],[Units Sold]]</f>
        <v>15048</v>
      </c>
      <c r="T438" s="15">
        <f>Table5[[#This Row],[Cost of Sales]]-Table5[[#This Row],[Standard cost]]</f>
        <v>0</v>
      </c>
      <c r="U438" s="15">
        <f>Table5[[#This Row],[Net Sales Revenue]]-Table5[[#This Row],[Cost of Sales]]</f>
        <v>12339.36</v>
      </c>
      <c r="V438" s="17">
        <f>Table5[[#This Row],[GrossProfit]]/Table5[[#This Row],[Net Sales Revenue]]</f>
        <v>0.45054945054945056</v>
      </c>
    </row>
    <row r="439" spans="1:22" ht="14.25" customHeight="1" x14ac:dyDescent="0.25">
      <c r="A439" s="1" t="s">
        <v>514</v>
      </c>
      <c r="B439" s="1" t="s">
        <v>482</v>
      </c>
      <c r="C439" s="1" t="s">
        <v>52</v>
      </c>
      <c r="D439" s="1" t="s">
        <v>23</v>
      </c>
      <c r="E439" s="1" t="s">
        <v>21</v>
      </c>
      <c r="F439" s="1">
        <v>2056</v>
      </c>
      <c r="G439" s="14">
        <v>30</v>
      </c>
      <c r="H439" s="1">
        <v>0.1</v>
      </c>
      <c r="I439" s="14">
        <v>55512</v>
      </c>
      <c r="J439" s="14">
        <v>28784</v>
      </c>
      <c r="K439" s="15">
        <f>Table5[[#This Row],[Selling Price]]*Table5[[#This Row],[Units Sold]]</f>
        <v>61680</v>
      </c>
      <c r="L439" t="str">
        <f t="shared" si="6"/>
        <v>2023-10</v>
      </c>
      <c r="M439" t="str">
        <f>VLOOKUP(Table5[[#This Row],[Store ID]],Table4[[Store ID]:[Store Location]],2)</f>
        <v>Glasgow</v>
      </c>
      <c r="N439" t="str">
        <f>VLOOKUP(Table5[[#This Row],[Store ID]],Table4[[Store ID]:[Region]],3)</f>
        <v>Scotland</v>
      </c>
      <c r="O439" t="str">
        <f>VLOOKUP(Table5[[#This Row],[Product ID]],'Product Master'!$A$2:$D$10,4)</f>
        <v>Supplier D</v>
      </c>
      <c r="P439" s="15">
        <f>Table5[[#This Row],[Total Revenue]]-Table5[[#This Row],[Net Sales Revenue]]</f>
        <v>6168</v>
      </c>
      <c r="Q439" s="15">
        <f>Table5[[#This Row],[Net Sales Revenue]]/Table5[[#This Row],[Units Sold]]</f>
        <v>27</v>
      </c>
      <c r="R439">
        <f>VLOOKUP(Table5[[#This Row],[Product ID]],'Product Master'!$A$1:$E$10,5,FALSE)</f>
        <v>14</v>
      </c>
      <c r="S439" s="15">
        <f>Table5[[#This Row],[standard product cost per unit]]*Table5[[#This Row],[Units Sold]]</f>
        <v>28784</v>
      </c>
      <c r="T439" s="15">
        <f>Table5[[#This Row],[Cost of Sales]]-Table5[[#This Row],[Standard cost]]</f>
        <v>0</v>
      </c>
      <c r="U439" s="15">
        <f>Table5[[#This Row],[Net Sales Revenue]]-Table5[[#This Row],[Cost of Sales]]</f>
        <v>26728</v>
      </c>
      <c r="V439" s="17">
        <f>Table5[[#This Row],[GrossProfit]]/Table5[[#This Row],[Net Sales Revenue]]</f>
        <v>0.48148148148148145</v>
      </c>
    </row>
    <row r="440" spans="1:22" ht="14.25" customHeight="1" x14ac:dyDescent="0.25">
      <c r="A440" s="1" t="s">
        <v>515</v>
      </c>
      <c r="B440" s="1" t="s">
        <v>482</v>
      </c>
      <c r="C440" s="1" t="s">
        <v>52</v>
      </c>
      <c r="D440" s="1" t="s">
        <v>25</v>
      </c>
      <c r="E440" s="1" t="s">
        <v>27</v>
      </c>
      <c r="F440" s="1">
        <v>2184</v>
      </c>
      <c r="G440" s="14">
        <v>40</v>
      </c>
      <c r="H440" s="1">
        <v>0.05</v>
      </c>
      <c r="I440" s="14">
        <v>82992</v>
      </c>
      <c r="J440" s="14">
        <v>43680</v>
      </c>
      <c r="K440" s="15">
        <f>Table5[[#This Row],[Selling Price]]*Table5[[#This Row],[Units Sold]]</f>
        <v>87360</v>
      </c>
      <c r="L440" t="str">
        <f t="shared" si="6"/>
        <v>2023-10</v>
      </c>
      <c r="M440" t="str">
        <f>VLOOKUP(Table5[[#This Row],[Store ID]],Table4[[Store ID]:[Store Location]],2)</f>
        <v>Glasgow</v>
      </c>
      <c r="N440" t="str">
        <f>VLOOKUP(Table5[[#This Row],[Store ID]],Table4[[Store ID]:[Region]],3)</f>
        <v>Scotland</v>
      </c>
      <c r="O440" t="str">
        <f>VLOOKUP(Table5[[#This Row],[Product ID]],'Product Master'!$A$2:$D$10,4)</f>
        <v>Supplier E</v>
      </c>
      <c r="P440" s="15">
        <f>Table5[[#This Row],[Total Revenue]]-Table5[[#This Row],[Net Sales Revenue]]</f>
        <v>4368</v>
      </c>
      <c r="Q440" s="15">
        <f>Table5[[#This Row],[Net Sales Revenue]]/Table5[[#This Row],[Units Sold]]</f>
        <v>38</v>
      </c>
      <c r="R440">
        <f>VLOOKUP(Table5[[#This Row],[Product ID]],'Product Master'!$A$1:$E$10,5,FALSE)</f>
        <v>20</v>
      </c>
      <c r="S440" s="15">
        <f>Table5[[#This Row],[standard product cost per unit]]*Table5[[#This Row],[Units Sold]]</f>
        <v>43680</v>
      </c>
      <c r="T440" s="15">
        <f>Table5[[#This Row],[Cost of Sales]]-Table5[[#This Row],[Standard cost]]</f>
        <v>0</v>
      </c>
      <c r="U440" s="15">
        <f>Table5[[#This Row],[Net Sales Revenue]]-Table5[[#This Row],[Cost of Sales]]</f>
        <v>39312</v>
      </c>
      <c r="V440" s="17">
        <f>Table5[[#This Row],[GrossProfit]]/Table5[[#This Row],[Net Sales Revenue]]</f>
        <v>0.47368421052631576</v>
      </c>
    </row>
    <row r="441" spans="1:22" ht="14.25" customHeight="1" x14ac:dyDescent="0.25">
      <c r="A441" s="1" t="s">
        <v>516</v>
      </c>
      <c r="B441" s="1" t="s">
        <v>482</v>
      </c>
      <c r="C441" s="1" t="s">
        <v>52</v>
      </c>
      <c r="D441" s="1" t="s">
        <v>29</v>
      </c>
      <c r="E441" s="1" t="s">
        <v>31</v>
      </c>
      <c r="F441" s="1">
        <v>2152</v>
      </c>
      <c r="G441" s="14">
        <v>10</v>
      </c>
      <c r="H441" s="1">
        <v>0.05</v>
      </c>
      <c r="I441" s="14">
        <v>20444</v>
      </c>
      <c r="J441" s="14">
        <v>8608</v>
      </c>
      <c r="K441" s="15">
        <f>Table5[[#This Row],[Selling Price]]*Table5[[#This Row],[Units Sold]]</f>
        <v>21520</v>
      </c>
      <c r="L441" t="str">
        <f t="shared" si="6"/>
        <v>2023-10</v>
      </c>
      <c r="M441" t="str">
        <f>VLOOKUP(Table5[[#This Row],[Store ID]],Table4[[Store ID]:[Store Location]],2)</f>
        <v>Glasgow</v>
      </c>
      <c r="N441" t="str">
        <f>VLOOKUP(Table5[[#This Row],[Store ID]],Table4[[Store ID]:[Region]],3)</f>
        <v>Scotland</v>
      </c>
      <c r="O441" t="str">
        <f>VLOOKUP(Table5[[#This Row],[Product ID]],'Product Master'!$A$2:$D$10,4)</f>
        <v>Supplier F</v>
      </c>
      <c r="P441" s="15">
        <f>Table5[[#This Row],[Total Revenue]]-Table5[[#This Row],[Net Sales Revenue]]</f>
        <v>1076</v>
      </c>
      <c r="Q441" s="15">
        <f>Table5[[#This Row],[Net Sales Revenue]]/Table5[[#This Row],[Units Sold]]</f>
        <v>9.5</v>
      </c>
      <c r="R441">
        <f>VLOOKUP(Table5[[#This Row],[Product ID]],'Product Master'!$A$1:$E$10,5,FALSE)</f>
        <v>4</v>
      </c>
      <c r="S441" s="15">
        <f>Table5[[#This Row],[standard product cost per unit]]*Table5[[#This Row],[Units Sold]]</f>
        <v>8608</v>
      </c>
      <c r="T441" s="15">
        <f>Table5[[#This Row],[Cost of Sales]]-Table5[[#This Row],[Standard cost]]</f>
        <v>0</v>
      </c>
      <c r="U441" s="15">
        <f>Table5[[#This Row],[Net Sales Revenue]]-Table5[[#This Row],[Cost of Sales]]</f>
        <v>11836</v>
      </c>
      <c r="V441" s="17">
        <f>Table5[[#This Row],[GrossProfit]]/Table5[[#This Row],[Net Sales Revenue]]</f>
        <v>0.57894736842105265</v>
      </c>
    </row>
    <row r="442" spans="1:22" ht="14.25" customHeight="1" x14ac:dyDescent="0.25">
      <c r="A442" s="1" t="s">
        <v>517</v>
      </c>
      <c r="B442" s="1" t="s">
        <v>482</v>
      </c>
      <c r="C442" s="1" t="s">
        <v>52</v>
      </c>
      <c r="D442" s="1" t="s">
        <v>33</v>
      </c>
      <c r="E442" s="1" t="s">
        <v>31</v>
      </c>
      <c r="F442" s="1">
        <v>1448</v>
      </c>
      <c r="G442" s="14">
        <v>22</v>
      </c>
      <c r="H442" s="1">
        <v>0.08</v>
      </c>
      <c r="I442" s="14">
        <v>29307.52</v>
      </c>
      <c r="J442" s="14">
        <v>14480</v>
      </c>
      <c r="K442" s="15">
        <f>Table5[[#This Row],[Selling Price]]*Table5[[#This Row],[Units Sold]]</f>
        <v>31856</v>
      </c>
      <c r="L442" t="str">
        <f t="shared" si="6"/>
        <v>2023-10</v>
      </c>
      <c r="M442" t="str">
        <f>VLOOKUP(Table5[[#This Row],[Store ID]],Table4[[Store ID]:[Store Location]],2)</f>
        <v>Glasgow</v>
      </c>
      <c r="N442" t="str">
        <f>VLOOKUP(Table5[[#This Row],[Store ID]],Table4[[Store ID]:[Region]],3)</f>
        <v>Scotland</v>
      </c>
      <c r="O442" t="str">
        <f>VLOOKUP(Table5[[#This Row],[Product ID]],'Product Master'!$A$2:$D$10,4)</f>
        <v>Supplier F</v>
      </c>
      <c r="P442" s="15">
        <f>Table5[[#This Row],[Total Revenue]]-Table5[[#This Row],[Net Sales Revenue]]</f>
        <v>2548.4799999999996</v>
      </c>
      <c r="Q442" s="15">
        <f>Table5[[#This Row],[Net Sales Revenue]]/Table5[[#This Row],[Units Sold]]</f>
        <v>20.240000000000002</v>
      </c>
      <c r="R442">
        <f>VLOOKUP(Table5[[#This Row],[Product ID]],'Product Master'!$A$1:$E$10,5,FALSE)</f>
        <v>10</v>
      </c>
      <c r="S442" s="15">
        <f>Table5[[#This Row],[standard product cost per unit]]*Table5[[#This Row],[Units Sold]]</f>
        <v>14480</v>
      </c>
      <c r="T442" s="15">
        <f>Table5[[#This Row],[Cost of Sales]]-Table5[[#This Row],[Standard cost]]</f>
        <v>0</v>
      </c>
      <c r="U442" s="15">
        <f>Table5[[#This Row],[Net Sales Revenue]]-Table5[[#This Row],[Cost of Sales]]</f>
        <v>14827.52</v>
      </c>
      <c r="V442" s="17">
        <f>Table5[[#This Row],[GrossProfit]]/Table5[[#This Row],[Net Sales Revenue]]</f>
        <v>0.50592885375494068</v>
      </c>
    </row>
    <row r="443" spans="1:22" ht="14.25" customHeight="1" x14ac:dyDescent="0.25">
      <c r="A443" s="1" t="s">
        <v>518</v>
      </c>
      <c r="B443" s="1" t="s">
        <v>482</v>
      </c>
      <c r="C443" s="1" t="s">
        <v>56</v>
      </c>
      <c r="D443" s="1" t="s">
        <v>6</v>
      </c>
      <c r="E443" s="1" t="s">
        <v>8</v>
      </c>
      <c r="F443" s="1">
        <v>1380</v>
      </c>
      <c r="G443" s="14">
        <v>24</v>
      </c>
      <c r="H443" s="1">
        <v>0.06</v>
      </c>
      <c r="I443" s="14">
        <v>31132.799999999999</v>
      </c>
      <c r="J443" s="14">
        <v>16560</v>
      </c>
      <c r="K443" s="15">
        <f>Table5[[#This Row],[Selling Price]]*Table5[[#This Row],[Units Sold]]</f>
        <v>33120</v>
      </c>
      <c r="L443" t="str">
        <f t="shared" si="6"/>
        <v>2023-10</v>
      </c>
      <c r="M443" t="str">
        <f>VLOOKUP(Table5[[#This Row],[Store ID]],Table4[[Store ID]:[Store Location]],2)</f>
        <v>Leeds</v>
      </c>
      <c r="N443" t="str">
        <f>VLOOKUP(Table5[[#This Row],[Store ID]],Table4[[Store ID]:[Region]],3)</f>
        <v>North</v>
      </c>
      <c r="O443" t="str">
        <f>VLOOKUP(Table5[[#This Row],[Product ID]],'Product Master'!$A$2:$D$10,4)</f>
        <v>Supplier A</v>
      </c>
      <c r="P443" s="15">
        <f>Table5[[#This Row],[Total Revenue]]-Table5[[#This Row],[Net Sales Revenue]]</f>
        <v>1987.2000000000007</v>
      </c>
      <c r="Q443" s="15">
        <f>Table5[[#This Row],[Net Sales Revenue]]/Table5[[#This Row],[Units Sold]]</f>
        <v>22.56</v>
      </c>
      <c r="R443">
        <f>VLOOKUP(Table5[[#This Row],[Product ID]],'Product Master'!$A$1:$E$10,5,FALSE)</f>
        <v>12</v>
      </c>
      <c r="S443" s="15">
        <f>Table5[[#This Row],[standard product cost per unit]]*Table5[[#This Row],[Units Sold]]</f>
        <v>16560</v>
      </c>
      <c r="T443" s="15">
        <f>Table5[[#This Row],[Cost of Sales]]-Table5[[#This Row],[Standard cost]]</f>
        <v>0</v>
      </c>
      <c r="U443" s="15">
        <f>Table5[[#This Row],[Net Sales Revenue]]-Table5[[#This Row],[Cost of Sales]]</f>
        <v>14572.8</v>
      </c>
      <c r="V443" s="17">
        <f>Table5[[#This Row],[GrossProfit]]/Table5[[#This Row],[Net Sales Revenue]]</f>
        <v>0.46808510638297873</v>
      </c>
    </row>
    <row r="444" spans="1:22" ht="14.25" customHeight="1" x14ac:dyDescent="0.25">
      <c r="A444" s="1" t="s">
        <v>519</v>
      </c>
      <c r="B444" s="1" t="s">
        <v>482</v>
      </c>
      <c r="C444" s="1" t="s">
        <v>56</v>
      </c>
      <c r="D444" s="1" t="s">
        <v>10</v>
      </c>
      <c r="E444" s="1" t="s">
        <v>8</v>
      </c>
      <c r="F444" s="1">
        <v>1512</v>
      </c>
      <c r="G444" s="14">
        <v>50</v>
      </c>
      <c r="H444" s="1">
        <v>0.05</v>
      </c>
      <c r="I444" s="14">
        <v>71820</v>
      </c>
      <c r="J444" s="14">
        <v>42336</v>
      </c>
      <c r="K444" s="15">
        <f>Table5[[#This Row],[Selling Price]]*Table5[[#This Row],[Units Sold]]</f>
        <v>75600</v>
      </c>
      <c r="L444" t="str">
        <f t="shared" si="6"/>
        <v>2023-10</v>
      </c>
      <c r="M444" t="str">
        <f>VLOOKUP(Table5[[#This Row],[Store ID]],Table4[[Store ID]:[Store Location]],2)</f>
        <v>Leeds</v>
      </c>
      <c r="N444" t="str">
        <f>VLOOKUP(Table5[[#This Row],[Store ID]],Table4[[Store ID]:[Region]],3)</f>
        <v>North</v>
      </c>
      <c r="O444" t="str">
        <f>VLOOKUP(Table5[[#This Row],[Product ID]],'Product Master'!$A$2:$D$10,4)</f>
        <v>Supplier B</v>
      </c>
      <c r="P444" s="15">
        <f>Table5[[#This Row],[Total Revenue]]-Table5[[#This Row],[Net Sales Revenue]]</f>
        <v>3780</v>
      </c>
      <c r="Q444" s="15">
        <f>Table5[[#This Row],[Net Sales Revenue]]/Table5[[#This Row],[Units Sold]]</f>
        <v>47.5</v>
      </c>
      <c r="R444">
        <f>VLOOKUP(Table5[[#This Row],[Product ID]],'Product Master'!$A$1:$E$10,5,FALSE)</f>
        <v>28</v>
      </c>
      <c r="S444" s="15">
        <f>Table5[[#This Row],[standard product cost per unit]]*Table5[[#This Row],[Units Sold]]</f>
        <v>42336</v>
      </c>
      <c r="T444" s="15">
        <f>Table5[[#This Row],[Cost of Sales]]-Table5[[#This Row],[Standard cost]]</f>
        <v>0</v>
      </c>
      <c r="U444" s="15">
        <f>Table5[[#This Row],[Net Sales Revenue]]-Table5[[#This Row],[Cost of Sales]]</f>
        <v>29484</v>
      </c>
      <c r="V444" s="17">
        <f>Table5[[#This Row],[GrossProfit]]/Table5[[#This Row],[Net Sales Revenue]]</f>
        <v>0.41052631578947368</v>
      </c>
    </row>
    <row r="445" spans="1:22" ht="14.25" customHeight="1" x14ac:dyDescent="0.25">
      <c r="A445" s="1" t="s">
        <v>520</v>
      </c>
      <c r="B445" s="1" t="s">
        <v>482</v>
      </c>
      <c r="C445" s="1" t="s">
        <v>56</v>
      </c>
      <c r="D445" s="1" t="s">
        <v>13</v>
      </c>
      <c r="E445" s="1" t="s">
        <v>15</v>
      </c>
      <c r="F445" s="1">
        <v>2276</v>
      </c>
      <c r="G445" s="14">
        <v>28</v>
      </c>
      <c r="H445" s="1">
        <v>0.08</v>
      </c>
      <c r="I445" s="14">
        <v>58629.760000000002</v>
      </c>
      <c r="J445" s="14">
        <v>34140</v>
      </c>
      <c r="K445" s="15">
        <f>Table5[[#This Row],[Selling Price]]*Table5[[#This Row],[Units Sold]]</f>
        <v>63728</v>
      </c>
      <c r="L445" t="str">
        <f t="shared" si="6"/>
        <v>2023-10</v>
      </c>
      <c r="M445" t="str">
        <f>VLOOKUP(Table5[[#This Row],[Store ID]],Table4[[Store ID]:[Store Location]],2)</f>
        <v>Leeds</v>
      </c>
      <c r="N445" t="str">
        <f>VLOOKUP(Table5[[#This Row],[Store ID]],Table4[[Store ID]:[Region]],3)</f>
        <v>North</v>
      </c>
      <c r="O445" t="str">
        <f>VLOOKUP(Table5[[#This Row],[Product ID]],'Product Master'!$A$2:$D$10,4)</f>
        <v>Supplier C</v>
      </c>
      <c r="P445" s="15">
        <f>Table5[[#This Row],[Total Revenue]]-Table5[[#This Row],[Net Sales Revenue]]</f>
        <v>5098.239999999998</v>
      </c>
      <c r="Q445" s="15">
        <f>Table5[[#This Row],[Net Sales Revenue]]/Table5[[#This Row],[Units Sold]]</f>
        <v>25.76</v>
      </c>
      <c r="R445">
        <f>VLOOKUP(Table5[[#This Row],[Product ID]],'Product Master'!$A$1:$E$10,5,FALSE)</f>
        <v>15</v>
      </c>
      <c r="S445" s="15">
        <f>Table5[[#This Row],[standard product cost per unit]]*Table5[[#This Row],[Units Sold]]</f>
        <v>34140</v>
      </c>
      <c r="T445" s="15">
        <f>Table5[[#This Row],[Cost of Sales]]-Table5[[#This Row],[Standard cost]]</f>
        <v>0</v>
      </c>
      <c r="U445" s="15">
        <f>Table5[[#This Row],[Net Sales Revenue]]-Table5[[#This Row],[Cost of Sales]]</f>
        <v>24489.760000000002</v>
      </c>
      <c r="V445" s="17">
        <f>Table5[[#This Row],[GrossProfit]]/Table5[[#This Row],[Net Sales Revenue]]</f>
        <v>0.41770186335403731</v>
      </c>
    </row>
    <row r="446" spans="1:22" ht="14.25" customHeight="1" x14ac:dyDescent="0.25">
      <c r="A446" s="1" t="s">
        <v>521</v>
      </c>
      <c r="B446" s="1" t="s">
        <v>482</v>
      </c>
      <c r="C446" s="1" t="s">
        <v>56</v>
      </c>
      <c r="D446" s="1" t="s">
        <v>17</v>
      </c>
      <c r="E446" s="1" t="s">
        <v>15</v>
      </c>
      <c r="F446" s="1">
        <v>2352</v>
      </c>
      <c r="G446" s="14">
        <v>35</v>
      </c>
      <c r="H446" s="1">
        <v>0.05</v>
      </c>
      <c r="I446" s="14">
        <v>78204</v>
      </c>
      <c r="J446" s="14">
        <v>42336</v>
      </c>
      <c r="K446" s="15">
        <f>Table5[[#This Row],[Selling Price]]*Table5[[#This Row],[Units Sold]]</f>
        <v>82320</v>
      </c>
      <c r="L446" t="str">
        <f t="shared" si="6"/>
        <v>2023-10</v>
      </c>
      <c r="M446" t="str">
        <f>VLOOKUP(Table5[[#This Row],[Store ID]],Table4[[Store ID]:[Store Location]],2)</f>
        <v>Leeds</v>
      </c>
      <c r="N446" t="str">
        <f>VLOOKUP(Table5[[#This Row],[Store ID]],Table4[[Store ID]:[Region]],3)</f>
        <v>North</v>
      </c>
      <c r="O446" t="str">
        <f>VLOOKUP(Table5[[#This Row],[Product ID]],'Product Master'!$A$2:$D$10,4)</f>
        <v>Supplier C</v>
      </c>
      <c r="P446" s="15">
        <f>Table5[[#This Row],[Total Revenue]]-Table5[[#This Row],[Net Sales Revenue]]</f>
        <v>4116</v>
      </c>
      <c r="Q446" s="15">
        <f>Table5[[#This Row],[Net Sales Revenue]]/Table5[[#This Row],[Units Sold]]</f>
        <v>33.25</v>
      </c>
      <c r="R446">
        <f>VLOOKUP(Table5[[#This Row],[Product ID]],'Product Master'!$A$1:$E$10,5,FALSE)</f>
        <v>18</v>
      </c>
      <c r="S446" s="15">
        <f>Table5[[#This Row],[standard product cost per unit]]*Table5[[#This Row],[Units Sold]]</f>
        <v>42336</v>
      </c>
      <c r="T446" s="15">
        <f>Table5[[#This Row],[Cost of Sales]]-Table5[[#This Row],[Standard cost]]</f>
        <v>0</v>
      </c>
      <c r="U446" s="15">
        <f>Table5[[#This Row],[Net Sales Revenue]]-Table5[[#This Row],[Cost of Sales]]</f>
        <v>35868</v>
      </c>
      <c r="V446" s="17">
        <f>Table5[[#This Row],[GrossProfit]]/Table5[[#This Row],[Net Sales Revenue]]</f>
        <v>0.45864661654135336</v>
      </c>
    </row>
    <row r="447" spans="1:22" ht="14.25" customHeight="1" x14ac:dyDescent="0.25">
      <c r="A447" s="1" t="s">
        <v>522</v>
      </c>
      <c r="B447" s="1" t="s">
        <v>482</v>
      </c>
      <c r="C447" s="1" t="s">
        <v>56</v>
      </c>
      <c r="D447" s="1" t="s">
        <v>19</v>
      </c>
      <c r="E447" s="1" t="s">
        <v>21</v>
      </c>
      <c r="F447" s="1">
        <v>2024</v>
      </c>
      <c r="G447" s="14">
        <v>18</v>
      </c>
      <c r="H447" s="1">
        <v>0.09</v>
      </c>
      <c r="I447" s="14">
        <v>33153.120000000003</v>
      </c>
      <c r="J447" s="14">
        <v>18216</v>
      </c>
      <c r="K447" s="15">
        <f>Table5[[#This Row],[Selling Price]]*Table5[[#This Row],[Units Sold]]</f>
        <v>36432</v>
      </c>
      <c r="L447" t="str">
        <f t="shared" si="6"/>
        <v>2023-10</v>
      </c>
      <c r="M447" t="str">
        <f>VLOOKUP(Table5[[#This Row],[Store ID]],Table4[[Store ID]:[Store Location]],2)</f>
        <v>Leeds</v>
      </c>
      <c r="N447" t="str">
        <f>VLOOKUP(Table5[[#This Row],[Store ID]],Table4[[Store ID]:[Region]],3)</f>
        <v>North</v>
      </c>
      <c r="O447" t="str">
        <f>VLOOKUP(Table5[[#This Row],[Product ID]],'Product Master'!$A$2:$D$10,4)</f>
        <v>Supplier D</v>
      </c>
      <c r="P447" s="15">
        <f>Table5[[#This Row],[Total Revenue]]-Table5[[#This Row],[Net Sales Revenue]]</f>
        <v>3278.8799999999974</v>
      </c>
      <c r="Q447" s="15">
        <f>Table5[[#This Row],[Net Sales Revenue]]/Table5[[#This Row],[Units Sold]]</f>
        <v>16.380000000000003</v>
      </c>
      <c r="R447">
        <f>VLOOKUP(Table5[[#This Row],[Product ID]],'Product Master'!$A$1:$E$10,5,FALSE)</f>
        <v>9</v>
      </c>
      <c r="S447" s="15">
        <f>Table5[[#This Row],[standard product cost per unit]]*Table5[[#This Row],[Units Sold]]</f>
        <v>18216</v>
      </c>
      <c r="T447" s="15">
        <f>Table5[[#This Row],[Cost of Sales]]-Table5[[#This Row],[Standard cost]]</f>
        <v>0</v>
      </c>
      <c r="U447" s="15">
        <f>Table5[[#This Row],[Net Sales Revenue]]-Table5[[#This Row],[Cost of Sales]]</f>
        <v>14937.120000000003</v>
      </c>
      <c r="V447" s="17">
        <f>Table5[[#This Row],[GrossProfit]]/Table5[[#This Row],[Net Sales Revenue]]</f>
        <v>0.45054945054945061</v>
      </c>
    </row>
    <row r="448" spans="1:22" ht="14.25" customHeight="1" x14ac:dyDescent="0.25">
      <c r="A448" s="1" t="s">
        <v>523</v>
      </c>
      <c r="B448" s="1" t="s">
        <v>482</v>
      </c>
      <c r="C448" s="1" t="s">
        <v>56</v>
      </c>
      <c r="D448" s="1" t="s">
        <v>23</v>
      </c>
      <c r="E448" s="1" t="s">
        <v>21</v>
      </c>
      <c r="F448" s="1">
        <v>1520</v>
      </c>
      <c r="G448" s="14">
        <v>30</v>
      </c>
      <c r="H448" s="1">
        <v>0.08</v>
      </c>
      <c r="I448" s="14">
        <v>41952</v>
      </c>
      <c r="J448" s="14">
        <v>21280</v>
      </c>
      <c r="K448" s="15">
        <f>Table5[[#This Row],[Selling Price]]*Table5[[#This Row],[Units Sold]]</f>
        <v>45600</v>
      </c>
      <c r="L448" t="str">
        <f t="shared" si="6"/>
        <v>2023-10</v>
      </c>
      <c r="M448" t="str">
        <f>VLOOKUP(Table5[[#This Row],[Store ID]],Table4[[Store ID]:[Store Location]],2)</f>
        <v>Leeds</v>
      </c>
      <c r="N448" t="str">
        <f>VLOOKUP(Table5[[#This Row],[Store ID]],Table4[[Store ID]:[Region]],3)</f>
        <v>North</v>
      </c>
      <c r="O448" t="str">
        <f>VLOOKUP(Table5[[#This Row],[Product ID]],'Product Master'!$A$2:$D$10,4)</f>
        <v>Supplier D</v>
      </c>
      <c r="P448" s="15">
        <f>Table5[[#This Row],[Total Revenue]]-Table5[[#This Row],[Net Sales Revenue]]</f>
        <v>3648</v>
      </c>
      <c r="Q448" s="15">
        <f>Table5[[#This Row],[Net Sales Revenue]]/Table5[[#This Row],[Units Sold]]</f>
        <v>27.6</v>
      </c>
      <c r="R448">
        <f>VLOOKUP(Table5[[#This Row],[Product ID]],'Product Master'!$A$1:$E$10,5,FALSE)</f>
        <v>14</v>
      </c>
      <c r="S448" s="15">
        <f>Table5[[#This Row],[standard product cost per unit]]*Table5[[#This Row],[Units Sold]]</f>
        <v>21280</v>
      </c>
      <c r="T448" s="15">
        <f>Table5[[#This Row],[Cost of Sales]]-Table5[[#This Row],[Standard cost]]</f>
        <v>0</v>
      </c>
      <c r="U448" s="15">
        <f>Table5[[#This Row],[Net Sales Revenue]]-Table5[[#This Row],[Cost of Sales]]</f>
        <v>20672</v>
      </c>
      <c r="V448" s="17">
        <f>Table5[[#This Row],[GrossProfit]]/Table5[[#This Row],[Net Sales Revenue]]</f>
        <v>0.49275362318840582</v>
      </c>
    </row>
    <row r="449" spans="1:22" ht="14.25" customHeight="1" x14ac:dyDescent="0.25">
      <c r="A449" s="1" t="s">
        <v>524</v>
      </c>
      <c r="B449" s="1" t="s">
        <v>482</v>
      </c>
      <c r="C449" s="1" t="s">
        <v>56</v>
      </c>
      <c r="D449" s="1" t="s">
        <v>25</v>
      </c>
      <c r="E449" s="1" t="s">
        <v>27</v>
      </c>
      <c r="F449" s="1">
        <v>1772</v>
      </c>
      <c r="G449" s="14">
        <v>40</v>
      </c>
      <c r="H449" s="1">
        <v>0.06</v>
      </c>
      <c r="I449" s="14">
        <v>66627.199999999997</v>
      </c>
      <c r="J449" s="14">
        <v>35440</v>
      </c>
      <c r="K449" s="15">
        <f>Table5[[#This Row],[Selling Price]]*Table5[[#This Row],[Units Sold]]</f>
        <v>70880</v>
      </c>
      <c r="L449" t="str">
        <f t="shared" si="6"/>
        <v>2023-10</v>
      </c>
      <c r="M449" t="str">
        <f>VLOOKUP(Table5[[#This Row],[Store ID]],Table4[[Store ID]:[Store Location]],2)</f>
        <v>Leeds</v>
      </c>
      <c r="N449" t="str">
        <f>VLOOKUP(Table5[[#This Row],[Store ID]],Table4[[Store ID]:[Region]],3)</f>
        <v>North</v>
      </c>
      <c r="O449" t="str">
        <f>VLOOKUP(Table5[[#This Row],[Product ID]],'Product Master'!$A$2:$D$10,4)</f>
        <v>Supplier E</v>
      </c>
      <c r="P449" s="15">
        <f>Table5[[#This Row],[Total Revenue]]-Table5[[#This Row],[Net Sales Revenue]]</f>
        <v>4252.8000000000029</v>
      </c>
      <c r="Q449" s="15">
        <f>Table5[[#This Row],[Net Sales Revenue]]/Table5[[#This Row],[Units Sold]]</f>
        <v>37.6</v>
      </c>
      <c r="R449">
        <f>VLOOKUP(Table5[[#This Row],[Product ID]],'Product Master'!$A$1:$E$10,5,FALSE)</f>
        <v>20</v>
      </c>
      <c r="S449" s="15">
        <f>Table5[[#This Row],[standard product cost per unit]]*Table5[[#This Row],[Units Sold]]</f>
        <v>35440</v>
      </c>
      <c r="T449" s="15">
        <f>Table5[[#This Row],[Cost of Sales]]-Table5[[#This Row],[Standard cost]]</f>
        <v>0</v>
      </c>
      <c r="U449" s="15">
        <f>Table5[[#This Row],[Net Sales Revenue]]-Table5[[#This Row],[Cost of Sales]]</f>
        <v>31187.199999999997</v>
      </c>
      <c r="V449" s="17">
        <f>Table5[[#This Row],[GrossProfit]]/Table5[[#This Row],[Net Sales Revenue]]</f>
        <v>0.46808510638297868</v>
      </c>
    </row>
    <row r="450" spans="1:22" ht="14.25" customHeight="1" x14ac:dyDescent="0.25">
      <c r="A450" s="1" t="s">
        <v>525</v>
      </c>
      <c r="B450" s="1" t="s">
        <v>482</v>
      </c>
      <c r="C450" s="1" t="s">
        <v>56</v>
      </c>
      <c r="D450" s="1" t="s">
        <v>29</v>
      </c>
      <c r="E450" s="1" t="s">
        <v>31</v>
      </c>
      <c r="F450" s="1">
        <v>2780</v>
      </c>
      <c r="G450" s="14">
        <v>10</v>
      </c>
      <c r="H450" s="1">
        <v>0.06</v>
      </c>
      <c r="I450" s="14">
        <v>26132</v>
      </c>
      <c r="J450" s="14">
        <v>11120</v>
      </c>
      <c r="K450" s="15">
        <f>Table5[[#This Row],[Selling Price]]*Table5[[#This Row],[Units Sold]]</f>
        <v>27800</v>
      </c>
      <c r="L450" t="str">
        <f t="shared" ref="L450:L513" si="7">TEXT(B450,"yyyy-mm")</f>
        <v>2023-10</v>
      </c>
      <c r="M450" t="str">
        <f>VLOOKUP(Table5[[#This Row],[Store ID]],Table4[[Store ID]:[Store Location]],2)</f>
        <v>Leeds</v>
      </c>
      <c r="N450" t="str">
        <f>VLOOKUP(Table5[[#This Row],[Store ID]],Table4[[Store ID]:[Region]],3)</f>
        <v>North</v>
      </c>
      <c r="O450" t="str">
        <f>VLOOKUP(Table5[[#This Row],[Product ID]],'Product Master'!$A$2:$D$10,4)</f>
        <v>Supplier F</v>
      </c>
      <c r="P450" s="15">
        <f>Table5[[#This Row],[Total Revenue]]-Table5[[#This Row],[Net Sales Revenue]]</f>
        <v>1668</v>
      </c>
      <c r="Q450" s="15">
        <f>Table5[[#This Row],[Net Sales Revenue]]/Table5[[#This Row],[Units Sold]]</f>
        <v>9.4</v>
      </c>
      <c r="R450">
        <f>VLOOKUP(Table5[[#This Row],[Product ID]],'Product Master'!$A$1:$E$10,5,FALSE)</f>
        <v>4</v>
      </c>
      <c r="S450" s="15">
        <f>Table5[[#This Row],[standard product cost per unit]]*Table5[[#This Row],[Units Sold]]</f>
        <v>11120</v>
      </c>
      <c r="T450" s="15">
        <f>Table5[[#This Row],[Cost of Sales]]-Table5[[#This Row],[Standard cost]]</f>
        <v>0</v>
      </c>
      <c r="U450" s="15">
        <f>Table5[[#This Row],[Net Sales Revenue]]-Table5[[#This Row],[Cost of Sales]]</f>
        <v>15012</v>
      </c>
      <c r="V450" s="17">
        <f>Table5[[#This Row],[GrossProfit]]/Table5[[#This Row],[Net Sales Revenue]]</f>
        <v>0.57446808510638303</v>
      </c>
    </row>
    <row r="451" spans="1:22" ht="14.25" customHeight="1" x14ac:dyDescent="0.25">
      <c r="A451" s="1" t="s">
        <v>526</v>
      </c>
      <c r="B451" s="1" t="s">
        <v>482</v>
      </c>
      <c r="C451" s="1" t="s">
        <v>56</v>
      </c>
      <c r="D451" s="1" t="s">
        <v>33</v>
      </c>
      <c r="E451" s="1" t="s">
        <v>31</v>
      </c>
      <c r="F451" s="1">
        <v>1440</v>
      </c>
      <c r="G451" s="14">
        <v>22</v>
      </c>
      <c r="H451" s="1">
        <v>0.05</v>
      </c>
      <c r="I451" s="14">
        <v>30096</v>
      </c>
      <c r="J451" s="14">
        <v>14400</v>
      </c>
      <c r="K451" s="15">
        <f>Table5[[#This Row],[Selling Price]]*Table5[[#This Row],[Units Sold]]</f>
        <v>31680</v>
      </c>
      <c r="L451" t="str">
        <f t="shared" si="7"/>
        <v>2023-10</v>
      </c>
      <c r="M451" t="str">
        <f>VLOOKUP(Table5[[#This Row],[Store ID]],Table4[[Store ID]:[Store Location]],2)</f>
        <v>Leeds</v>
      </c>
      <c r="N451" t="str">
        <f>VLOOKUP(Table5[[#This Row],[Store ID]],Table4[[Store ID]:[Region]],3)</f>
        <v>North</v>
      </c>
      <c r="O451" t="str">
        <f>VLOOKUP(Table5[[#This Row],[Product ID]],'Product Master'!$A$2:$D$10,4)</f>
        <v>Supplier F</v>
      </c>
      <c r="P451" s="15">
        <f>Table5[[#This Row],[Total Revenue]]-Table5[[#This Row],[Net Sales Revenue]]</f>
        <v>1584</v>
      </c>
      <c r="Q451" s="15">
        <f>Table5[[#This Row],[Net Sales Revenue]]/Table5[[#This Row],[Units Sold]]</f>
        <v>20.9</v>
      </c>
      <c r="R451">
        <f>VLOOKUP(Table5[[#This Row],[Product ID]],'Product Master'!$A$1:$E$10,5,FALSE)</f>
        <v>10</v>
      </c>
      <c r="S451" s="15">
        <f>Table5[[#This Row],[standard product cost per unit]]*Table5[[#This Row],[Units Sold]]</f>
        <v>14400</v>
      </c>
      <c r="T451" s="15">
        <f>Table5[[#This Row],[Cost of Sales]]-Table5[[#This Row],[Standard cost]]</f>
        <v>0</v>
      </c>
      <c r="U451" s="15">
        <f>Table5[[#This Row],[Net Sales Revenue]]-Table5[[#This Row],[Cost of Sales]]</f>
        <v>15696</v>
      </c>
      <c r="V451" s="17">
        <f>Table5[[#This Row],[GrossProfit]]/Table5[[#This Row],[Net Sales Revenue]]</f>
        <v>0.52153110047846885</v>
      </c>
    </row>
    <row r="452" spans="1:22" ht="14.25" customHeight="1" x14ac:dyDescent="0.25">
      <c r="A452" s="1" t="s">
        <v>527</v>
      </c>
      <c r="B452" s="1" t="s">
        <v>528</v>
      </c>
      <c r="C452" s="1" t="s">
        <v>40</v>
      </c>
      <c r="D452" s="1" t="s">
        <v>6</v>
      </c>
      <c r="E452" s="1" t="s">
        <v>8</v>
      </c>
      <c r="F452" s="1">
        <v>1568</v>
      </c>
      <c r="G452" s="14">
        <v>24</v>
      </c>
      <c r="H452" s="1">
        <v>0.05</v>
      </c>
      <c r="I452" s="14">
        <v>35750.400000000001</v>
      </c>
      <c r="J452" s="14">
        <v>18816</v>
      </c>
      <c r="K452" s="15">
        <f>Table5[[#This Row],[Selling Price]]*Table5[[#This Row],[Units Sold]]</f>
        <v>37632</v>
      </c>
      <c r="L452" t="str">
        <f t="shared" si="7"/>
        <v>2023-11</v>
      </c>
      <c r="M452" t="str">
        <f>VLOOKUP(Table5[[#This Row],[Store ID]],Table4[[Store ID]:[Store Location]],2)</f>
        <v>Manchester</v>
      </c>
      <c r="N452" t="str">
        <f>VLOOKUP(Table5[[#This Row],[Store ID]],Table4[[Store ID]:[Region]],3)</f>
        <v>North</v>
      </c>
      <c r="O452" t="str">
        <f>VLOOKUP(Table5[[#This Row],[Product ID]],'Product Master'!$A$2:$D$10,4)</f>
        <v>Supplier A</v>
      </c>
      <c r="P452" s="15">
        <f>Table5[[#This Row],[Total Revenue]]-Table5[[#This Row],[Net Sales Revenue]]</f>
        <v>1881.5999999999985</v>
      </c>
      <c r="Q452" s="15">
        <f>Table5[[#This Row],[Net Sales Revenue]]/Table5[[#This Row],[Units Sold]]</f>
        <v>22.8</v>
      </c>
      <c r="R452">
        <f>VLOOKUP(Table5[[#This Row],[Product ID]],'Product Master'!$A$1:$E$10,5,FALSE)</f>
        <v>12</v>
      </c>
      <c r="S452" s="15">
        <f>Table5[[#This Row],[standard product cost per unit]]*Table5[[#This Row],[Units Sold]]</f>
        <v>18816</v>
      </c>
      <c r="T452" s="15">
        <f>Table5[[#This Row],[Cost of Sales]]-Table5[[#This Row],[Standard cost]]</f>
        <v>0</v>
      </c>
      <c r="U452" s="15">
        <f>Table5[[#This Row],[Net Sales Revenue]]-Table5[[#This Row],[Cost of Sales]]</f>
        <v>16934.400000000001</v>
      </c>
      <c r="V452" s="17">
        <f>Table5[[#This Row],[GrossProfit]]/Table5[[#This Row],[Net Sales Revenue]]</f>
        <v>0.47368421052631582</v>
      </c>
    </row>
    <row r="453" spans="1:22" ht="14.25" customHeight="1" x14ac:dyDescent="0.25">
      <c r="A453" s="1" t="s">
        <v>529</v>
      </c>
      <c r="B453" s="1" t="s">
        <v>528</v>
      </c>
      <c r="C453" s="1" t="s">
        <v>40</v>
      </c>
      <c r="D453" s="1" t="s">
        <v>10</v>
      </c>
      <c r="E453" s="1" t="s">
        <v>8</v>
      </c>
      <c r="F453" s="1">
        <v>1536</v>
      </c>
      <c r="G453" s="14">
        <v>50</v>
      </c>
      <c r="H453" s="1">
        <v>0.09</v>
      </c>
      <c r="I453" s="14">
        <v>69888</v>
      </c>
      <c r="J453" s="14">
        <v>43008</v>
      </c>
      <c r="K453" s="15">
        <f>Table5[[#This Row],[Selling Price]]*Table5[[#This Row],[Units Sold]]</f>
        <v>76800</v>
      </c>
      <c r="L453" t="str">
        <f t="shared" si="7"/>
        <v>2023-11</v>
      </c>
      <c r="M453" t="str">
        <f>VLOOKUP(Table5[[#This Row],[Store ID]],Table4[[Store ID]:[Store Location]],2)</f>
        <v>Manchester</v>
      </c>
      <c r="N453" t="str">
        <f>VLOOKUP(Table5[[#This Row],[Store ID]],Table4[[Store ID]:[Region]],3)</f>
        <v>North</v>
      </c>
      <c r="O453" t="str">
        <f>VLOOKUP(Table5[[#This Row],[Product ID]],'Product Master'!$A$2:$D$10,4)</f>
        <v>Supplier B</v>
      </c>
      <c r="P453" s="15">
        <f>Table5[[#This Row],[Total Revenue]]-Table5[[#This Row],[Net Sales Revenue]]</f>
        <v>6912</v>
      </c>
      <c r="Q453" s="15">
        <f>Table5[[#This Row],[Net Sales Revenue]]/Table5[[#This Row],[Units Sold]]</f>
        <v>45.5</v>
      </c>
      <c r="R453">
        <f>VLOOKUP(Table5[[#This Row],[Product ID]],'Product Master'!$A$1:$E$10,5,FALSE)</f>
        <v>28</v>
      </c>
      <c r="S453" s="15">
        <f>Table5[[#This Row],[standard product cost per unit]]*Table5[[#This Row],[Units Sold]]</f>
        <v>43008</v>
      </c>
      <c r="T453" s="15">
        <f>Table5[[#This Row],[Cost of Sales]]-Table5[[#This Row],[Standard cost]]</f>
        <v>0</v>
      </c>
      <c r="U453" s="15">
        <f>Table5[[#This Row],[Net Sales Revenue]]-Table5[[#This Row],[Cost of Sales]]</f>
        <v>26880</v>
      </c>
      <c r="V453" s="17">
        <f>Table5[[#This Row],[GrossProfit]]/Table5[[#This Row],[Net Sales Revenue]]</f>
        <v>0.38461538461538464</v>
      </c>
    </row>
    <row r="454" spans="1:22" ht="14.25" customHeight="1" x14ac:dyDescent="0.25">
      <c r="A454" s="1" t="s">
        <v>530</v>
      </c>
      <c r="B454" s="1" t="s">
        <v>528</v>
      </c>
      <c r="C454" s="1" t="s">
        <v>40</v>
      </c>
      <c r="D454" s="1" t="s">
        <v>13</v>
      </c>
      <c r="E454" s="1" t="s">
        <v>15</v>
      </c>
      <c r="F454" s="1">
        <v>2372</v>
      </c>
      <c r="G454" s="14">
        <v>28</v>
      </c>
      <c r="H454" s="1">
        <v>0.05</v>
      </c>
      <c r="I454" s="14">
        <v>63095.199999999997</v>
      </c>
      <c r="J454" s="14">
        <v>35580</v>
      </c>
      <c r="K454" s="15">
        <f>Table5[[#This Row],[Selling Price]]*Table5[[#This Row],[Units Sold]]</f>
        <v>66416</v>
      </c>
      <c r="L454" t="str">
        <f t="shared" si="7"/>
        <v>2023-11</v>
      </c>
      <c r="M454" t="str">
        <f>VLOOKUP(Table5[[#This Row],[Store ID]],Table4[[Store ID]:[Store Location]],2)</f>
        <v>Manchester</v>
      </c>
      <c r="N454" t="str">
        <f>VLOOKUP(Table5[[#This Row],[Store ID]],Table4[[Store ID]:[Region]],3)</f>
        <v>North</v>
      </c>
      <c r="O454" t="str">
        <f>VLOOKUP(Table5[[#This Row],[Product ID]],'Product Master'!$A$2:$D$10,4)</f>
        <v>Supplier C</v>
      </c>
      <c r="P454" s="15">
        <f>Table5[[#This Row],[Total Revenue]]-Table5[[#This Row],[Net Sales Revenue]]</f>
        <v>3320.8000000000029</v>
      </c>
      <c r="Q454" s="15">
        <f>Table5[[#This Row],[Net Sales Revenue]]/Table5[[#This Row],[Units Sold]]</f>
        <v>26.599999999999998</v>
      </c>
      <c r="R454">
        <f>VLOOKUP(Table5[[#This Row],[Product ID]],'Product Master'!$A$1:$E$10,5,FALSE)</f>
        <v>15</v>
      </c>
      <c r="S454" s="15">
        <f>Table5[[#This Row],[standard product cost per unit]]*Table5[[#This Row],[Units Sold]]</f>
        <v>35580</v>
      </c>
      <c r="T454" s="15">
        <f>Table5[[#This Row],[Cost of Sales]]-Table5[[#This Row],[Standard cost]]</f>
        <v>0</v>
      </c>
      <c r="U454" s="15">
        <f>Table5[[#This Row],[Net Sales Revenue]]-Table5[[#This Row],[Cost of Sales]]</f>
        <v>27515.199999999997</v>
      </c>
      <c r="V454" s="17">
        <f>Table5[[#This Row],[GrossProfit]]/Table5[[#This Row],[Net Sales Revenue]]</f>
        <v>0.43609022556390975</v>
      </c>
    </row>
    <row r="455" spans="1:22" ht="14.25" customHeight="1" x14ac:dyDescent="0.25">
      <c r="A455" s="1" t="s">
        <v>531</v>
      </c>
      <c r="B455" s="1" t="s">
        <v>528</v>
      </c>
      <c r="C455" s="1" t="s">
        <v>40</v>
      </c>
      <c r="D455" s="1" t="s">
        <v>17</v>
      </c>
      <c r="E455" s="1" t="s">
        <v>15</v>
      </c>
      <c r="F455" s="1">
        <v>1924</v>
      </c>
      <c r="G455" s="14">
        <v>35</v>
      </c>
      <c r="H455" s="1">
        <v>0.08</v>
      </c>
      <c r="I455" s="14">
        <v>61952.800000000003</v>
      </c>
      <c r="J455" s="14">
        <v>34632</v>
      </c>
      <c r="K455" s="15">
        <f>Table5[[#This Row],[Selling Price]]*Table5[[#This Row],[Units Sold]]</f>
        <v>67340</v>
      </c>
      <c r="L455" t="str">
        <f t="shared" si="7"/>
        <v>2023-11</v>
      </c>
      <c r="M455" t="str">
        <f>VLOOKUP(Table5[[#This Row],[Store ID]],Table4[[Store ID]:[Store Location]],2)</f>
        <v>Manchester</v>
      </c>
      <c r="N455" t="str">
        <f>VLOOKUP(Table5[[#This Row],[Store ID]],Table4[[Store ID]:[Region]],3)</f>
        <v>North</v>
      </c>
      <c r="O455" t="str">
        <f>VLOOKUP(Table5[[#This Row],[Product ID]],'Product Master'!$A$2:$D$10,4)</f>
        <v>Supplier C</v>
      </c>
      <c r="P455" s="15">
        <f>Table5[[#This Row],[Total Revenue]]-Table5[[#This Row],[Net Sales Revenue]]</f>
        <v>5387.1999999999971</v>
      </c>
      <c r="Q455" s="15">
        <f>Table5[[#This Row],[Net Sales Revenue]]/Table5[[#This Row],[Units Sold]]</f>
        <v>32.200000000000003</v>
      </c>
      <c r="R455">
        <f>VLOOKUP(Table5[[#This Row],[Product ID]],'Product Master'!$A$1:$E$10,5,FALSE)</f>
        <v>18</v>
      </c>
      <c r="S455" s="15">
        <f>Table5[[#This Row],[standard product cost per unit]]*Table5[[#This Row],[Units Sold]]</f>
        <v>34632</v>
      </c>
      <c r="T455" s="15">
        <f>Table5[[#This Row],[Cost of Sales]]-Table5[[#This Row],[Standard cost]]</f>
        <v>0</v>
      </c>
      <c r="U455" s="15">
        <f>Table5[[#This Row],[Net Sales Revenue]]-Table5[[#This Row],[Cost of Sales]]</f>
        <v>27320.800000000003</v>
      </c>
      <c r="V455" s="17">
        <f>Table5[[#This Row],[GrossProfit]]/Table5[[#This Row],[Net Sales Revenue]]</f>
        <v>0.44099378881987578</v>
      </c>
    </row>
    <row r="456" spans="1:22" ht="14.25" customHeight="1" x14ac:dyDescent="0.25">
      <c r="A456" s="1" t="s">
        <v>532</v>
      </c>
      <c r="B456" s="1" t="s">
        <v>528</v>
      </c>
      <c r="C456" s="1" t="s">
        <v>40</v>
      </c>
      <c r="D456" s="1" t="s">
        <v>19</v>
      </c>
      <c r="E456" s="1" t="s">
        <v>21</v>
      </c>
      <c r="F456" s="1">
        <v>2580</v>
      </c>
      <c r="G456" s="14">
        <v>18</v>
      </c>
      <c r="H456" s="1">
        <v>0.09</v>
      </c>
      <c r="I456" s="14">
        <v>42260.4</v>
      </c>
      <c r="J456" s="14">
        <v>23220</v>
      </c>
      <c r="K456" s="15">
        <f>Table5[[#This Row],[Selling Price]]*Table5[[#This Row],[Units Sold]]</f>
        <v>46440</v>
      </c>
      <c r="L456" t="str">
        <f t="shared" si="7"/>
        <v>2023-11</v>
      </c>
      <c r="M456" t="str">
        <f>VLOOKUP(Table5[[#This Row],[Store ID]],Table4[[Store ID]:[Store Location]],2)</f>
        <v>Manchester</v>
      </c>
      <c r="N456" t="str">
        <f>VLOOKUP(Table5[[#This Row],[Store ID]],Table4[[Store ID]:[Region]],3)</f>
        <v>North</v>
      </c>
      <c r="O456" t="str">
        <f>VLOOKUP(Table5[[#This Row],[Product ID]],'Product Master'!$A$2:$D$10,4)</f>
        <v>Supplier D</v>
      </c>
      <c r="P456" s="15">
        <f>Table5[[#This Row],[Total Revenue]]-Table5[[#This Row],[Net Sales Revenue]]</f>
        <v>4179.5999999999985</v>
      </c>
      <c r="Q456" s="15">
        <f>Table5[[#This Row],[Net Sales Revenue]]/Table5[[#This Row],[Units Sold]]</f>
        <v>16.38</v>
      </c>
      <c r="R456">
        <f>VLOOKUP(Table5[[#This Row],[Product ID]],'Product Master'!$A$1:$E$10,5,FALSE)</f>
        <v>9</v>
      </c>
      <c r="S456" s="15">
        <f>Table5[[#This Row],[standard product cost per unit]]*Table5[[#This Row],[Units Sold]]</f>
        <v>23220</v>
      </c>
      <c r="T456" s="15">
        <f>Table5[[#This Row],[Cost of Sales]]-Table5[[#This Row],[Standard cost]]</f>
        <v>0</v>
      </c>
      <c r="U456" s="15">
        <f>Table5[[#This Row],[Net Sales Revenue]]-Table5[[#This Row],[Cost of Sales]]</f>
        <v>19040.400000000001</v>
      </c>
      <c r="V456" s="17">
        <f>Table5[[#This Row],[GrossProfit]]/Table5[[#This Row],[Net Sales Revenue]]</f>
        <v>0.45054945054945056</v>
      </c>
    </row>
    <row r="457" spans="1:22" ht="14.25" customHeight="1" x14ac:dyDescent="0.25">
      <c r="A457" s="1" t="s">
        <v>533</v>
      </c>
      <c r="B457" s="1" t="s">
        <v>528</v>
      </c>
      <c r="C457" s="1" t="s">
        <v>40</v>
      </c>
      <c r="D457" s="1" t="s">
        <v>23</v>
      </c>
      <c r="E457" s="1" t="s">
        <v>21</v>
      </c>
      <c r="F457" s="1">
        <v>2368</v>
      </c>
      <c r="G457" s="14">
        <v>30</v>
      </c>
      <c r="H457" s="1">
        <v>0.08</v>
      </c>
      <c r="I457" s="14">
        <v>65356.800000000003</v>
      </c>
      <c r="J457" s="14">
        <v>33152</v>
      </c>
      <c r="K457" s="15">
        <f>Table5[[#This Row],[Selling Price]]*Table5[[#This Row],[Units Sold]]</f>
        <v>71040</v>
      </c>
      <c r="L457" t="str">
        <f t="shared" si="7"/>
        <v>2023-11</v>
      </c>
      <c r="M457" t="str">
        <f>VLOOKUP(Table5[[#This Row],[Store ID]],Table4[[Store ID]:[Store Location]],2)</f>
        <v>Manchester</v>
      </c>
      <c r="N457" t="str">
        <f>VLOOKUP(Table5[[#This Row],[Store ID]],Table4[[Store ID]:[Region]],3)</f>
        <v>North</v>
      </c>
      <c r="O457" t="str">
        <f>VLOOKUP(Table5[[#This Row],[Product ID]],'Product Master'!$A$2:$D$10,4)</f>
        <v>Supplier D</v>
      </c>
      <c r="P457" s="15">
        <f>Table5[[#This Row],[Total Revenue]]-Table5[[#This Row],[Net Sales Revenue]]</f>
        <v>5683.1999999999971</v>
      </c>
      <c r="Q457" s="15">
        <f>Table5[[#This Row],[Net Sales Revenue]]/Table5[[#This Row],[Units Sold]]</f>
        <v>27.6</v>
      </c>
      <c r="R457">
        <f>VLOOKUP(Table5[[#This Row],[Product ID]],'Product Master'!$A$1:$E$10,5,FALSE)</f>
        <v>14</v>
      </c>
      <c r="S457" s="15">
        <f>Table5[[#This Row],[standard product cost per unit]]*Table5[[#This Row],[Units Sold]]</f>
        <v>33152</v>
      </c>
      <c r="T457" s="15">
        <f>Table5[[#This Row],[Cost of Sales]]-Table5[[#This Row],[Standard cost]]</f>
        <v>0</v>
      </c>
      <c r="U457" s="15">
        <f>Table5[[#This Row],[Net Sales Revenue]]-Table5[[#This Row],[Cost of Sales]]</f>
        <v>32204.800000000003</v>
      </c>
      <c r="V457" s="17">
        <f>Table5[[#This Row],[GrossProfit]]/Table5[[#This Row],[Net Sales Revenue]]</f>
        <v>0.49275362318840582</v>
      </c>
    </row>
    <row r="458" spans="1:22" ht="14.25" customHeight="1" x14ac:dyDescent="0.25">
      <c r="A458" s="1" t="s">
        <v>534</v>
      </c>
      <c r="B458" s="1" t="s">
        <v>528</v>
      </c>
      <c r="C458" s="1" t="s">
        <v>40</v>
      </c>
      <c r="D458" s="1" t="s">
        <v>25</v>
      </c>
      <c r="E458" s="1" t="s">
        <v>27</v>
      </c>
      <c r="F458" s="1">
        <v>2128</v>
      </c>
      <c r="G458" s="14">
        <v>40</v>
      </c>
      <c r="H458" s="1">
        <v>0.09</v>
      </c>
      <c r="I458" s="14">
        <v>77459.199999999997</v>
      </c>
      <c r="J458" s="14">
        <v>42560</v>
      </c>
      <c r="K458" s="15">
        <f>Table5[[#This Row],[Selling Price]]*Table5[[#This Row],[Units Sold]]</f>
        <v>85120</v>
      </c>
      <c r="L458" t="str">
        <f t="shared" si="7"/>
        <v>2023-11</v>
      </c>
      <c r="M458" t="str">
        <f>VLOOKUP(Table5[[#This Row],[Store ID]],Table4[[Store ID]:[Store Location]],2)</f>
        <v>Manchester</v>
      </c>
      <c r="N458" t="str">
        <f>VLOOKUP(Table5[[#This Row],[Store ID]],Table4[[Store ID]:[Region]],3)</f>
        <v>North</v>
      </c>
      <c r="O458" t="str">
        <f>VLOOKUP(Table5[[#This Row],[Product ID]],'Product Master'!$A$2:$D$10,4)</f>
        <v>Supplier E</v>
      </c>
      <c r="P458" s="15">
        <f>Table5[[#This Row],[Total Revenue]]-Table5[[#This Row],[Net Sales Revenue]]</f>
        <v>7660.8000000000029</v>
      </c>
      <c r="Q458" s="15">
        <f>Table5[[#This Row],[Net Sales Revenue]]/Table5[[#This Row],[Units Sold]]</f>
        <v>36.4</v>
      </c>
      <c r="R458">
        <f>VLOOKUP(Table5[[#This Row],[Product ID]],'Product Master'!$A$1:$E$10,5,FALSE)</f>
        <v>20</v>
      </c>
      <c r="S458" s="15">
        <f>Table5[[#This Row],[standard product cost per unit]]*Table5[[#This Row],[Units Sold]]</f>
        <v>42560</v>
      </c>
      <c r="T458" s="15">
        <f>Table5[[#This Row],[Cost of Sales]]-Table5[[#This Row],[Standard cost]]</f>
        <v>0</v>
      </c>
      <c r="U458" s="15">
        <f>Table5[[#This Row],[Net Sales Revenue]]-Table5[[#This Row],[Cost of Sales]]</f>
        <v>34899.199999999997</v>
      </c>
      <c r="V458" s="17">
        <f>Table5[[#This Row],[GrossProfit]]/Table5[[#This Row],[Net Sales Revenue]]</f>
        <v>0.4505494505494505</v>
      </c>
    </row>
    <row r="459" spans="1:22" ht="14.25" customHeight="1" x14ac:dyDescent="0.25">
      <c r="A459" s="1" t="s">
        <v>535</v>
      </c>
      <c r="B459" s="1" t="s">
        <v>528</v>
      </c>
      <c r="C459" s="1" t="s">
        <v>40</v>
      </c>
      <c r="D459" s="1" t="s">
        <v>29</v>
      </c>
      <c r="E459" s="1" t="s">
        <v>31</v>
      </c>
      <c r="F459" s="1">
        <v>2400</v>
      </c>
      <c r="G459" s="14">
        <v>10</v>
      </c>
      <c r="H459" s="1">
        <v>0.08</v>
      </c>
      <c r="I459" s="14">
        <v>22080</v>
      </c>
      <c r="J459" s="14">
        <v>9600</v>
      </c>
      <c r="K459" s="15">
        <f>Table5[[#This Row],[Selling Price]]*Table5[[#This Row],[Units Sold]]</f>
        <v>24000</v>
      </c>
      <c r="L459" t="str">
        <f t="shared" si="7"/>
        <v>2023-11</v>
      </c>
      <c r="M459" t="str">
        <f>VLOOKUP(Table5[[#This Row],[Store ID]],Table4[[Store ID]:[Store Location]],2)</f>
        <v>Manchester</v>
      </c>
      <c r="N459" t="str">
        <f>VLOOKUP(Table5[[#This Row],[Store ID]],Table4[[Store ID]:[Region]],3)</f>
        <v>North</v>
      </c>
      <c r="O459" t="str">
        <f>VLOOKUP(Table5[[#This Row],[Product ID]],'Product Master'!$A$2:$D$10,4)</f>
        <v>Supplier F</v>
      </c>
      <c r="P459" s="15">
        <f>Table5[[#This Row],[Total Revenue]]-Table5[[#This Row],[Net Sales Revenue]]</f>
        <v>1920</v>
      </c>
      <c r="Q459" s="15">
        <f>Table5[[#This Row],[Net Sales Revenue]]/Table5[[#This Row],[Units Sold]]</f>
        <v>9.1999999999999993</v>
      </c>
      <c r="R459">
        <f>VLOOKUP(Table5[[#This Row],[Product ID]],'Product Master'!$A$1:$E$10,5,FALSE)</f>
        <v>4</v>
      </c>
      <c r="S459" s="15">
        <f>Table5[[#This Row],[standard product cost per unit]]*Table5[[#This Row],[Units Sold]]</f>
        <v>9600</v>
      </c>
      <c r="T459" s="15">
        <f>Table5[[#This Row],[Cost of Sales]]-Table5[[#This Row],[Standard cost]]</f>
        <v>0</v>
      </c>
      <c r="U459" s="15">
        <f>Table5[[#This Row],[Net Sales Revenue]]-Table5[[#This Row],[Cost of Sales]]</f>
        <v>12480</v>
      </c>
      <c r="V459" s="17">
        <f>Table5[[#This Row],[GrossProfit]]/Table5[[#This Row],[Net Sales Revenue]]</f>
        <v>0.56521739130434778</v>
      </c>
    </row>
    <row r="460" spans="1:22" ht="14.25" customHeight="1" x14ac:dyDescent="0.25">
      <c r="A460" s="1" t="s">
        <v>536</v>
      </c>
      <c r="B460" s="1" t="s">
        <v>528</v>
      </c>
      <c r="C460" s="1" t="s">
        <v>40</v>
      </c>
      <c r="D460" s="1" t="s">
        <v>33</v>
      </c>
      <c r="E460" s="1" t="s">
        <v>31</v>
      </c>
      <c r="F460" s="1">
        <v>1892</v>
      </c>
      <c r="G460" s="14">
        <v>22</v>
      </c>
      <c r="H460" s="1">
        <v>0.06</v>
      </c>
      <c r="I460" s="14">
        <v>39126.559999999998</v>
      </c>
      <c r="J460" s="14">
        <v>18920</v>
      </c>
      <c r="K460" s="15">
        <f>Table5[[#This Row],[Selling Price]]*Table5[[#This Row],[Units Sold]]</f>
        <v>41624</v>
      </c>
      <c r="L460" t="str">
        <f t="shared" si="7"/>
        <v>2023-11</v>
      </c>
      <c r="M460" t="str">
        <f>VLOOKUP(Table5[[#This Row],[Store ID]],Table4[[Store ID]:[Store Location]],2)</f>
        <v>Manchester</v>
      </c>
      <c r="N460" t="str">
        <f>VLOOKUP(Table5[[#This Row],[Store ID]],Table4[[Store ID]:[Region]],3)</f>
        <v>North</v>
      </c>
      <c r="O460" t="str">
        <f>VLOOKUP(Table5[[#This Row],[Product ID]],'Product Master'!$A$2:$D$10,4)</f>
        <v>Supplier F</v>
      </c>
      <c r="P460" s="15">
        <f>Table5[[#This Row],[Total Revenue]]-Table5[[#This Row],[Net Sales Revenue]]</f>
        <v>2497.4400000000023</v>
      </c>
      <c r="Q460" s="15">
        <f>Table5[[#This Row],[Net Sales Revenue]]/Table5[[#This Row],[Units Sold]]</f>
        <v>20.68</v>
      </c>
      <c r="R460">
        <f>VLOOKUP(Table5[[#This Row],[Product ID]],'Product Master'!$A$1:$E$10,5,FALSE)</f>
        <v>10</v>
      </c>
      <c r="S460" s="15">
        <f>Table5[[#This Row],[standard product cost per unit]]*Table5[[#This Row],[Units Sold]]</f>
        <v>18920</v>
      </c>
      <c r="T460" s="15">
        <f>Table5[[#This Row],[Cost of Sales]]-Table5[[#This Row],[Standard cost]]</f>
        <v>0</v>
      </c>
      <c r="U460" s="15">
        <f>Table5[[#This Row],[Net Sales Revenue]]-Table5[[#This Row],[Cost of Sales]]</f>
        <v>20206.559999999998</v>
      </c>
      <c r="V460" s="17">
        <f>Table5[[#This Row],[GrossProfit]]/Table5[[#This Row],[Net Sales Revenue]]</f>
        <v>0.51644100580270791</v>
      </c>
    </row>
    <row r="461" spans="1:22" ht="14.25" customHeight="1" x14ac:dyDescent="0.25">
      <c r="A461" s="1" t="s">
        <v>537</v>
      </c>
      <c r="B461" s="1" t="s">
        <v>528</v>
      </c>
      <c r="C461" s="1" t="s">
        <v>44</v>
      </c>
      <c r="D461" s="1" t="s">
        <v>6</v>
      </c>
      <c r="E461" s="1" t="s">
        <v>8</v>
      </c>
      <c r="F461" s="1">
        <v>2760</v>
      </c>
      <c r="G461" s="14">
        <v>24</v>
      </c>
      <c r="H461" s="1">
        <v>0.08</v>
      </c>
      <c r="I461" s="14">
        <v>60940.800000000003</v>
      </c>
      <c r="J461" s="14">
        <v>33120</v>
      </c>
      <c r="K461" s="15">
        <f>Table5[[#This Row],[Selling Price]]*Table5[[#This Row],[Units Sold]]</f>
        <v>66240</v>
      </c>
      <c r="L461" t="str">
        <f t="shared" si="7"/>
        <v>2023-11</v>
      </c>
      <c r="M461" t="str">
        <f>VLOOKUP(Table5[[#This Row],[Store ID]],Table4[[Store ID]:[Store Location]],2)</f>
        <v>Birmingham</v>
      </c>
      <c r="N461" t="str">
        <f>VLOOKUP(Table5[[#This Row],[Store ID]],Table4[[Store ID]:[Region]],3)</f>
        <v>Midlands</v>
      </c>
      <c r="O461" t="str">
        <f>VLOOKUP(Table5[[#This Row],[Product ID]],'Product Master'!$A$2:$D$10,4)</f>
        <v>Supplier A</v>
      </c>
      <c r="P461" s="15">
        <f>Table5[[#This Row],[Total Revenue]]-Table5[[#This Row],[Net Sales Revenue]]</f>
        <v>5299.1999999999971</v>
      </c>
      <c r="Q461" s="15">
        <f>Table5[[#This Row],[Net Sales Revenue]]/Table5[[#This Row],[Units Sold]]</f>
        <v>22.080000000000002</v>
      </c>
      <c r="R461">
        <f>VLOOKUP(Table5[[#This Row],[Product ID]],'Product Master'!$A$1:$E$10,5,FALSE)</f>
        <v>12</v>
      </c>
      <c r="S461" s="15">
        <f>Table5[[#This Row],[standard product cost per unit]]*Table5[[#This Row],[Units Sold]]</f>
        <v>33120</v>
      </c>
      <c r="T461" s="15">
        <f>Table5[[#This Row],[Cost of Sales]]-Table5[[#This Row],[Standard cost]]</f>
        <v>0</v>
      </c>
      <c r="U461" s="15">
        <f>Table5[[#This Row],[Net Sales Revenue]]-Table5[[#This Row],[Cost of Sales]]</f>
        <v>27820.800000000003</v>
      </c>
      <c r="V461" s="17">
        <f>Table5[[#This Row],[GrossProfit]]/Table5[[#This Row],[Net Sales Revenue]]</f>
        <v>0.45652173913043481</v>
      </c>
    </row>
    <row r="462" spans="1:22" ht="14.25" customHeight="1" x14ac:dyDescent="0.25">
      <c r="A462" s="1" t="s">
        <v>538</v>
      </c>
      <c r="B462" s="1" t="s">
        <v>528</v>
      </c>
      <c r="C462" s="1" t="s">
        <v>44</v>
      </c>
      <c r="D462" s="1" t="s">
        <v>10</v>
      </c>
      <c r="E462" s="1" t="s">
        <v>8</v>
      </c>
      <c r="F462" s="1">
        <v>1240</v>
      </c>
      <c r="G462" s="14">
        <v>50</v>
      </c>
      <c r="H462" s="1">
        <v>7.0000000000000007E-2</v>
      </c>
      <c r="I462" s="14">
        <v>57660</v>
      </c>
      <c r="J462" s="14">
        <v>34720</v>
      </c>
      <c r="K462" s="15">
        <f>Table5[[#This Row],[Selling Price]]*Table5[[#This Row],[Units Sold]]</f>
        <v>62000</v>
      </c>
      <c r="L462" t="str">
        <f t="shared" si="7"/>
        <v>2023-11</v>
      </c>
      <c r="M462" t="str">
        <f>VLOOKUP(Table5[[#This Row],[Store ID]],Table4[[Store ID]:[Store Location]],2)</f>
        <v>Birmingham</v>
      </c>
      <c r="N462" t="str">
        <f>VLOOKUP(Table5[[#This Row],[Store ID]],Table4[[Store ID]:[Region]],3)</f>
        <v>Midlands</v>
      </c>
      <c r="O462" t="str">
        <f>VLOOKUP(Table5[[#This Row],[Product ID]],'Product Master'!$A$2:$D$10,4)</f>
        <v>Supplier B</v>
      </c>
      <c r="P462" s="15">
        <f>Table5[[#This Row],[Total Revenue]]-Table5[[#This Row],[Net Sales Revenue]]</f>
        <v>4340</v>
      </c>
      <c r="Q462" s="15">
        <f>Table5[[#This Row],[Net Sales Revenue]]/Table5[[#This Row],[Units Sold]]</f>
        <v>46.5</v>
      </c>
      <c r="R462">
        <f>VLOOKUP(Table5[[#This Row],[Product ID]],'Product Master'!$A$1:$E$10,5,FALSE)</f>
        <v>28</v>
      </c>
      <c r="S462" s="15">
        <f>Table5[[#This Row],[standard product cost per unit]]*Table5[[#This Row],[Units Sold]]</f>
        <v>34720</v>
      </c>
      <c r="T462" s="15">
        <f>Table5[[#This Row],[Cost of Sales]]-Table5[[#This Row],[Standard cost]]</f>
        <v>0</v>
      </c>
      <c r="U462" s="15">
        <f>Table5[[#This Row],[Net Sales Revenue]]-Table5[[#This Row],[Cost of Sales]]</f>
        <v>22940</v>
      </c>
      <c r="V462" s="17">
        <f>Table5[[#This Row],[GrossProfit]]/Table5[[#This Row],[Net Sales Revenue]]</f>
        <v>0.39784946236559138</v>
      </c>
    </row>
    <row r="463" spans="1:22" ht="14.25" customHeight="1" x14ac:dyDescent="0.25">
      <c r="A463" s="1" t="s">
        <v>539</v>
      </c>
      <c r="B463" s="1" t="s">
        <v>528</v>
      </c>
      <c r="C463" s="1" t="s">
        <v>44</v>
      </c>
      <c r="D463" s="1" t="s">
        <v>13</v>
      </c>
      <c r="E463" s="1" t="s">
        <v>15</v>
      </c>
      <c r="F463" s="1">
        <v>1660</v>
      </c>
      <c r="G463" s="14">
        <v>28</v>
      </c>
      <c r="H463" s="1">
        <v>0.08</v>
      </c>
      <c r="I463" s="14">
        <v>42761.599999999999</v>
      </c>
      <c r="J463" s="14">
        <v>24900</v>
      </c>
      <c r="K463" s="15">
        <f>Table5[[#This Row],[Selling Price]]*Table5[[#This Row],[Units Sold]]</f>
        <v>46480</v>
      </c>
      <c r="L463" t="str">
        <f t="shared" si="7"/>
        <v>2023-11</v>
      </c>
      <c r="M463" t="str">
        <f>VLOOKUP(Table5[[#This Row],[Store ID]],Table4[[Store ID]:[Store Location]],2)</f>
        <v>Birmingham</v>
      </c>
      <c r="N463" t="str">
        <f>VLOOKUP(Table5[[#This Row],[Store ID]],Table4[[Store ID]:[Region]],3)</f>
        <v>Midlands</v>
      </c>
      <c r="O463" t="str">
        <f>VLOOKUP(Table5[[#This Row],[Product ID]],'Product Master'!$A$2:$D$10,4)</f>
        <v>Supplier C</v>
      </c>
      <c r="P463" s="15">
        <f>Table5[[#This Row],[Total Revenue]]-Table5[[#This Row],[Net Sales Revenue]]</f>
        <v>3718.4000000000015</v>
      </c>
      <c r="Q463" s="15">
        <f>Table5[[#This Row],[Net Sales Revenue]]/Table5[[#This Row],[Units Sold]]</f>
        <v>25.759999999999998</v>
      </c>
      <c r="R463">
        <f>VLOOKUP(Table5[[#This Row],[Product ID]],'Product Master'!$A$1:$E$10,5,FALSE)</f>
        <v>15</v>
      </c>
      <c r="S463" s="15">
        <f>Table5[[#This Row],[standard product cost per unit]]*Table5[[#This Row],[Units Sold]]</f>
        <v>24900</v>
      </c>
      <c r="T463" s="15">
        <f>Table5[[#This Row],[Cost of Sales]]-Table5[[#This Row],[Standard cost]]</f>
        <v>0</v>
      </c>
      <c r="U463" s="15">
        <f>Table5[[#This Row],[Net Sales Revenue]]-Table5[[#This Row],[Cost of Sales]]</f>
        <v>17861.599999999999</v>
      </c>
      <c r="V463" s="17">
        <f>Table5[[#This Row],[GrossProfit]]/Table5[[#This Row],[Net Sales Revenue]]</f>
        <v>0.41770186335403725</v>
      </c>
    </row>
    <row r="464" spans="1:22" ht="14.25" customHeight="1" x14ac:dyDescent="0.25">
      <c r="A464" s="1" t="s">
        <v>540</v>
      </c>
      <c r="B464" s="1" t="s">
        <v>528</v>
      </c>
      <c r="C464" s="1" t="s">
        <v>44</v>
      </c>
      <c r="D464" s="1" t="s">
        <v>17</v>
      </c>
      <c r="E464" s="1" t="s">
        <v>15</v>
      </c>
      <c r="F464" s="1">
        <v>1636</v>
      </c>
      <c r="G464" s="14">
        <v>35</v>
      </c>
      <c r="H464" s="1">
        <v>0.09</v>
      </c>
      <c r="I464" s="14">
        <v>52106.6</v>
      </c>
      <c r="J464" s="14">
        <v>29448</v>
      </c>
      <c r="K464" s="15">
        <f>Table5[[#This Row],[Selling Price]]*Table5[[#This Row],[Units Sold]]</f>
        <v>57260</v>
      </c>
      <c r="L464" t="str">
        <f t="shared" si="7"/>
        <v>2023-11</v>
      </c>
      <c r="M464" t="str">
        <f>VLOOKUP(Table5[[#This Row],[Store ID]],Table4[[Store ID]:[Store Location]],2)</f>
        <v>Birmingham</v>
      </c>
      <c r="N464" t="str">
        <f>VLOOKUP(Table5[[#This Row],[Store ID]],Table4[[Store ID]:[Region]],3)</f>
        <v>Midlands</v>
      </c>
      <c r="O464" t="str">
        <f>VLOOKUP(Table5[[#This Row],[Product ID]],'Product Master'!$A$2:$D$10,4)</f>
        <v>Supplier C</v>
      </c>
      <c r="P464" s="15">
        <f>Table5[[#This Row],[Total Revenue]]-Table5[[#This Row],[Net Sales Revenue]]</f>
        <v>5153.4000000000015</v>
      </c>
      <c r="Q464" s="15">
        <f>Table5[[#This Row],[Net Sales Revenue]]/Table5[[#This Row],[Units Sold]]</f>
        <v>31.849999999999998</v>
      </c>
      <c r="R464">
        <f>VLOOKUP(Table5[[#This Row],[Product ID]],'Product Master'!$A$1:$E$10,5,FALSE)</f>
        <v>18</v>
      </c>
      <c r="S464" s="15">
        <f>Table5[[#This Row],[standard product cost per unit]]*Table5[[#This Row],[Units Sold]]</f>
        <v>29448</v>
      </c>
      <c r="T464" s="15">
        <f>Table5[[#This Row],[Cost of Sales]]-Table5[[#This Row],[Standard cost]]</f>
        <v>0</v>
      </c>
      <c r="U464" s="15">
        <f>Table5[[#This Row],[Net Sales Revenue]]-Table5[[#This Row],[Cost of Sales]]</f>
        <v>22658.6</v>
      </c>
      <c r="V464" s="17">
        <f>Table5[[#This Row],[GrossProfit]]/Table5[[#This Row],[Net Sales Revenue]]</f>
        <v>0.43485086342229196</v>
      </c>
    </row>
    <row r="465" spans="1:22" ht="14.25" customHeight="1" x14ac:dyDescent="0.25">
      <c r="A465" s="1" t="s">
        <v>541</v>
      </c>
      <c r="B465" s="1" t="s">
        <v>528</v>
      </c>
      <c r="C465" s="1" t="s">
        <v>44</v>
      </c>
      <c r="D465" s="1" t="s">
        <v>19</v>
      </c>
      <c r="E465" s="1" t="s">
        <v>21</v>
      </c>
      <c r="F465" s="1">
        <v>2264</v>
      </c>
      <c r="G465" s="14">
        <v>18</v>
      </c>
      <c r="H465" s="1">
        <v>0.05</v>
      </c>
      <c r="I465" s="14">
        <v>38714.400000000001</v>
      </c>
      <c r="J465" s="14">
        <v>20376</v>
      </c>
      <c r="K465" s="15">
        <f>Table5[[#This Row],[Selling Price]]*Table5[[#This Row],[Units Sold]]</f>
        <v>40752</v>
      </c>
      <c r="L465" t="str">
        <f t="shared" si="7"/>
        <v>2023-11</v>
      </c>
      <c r="M465" t="str">
        <f>VLOOKUP(Table5[[#This Row],[Store ID]],Table4[[Store ID]:[Store Location]],2)</f>
        <v>Birmingham</v>
      </c>
      <c r="N465" t="str">
        <f>VLOOKUP(Table5[[#This Row],[Store ID]],Table4[[Store ID]:[Region]],3)</f>
        <v>Midlands</v>
      </c>
      <c r="O465" t="str">
        <f>VLOOKUP(Table5[[#This Row],[Product ID]],'Product Master'!$A$2:$D$10,4)</f>
        <v>Supplier D</v>
      </c>
      <c r="P465" s="15">
        <f>Table5[[#This Row],[Total Revenue]]-Table5[[#This Row],[Net Sales Revenue]]</f>
        <v>2037.5999999999985</v>
      </c>
      <c r="Q465" s="15">
        <f>Table5[[#This Row],[Net Sales Revenue]]/Table5[[#This Row],[Units Sold]]</f>
        <v>17.100000000000001</v>
      </c>
      <c r="R465">
        <f>VLOOKUP(Table5[[#This Row],[Product ID]],'Product Master'!$A$1:$E$10,5,FALSE)</f>
        <v>9</v>
      </c>
      <c r="S465" s="15">
        <f>Table5[[#This Row],[standard product cost per unit]]*Table5[[#This Row],[Units Sold]]</f>
        <v>20376</v>
      </c>
      <c r="T465" s="15">
        <f>Table5[[#This Row],[Cost of Sales]]-Table5[[#This Row],[Standard cost]]</f>
        <v>0</v>
      </c>
      <c r="U465" s="15">
        <f>Table5[[#This Row],[Net Sales Revenue]]-Table5[[#This Row],[Cost of Sales]]</f>
        <v>18338.400000000001</v>
      </c>
      <c r="V465" s="17">
        <f>Table5[[#This Row],[GrossProfit]]/Table5[[#This Row],[Net Sales Revenue]]</f>
        <v>0.47368421052631582</v>
      </c>
    </row>
    <row r="466" spans="1:22" ht="14.25" customHeight="1" x14ac:dyDescent="0.25">
      <c r="A466" s="1" t="s">
        <v>542</v>
      </c>
      <c r="B466" s="1" t="s">
        <v>528</v>
      </c>
      <c r="C466" s="1" t="s">
        <v>44</v>
      </c>
      <c r="D466" s="1" t="s">
        <v>23</v>
      </c>
      <c r="E466" s="1" t="s">
        <v>21</v>
      </c>
      <c r="F466" s="1">
        <v>1692</v>
      </c>
      <c r="G466" s="14">
        <v>30</v>
      </c>
      <c r="H466" s="1">
        <v>0.06</v>
      </c>
      <c r="I466" s="14">
        <v>47714.400000000001</v>
      </c>
      <c r="J466" s="14">
        <v>23688</v>
      </c>
      <c r="K466" s="15">
        <f>Table5[[#This Row],[Selling Price]]*Table5[[#This Row],[Units Sold]]</f>
        <v>50760</v>
      </c>
      <c r="L466" t="str">
        <f t="shared" si="7"/>
        <v>2023-11</v>
      </c>
      <c r="M466" t="str">
        <f>VLOOKUP(Table5[[#This Row],[Store ID]],Table4[[Store ID]:[Store Location]],2)</f>
        <v>Birmingham</v>
      </c>
      <c r="N466" t="str">
        <f>VLOOKUP(Table5[[#This Row],[Store ID]],Table4[[Store ID]:[Region]],3)</f>
        <v>Midlands</v>
      </c>
      <c r="O466" t="str">
        <f>VLOOKUP(Table5[[#This Row],[Product ID]],'Product Master'!$A$2:$D$10,4)</f>
        <v>Supplier D</v>
      </c>
      <c r="P466" s="15">
        <f>Table5[[#This Row],[Total Revenue]]-Table5[[#This Row],[Net Sales Revenue]]</f>
        <v>3045.5999999999985</v>
      </c>
      <c r="Q466" s="15">
        <f>Table5[[#This Row],[Net Sales Revenue]]/Table5[[#This Row],[Units Sold]]</f>
        <v>28.2</v>
      </c>
      <c r="R466">
        <f>VLOOKUP(Table5[[#This Row],[Product ID]],'Product Master'!$A$1:$E$10,5,FALSE)</f>
        <v>14</v>
      </c>
      <c r="S466" s="15">
        <f>Table5[[#This Row],[standard product cost per unit]]*Table5[[#This Row],[Units Sold]]</f>
        <v>23688</v>
      </c>
      <c r="T466" s="15">
        <f>Table5[[#This Row],[Cost of Sales]]-Table5[[#This Row],[Standard cost]]</f>
        <v>0</v>
      </c>
      <c r="U466" s="15">
        <f>Table5[[#This Row],[Net Sales Revenue]]-Table5[[#This Row],[Cost of Sales]]</f>
        <v>24026.400000000001</v>
      </c>
      <c r="V466" s="17">
        <f>Table5[[#This Row],[GrossProfit]]/Table5[[#This Row],[Net Sales Revenue]]</f>
        <v>0.5035460992907802</v>
      </c>
    </row>
    <row r="467" spans="1:22" ht="14.25" customHeight="1" x14ac:dyDescent="0.25">
      <c r="A467" s="1" t="s">
        <v>543</v>
      </c>
      <c r="B467" s="1" t="s">
        <v>528</v>
      </c>
      <c r="C467" s="1" t="s">
        <v>44</v>
      </c>
      <c r="D467" s="1" t="s">
        <v>25</v>
      </c>
      <c r="E467" s="1" t="s">
        <v>27</v>
      </c>
      <c r="F467" s="1">
        <v>1992</v>
      </c>
      <c r="G467" s="14">
        <v>40</v>
      </c>
      <c r="H467" s="1">
        <v>0.06</v>
      </c>
      <c r="I467" s="14">
        <v>74899.199999999997</v>
      </c>
      <c r="J467" s="14">
        <v>39840</v>
      </c>
      <c r="K467" s="15">
        <f>Table5[[#This Row],[Selling Price]]*Table5[[#This Row],[Units Sold]]</f>
        <v>79680</v>
      </c>
      <c r="L467" t="str">
        <f t="shared" si="7"/>
        <v>2023-11</v>
      </c>
      <c r="M467" t="str">
        <f>VLOOKUP(Table5[[#This Row],[Store ID]],Table4[[Store ID]:[Store Location]],2)</f>
        <v>Birmingham</v>
      </c>
      <c r="N467" t="str">
        <f>VLOOKUP(Table5[[#This Row],[Store ID]],Table4[[Store ID]:[Region]],3)</f>
        <v>Midlands</v>
      </c>
      <c r="O467" t="str">
        <f>VLOOKUP(Table5[[#This Row],[Product ID]],'Product Master'!$A$2:$D$10,4)</f>
        <v>Supplier E</v>
      </c>
      <c r="P467" s="15">
        <f>Table5[[#This Row],[Total Revenue]]-Table5[[#This Row],[Net Sales Revenue]]</f>
        <v>4780.8000000000029</v>
      </c>
      <c r="Q467" s="15">
        <f>Table5[[#This Row],[Net Sales Revenue]]/Table5[[#This Row],[Units Sold]]</f>
        <v>37.6</v>
      </c>
      <c r="R467">
        <f>VLOOKUP(Table5[[#This Row],[Product ID]],'Product Master'!$A$1:$E$10,5,FALSE)</f>
        <v>20</v>
      </c>
      <c r="S467" s="15">
        <f>Table5[[#This Row],[standard product cost per unit]]*Table5[[#This Row],[Units Sold]]</f>
        <v>39840</v>
      </c>
      <c r="T467" s="15">
        <f>Table5[[#This Row],[Cost of Sales]]-Table5[[#This Row],[Standard cost]]</f>
        <v>0</v>
      </c>
      <c r="U467" s="15">
        <f>Table5[[#This Row],[Net Sales Revenue]]-Table5[[#This Row],[Cost of Sales]]</f>
        <v>35059.199999999997</v>
      </c>
      <c r="V467" s="17">
        <f>Table5[[#This Row],[GrossProfit]]/Table5[[#This Row],[Net Sales Revenue]]</f>
        <v>0.46808510638297868</v>
      </c>
    </row>
    <row r="468" spans="1:22" ht="14.25" customHeight="1" x14ac:dyDescent="0.25">
      <c r="A468" s="1" t="s">
        <v>544</v>
      </c>
      <c r="B468" s="1" t="s">
        <v>528</v>
      </c>
      <c r="C468" s="1" t="s">
        <v>44</v>
      </c>
      <c r="D468" s="1" t="s">
        <v>29</v>
      </c>
      <c r="E468" s="1" t="s">
        <v>31</v>
      </c>
      <c r="F468" s="1">
        <v>2180</v>
      </c>
      <c r="G468" s="14">
        <v>10</v>
      </c>
      <c r="H468" s="1">
        <v>0.05</v>
      </c>
      <c r="I468" s="14">
        <v>20710</v>
      </c>
      <c r="J468" s="14">
        <v>8720</v>
      </c>
      <c r="K468" s="15">
        <f>Table5[[#This Row],[Selling Price]]*Table5[[#This Row],[Units Sold]]</f>
        <v>21800</v>
      </c>
      <c r="L468" t="str">
        <f t="shared" si="7"/>
        <v>2023-11</v>
      </c>
      <c r="M468" t="str">
        <f>VLOOKUP(Table5[[#This Row],[Store ID]],Table4[[Store ID]:[Store Location]],2)</f>
        <v>Birmingham</v>
      </c>
      <c r="N468" t="str">
        <f>VLOOKUP(Table5[[#This Row],[Store ID]],Table4[[Store ID]:[Region]],3)</f>
        <v>Midlands</v>
      </c>
      <c r="O468" t="str">
        <f>VLOOKUP(Table5[[#This Row],[Product ID]],'Product Master'!$A$2:$D$10,4)</f>
        <v>Supplier F</v>
      </c>
      <c r="P468" s="15">
        <f>Table5[[#This Row],[Total Revenue]]-Table5[[#This Row],[Net Sales Revenue]]</f>
        <v>1090</v>
      </c>
      <c r="Q468" s="15">
        <f>Table5[[#This Row],[Net Sales Revenue]]/Table5[[#This Row],[Units Sold]]</f>
        <v>9.5</v>
      </c>
      <c r="R468">
        <f>VLOOKUP(Table5[[#This Row],[Product ID]],'Product Master'!$A$1:$E$10,5,FALSE)</f>
        <v>4</v>
      </c>
      <c r="S468" s="15">
        <f>Table5[[#This Row],[standard product cost per unit]]*Table5[[#This Row],[Units Sold]]</f>
        <v>8720</v>
      </c>
      <c r="T468" s="15">
        <f>Table5[[#This Row],[Cost of Sales]]-Table5[[#This Row],[Standard cost]]</f>
        <v>0</v>
      </c>
      <c r="U468" s="15">
        <f>Table5[[#This Row],[Net Sales Revenue]]-Table5[[#This Row],[Cost of Sales]]</f>
        <v>11990</v>
      </c>
      <c r="V468" s="17">
        <f>Table5[[#This Row],[GrossProfit]]/Table5[[#This Row],[Net Sales Revenue]]</f>
        <v>0.57894736842105265</v>
      </c>
    </row>
    <row r="469" spans="1:22" ht="14.25" customHeight="1" x14ac:dyDescent="0.25">
      <c r="A469" s="1" t="s">
        <v>545</v>
      </c>
      <c r="B469" s="1" t="s">
        <v>528</v>
      </c>
      <c r="C469" s="1" t="s">
        <v>44</v>
      </c>
      <c r="D469" s="1" t="s">
        <v>33</v>
      </c>
      <c r="E469" s="1" t="s">
        <v>31</v>
      </c>
      <c r="F469" s="1">
        <v>2084</v>
      </c>
      <c r="G469" s="14">
        <v>22</v>
      </c>
      <c r="H469" s="1">
        <v>7.0000000000000007E-2</v>
      </c>
      <c r="I469" s="14">
        <v>42638.64</v>
      </c>
      <c r="J469" s="14">
        <v>20840</v>
      </c>
      <c r="K469" s="15">
        <f>Table5[[#This Row],[Selling Price]]*Table5[[#This Row],[Units Sold]]</f>
        <v>45848</v>
      </c>
      <c r="L469" t="str">
        <f t="shared" si="7"/>
        <v>2023-11</v>
      </c>
      <c r="M469" t="str">
        <f>VLOOKUP(Table5[[#This Row],[Store ID]],Table4[[Store ID]:[Store Location]],2)</f>
        <v>Birmingham</v>
      </c>
      <c r="N469" t="str">
        <f>VLOOKUP(Table5[[#This Row],[Store ID]],Table4[[Store ID]:[Region]],3)</f>
        <v>Midlands</v>
      </c>
      <c r="O469" t="str">
        <f>VLOOKUP(Table5[[#This Row],[Product ID]],'Product Master'!$A$2:$D$10,4)</f>
        <v>Supplier F</v>
      </c>
      <c r="P469" s="15">
        <f>Table5[[#This Row],[Total Revenue]]-Table5[[#This Row],[Net Sales Revenue]]</f>
        <v>3209.3600000000006</v>
      </c>
      <c r="Q469" s="15">
        <f>Table5[[#This Row],[Net Sales Revenue]]/Table5[[#This Row],[Units Sold]]</f>
        <v>20.46</v>
      </c>
      <c r="R469">
        <f>VLOOKUP(Table5[[#This Row],[Product ID]],'Product Master'!$A$1:$E$10,5,FALSE)</f>
        <v>10</v>
      </c>
      <c r="S469" s="15">
        <f>Table5[[#This Row],[standard product cost per unit]]*Table5[[#This Row],[Units Sold]]</f>
        <v>20840</v>
      </c>
      <c r="T469" s="15">
        <f>Table5[[#This Row],[Cost of Sales]]-Table5[[#This Row],[Standard cost]]</f>
        <v>0</v>
      </c>
      <c r="U469" s="15">
        <f>Table5[[#This Row],[Net Sales Revenue]]-Table5[[#This Row],[Cost of Sales]]</f>
        <v>21798.639999999999</v>
      </c>
      <c r="V469" s="17">
        <f>Table5[[#This Row],[GrossProfit]]/Table5[[#This Row],[Net Sales Revenue]]</f>
        <v>0.51124144672531768</v>
      </c>
    </row>
    <row r="470" spans="1:22" ht="14.25" customHeight="1" x14ac:dyDescent="0.25">
      <c r="A470" s="1" t="s">
        <v>546</v>
      </c>
      <c r="B470" s="1" t="s">
        <v>528</v>
      </c>
      <c r="C470" s="1" t="s">
        <v>48</v>
      </c>
      <c r="D470" s="1" t="s">
        <v>6</v>
      </c>
      <c r="E470" s="1" t="s">
        <v>8</v>
      </c>
      <c r="F470" s="1">
        <v>2112</v>
      </c>
      <c r="G470" s="14">
        <v>24</v>
      </c>
      <c r="H470" s="1">
        <v>0.08</v>
      </c>
      <c r="I470" s="14">
        <v>46632.959999999999</v>
      </c>
      <c r="J470" s="14">
        <v>25344</v>
      </c>
      <c r="K470" s="15">
        <f>Table5[[#This Row],[Selling Price]]*Table5[[#This Row],[Units Sold]]</f>
        <v>50688</v>
      </c>
      <c r="L470" t="str">
        <f t="shared" si="7"/>
        <v>2023-11</v>
      </c>
      <c r="M470" t="str">
        <f>VLOOKUP(Table5[[#This Row],[Store ID]],Table4[[Store ID]:[Store Location]],2)</f>
        <v>London Stratford</v>
      </c>
      <c r="N470" t="str">
        <f>VLOOKUP(Table5[[#This Row],[Store ID]],Table4[[Store ID]:[Region]],3)</f>
        <v>South</v>
      </c>
      <c r="O470" t="str">
        <f>VLOOKUP(Table5[[#This Row],[Product ID]],'Product Master'!$A$2:$D$10,4)</f>
        <v>Supplier A</v>
      </c>
      <c r="P470" s="15">
        <f>Table5[[#This Row],[Total Revenue]]-Table5[[#This Row],[Net Sales Revenue]]</f>
        <v>4055.0400000000009</v>
      </c>
      <c r="Q470" s="15">
        <f>Table5[[#This Row],[Net Sales Revenue]]/Table5[[#This Row],[Units Sold]]</f>
        <v>22.08</v>
      </c>
      <c r="R470">
        <f>VLOOKUP(Table5[[#This Row],[Product ID]],'Product Master'!$A$1:$E$10,5,FALSE)</f>
        <v>12</v>
      </c>
      <c r="S470" s="15">
        <f>Table5[[#This Row],[standard product cost per unit]]*Table5[[#This Row],[Units Sold]]</f>
        <v>25344</v>
      </c>
      <c r="T470" s="15">
        <f>Table5[[#This Row],[Cost of Sales]]-Table5[[#This Row],[Standard cost]]</f>
        <v>0</v>
      </c>
      <c r="U470" s="15">
        <f>Table5[[#This Row],[Net Sales Revenue]]-Table5[[#This Row],[Cost of Sales]]</f>
        <v>21288.959999999999</v>
      </c>
      <c r="V470" s="17">
        <f>Table5[[#This Row],[GrossProfit]]/Table5[[#This Row],[Net Sales Revenue]]</f>
        <v>0.45652173913043476</v>
      </c>
    </row>
    <row r="471" spans="1:22" ht="14.25" customHeight="1" x14ac:dyDescent="0.25">
      <c r="A471" s="1" t="s">
        <v>547</v>
      </c>
      <c r="B471" s="1" t="s">
        <v>528</v>
      </c>
      <c r="C471" s="1" t="s">
        <v>48</v>
      </c>
      <c r="D471" s="1" t="s">
        <v>10</v>
      </c>
      <c r="E471" s="1" t="s">
        <v>8</v>
      </c>
      <c r="F471" s="1">
        <v>1384</v>
      </c>
      <c r="G471" s="14">
        <v>50</v>
      </c>
      <c r="H471" s="1">
        <v>0.06</v>
      </c>
      <c r="I471" s="14">
        <v>65048</v>
      </c>
      <c r="J471" s="14">
        <v>38752</v>
      </c>
      <c r="K471" s="15">
        <f>Table5[[#This Row],[Selling Price]]*Table5[[#This Row],[Units Sold]]</f>
        <v>69200</v>
      </c>
      <c r="L471" t="str">
        <f t="shared" si="7"/>
        <v>2023-11</v>
      </c>
      <c r="M471" t="str">
        <f>VLOOKUP(Table5[[#This Row],[Store ID]],Table4[[Store ID]:[Store Location]],2)</f>
        <v>London Stratford</v>
      </c>
      <c r="N471" t="str">
        <f>VLOOKUP(Table5[[#This Row],[Store ID]],Table4[[Store ID]:[Region]],3)</f>
        <v>South</v>
      </c>
      <c r="O471" t="str">
        <f>VLOOKUP(Table5[[#This Row],[Product ID]],'Product Master'!$A$2:$D$10,4)</f>
        <v>Supplier B</v>
      </c>
      <c r="P471" s="15">
        <f>Table5[[#This Row],[Total Revenue]]-Table5[[#This Row],[Net Sales Revenue]]</f>
        <v>4152</v>
      </c>
      <c r="Q471" s="15">
        <f>Table5[[#This Row],[Net Sales Revenue]]/Table5[[#This Row],[Units Sold]]</f>
        <v>47</v>
      </c>
      <c r="R471">
        <f>VLOOKUP(Table5[[#This Row],[Product ID]],'Product Master'!$A$1:$E$10,5,FALSE)</f>
        <v>28</v>
      </c>
      <c r="S471" s="15">
        <f>Table5[[#This Row],[standard product cost per unit]]*Table5[[#This Row],[Units Sold]]</f>
        <v>38752</v>
      </c>
      <c r="T471" s="15">
        <f>Table5[[#This Row],[Cost of Sales]]-Table5[[#This Row],[Standard cost]]</f>
        <v>0</v>
      </c>
      <c r="U471" s="15">
        <f>Table5[[#This Row],[Net Sales Revenue]]-Table5[[#This Row],[Cost of Sales]]</f>
        <v>26296</v>
      </c>
      <c r="V471" s="17">
        <f>Table5[[#This Row],[GrossProfit]]/Table5[[#This Row],[Net Sales Revenue]]</f>
        <v>0.40425531914893614</v>
      </c>
    </row>
    <row r="472" spans="1:22" ht="14.25" customHeight="1" x14ac:dyDescent="0.25">
      <c r="A472" s="1" t="s">
        <v>548</v>
      </c>
      <c r="B472" s="1" t="s">
        <v>528</v>
      </c>
      <c r="C472" s="1" t="s">
        <v>48</v>
      </c>
      <c r="D472" s="1" t="s">
        <v>13</v>
      </c>
      <c r="E472" s="1" t="s">
        <v>15</v>
      </c>
      <c r="F472" s="1">
        <v>1472</v>
      </c>
      <c r="G472" s="14">
        <v>28</v>
      </c>
      <c r="H472" s="1">
        <v>7.0000000000000007E-2</v>
      </c>
      <c r="I472" s="14">
        <v>38330.879999999997</v>
      </c>
      <c r="J472" s="14">
        <v>22080</v>
      </c>
      <c r="K472" s="15">
        <f>Table5[[#This Row],[Selling Price]]*Table5[[#This Row],[Units Sold]]</f>
        <v>41216</v>
      </c>
      <c r="L472" t="str">
        <f t="shared" si="7"/>
        <v>2023-11</v>
      </c>
      <c r="M472" t="str">
        <f>VLOOKUP(Table5[[#This Row],[Store ID]],Table4[[Store ID]:[Store Location]],2)</f>
        <v>London Stratford</v>
      </c>
      <c r="N472" t="str">
        <f>VLOOKUP(Table5[[#This Row],[Store ID]],Table4[[Store ID]:[Region]],3)</f>
        <v>South</v>
      </c>
      <c r="O472" t="str">
        <f>VLOOKUP(Table5[[#This Row],[Product ID]],'Product Master'!$A$2:$D$10,4)</f>
        <v>Supplier C</v>
      </c>
      <c r="P472" s="15">
        <f>Table5[[#This Row],[Total Revenue]]-Table5[[#This Row],[Net Sales Revenue]]</f>
        <v>2885.1200000000026</v>
      </c>
      <c r="Q472" s="15">
        <f>Table5[[#This Row],[Net Sales Revenue]]/Table5[[#This Row],[Units Sold]]</f>
        <v>26.04</v>
      </c>
      <c r="R472">
        <f>VLOOKUP(Table5[[#This Row],[Product ID]],'Product Master'!$A$1:$E$10,5,FALSE)</f>
        <v>15</v>
      </c>
      <c r="S472" s="15">
        <f>Table5[[#This Row],[standard product cost per unit]]*Table5[[#This Row],[Units Sold]]</f>
        <v>22080</v>
      </c>
      <c r="T472" s="15">
        <f>Table5[[#This Row],[Cost of Sales]]-Table5[[#This Row],[Standard cost]]</f>
        <v>0</v>
      </c>
      <c r="U472" s="15">
        <f>Table5[[#This Row],[Net Sales Revenue]]-Table5[[#This Row],[Cost of Sales]]</f>
        <v>16250.879999999997</v>
      </c>
      <c r="V472" s="17">
        <f>Table5[[#This Row],[GrossProfit]]/Table5[[#This Row],[Net Sales Revenue]]</f>
        <v>0.42396313364055294</v>
      </c>
    </row>
    <row r="473" spans="1:22" ht="14.25" customHeight="1" x14ac:dyDescent="0.25">
      <c r="A473" s="1" t="s">
        <v>549</v>
      </c>
      <c r="B473" s="1" t="s">
        <v>528</v>
      </c>
      <c r="C473" s="1" t="s">
        <v>48</v>
      </c>
      <c r="D473" s="1" t="s">
        <v>17</v>
      </c>
      <c r="E473" s="1" t="s">
        <v>15</v>
      </c>
      <c r="F473" s="1">
        <v>2656</v>
      </c>
      <c r="G473" s="14">
        <v>35</v>
      </c>
      <c r="H473" s="1">
        <v>7.0000000000000007E-2</v>
      </c>
      <c r="I473" s="14">
        <v>86452.800000000003</v>
      </c>
      <c r="J473" s="14">
        <v>47808</v>
      </c>
      <c r="K473" s="15">
        <f>Table5[[#This Row],[Selling Price]]*Table5[[#This Row],[Units Sold]]</f>
        <v>92960</v>
      </c>
      <c r="L473" t="str">
        <f t="shared" si="7"/>
        <v>2023-11</v>
      </c>
      <c r="M473" t="str">
        <f>VLOOKUP(Table5[[#This Row],[Store ID]],Table4[[Store ID]:[Store Location]],2)</f>
        <v>London Stratford</v>
      </c>
      <c r="N473" t="str">
        <f>VLOOKUP(Table5[[#This Row],[Store ID]],Table4[[Store ID]:[Region]],3)</f>
        <v>South</v>
      </c>
      <c r="O473" t="str">
        <f>VLOOKUP(Table5[[#This Row],[Product ID]],'Product Master'!$A$2:$D$10,4)</f>
        <v>Supplier C</v>
      </c>
      <c r="P473" s="15">
        <f>Table5[[#This Row],[Total Revenue]]-Table5[[#This Row],[Net Sales Revenue]]</f>
        <v>6507.1999999999971</v>
      </c>
      <c r="Q473" s="15">
        <f>Table5[[#This Row],[Net Sales Revenue]]/Table5[[#This Row],[Units Sold]]</f>
        <v>32.550000000000004</v>
      </c>
      <c r="R473">
        <f>VLOOKUP(Table5[[#This Row],[Product ID]],'Product Master'!$A$1:$E$10,5,FALSE)</f>
        <v>18</v>
      </c>
      <c r="S473" s="15">
        <f>Table5[[#This Row],[standard product cost per unit]]*Table5[[#This Row],[Units Sold]]</f>
        <v>47808</v>
      </c>
      <c r="T473" s="15">
        <f>Table5[[#This Row],[Cost of Sales]]-Table5[[#This Row],[Standard cost]]</f>
        <v>0</v>
      </c>
      <c r="U473" s="15">
        <f>Table5[[#This Row],[Net Sales Revenue]]-Table5[[#This Row],[Cost of Sales]]</f>
        <v>38644.800000000003</v>
      </c>
      <c r="V473" s="17">
        <f>Table5[[#This Row],[GrossProfit]]/Table5[[#This Row],[Net Sales Revenue]]</f>
        <v>0.44700460829493088</v>
      </c>
    </row>
    <row r="474" spans="1:22" ht="14.25" customHeight="1" x14ac:dyDescent="0.25">
      <c r="A474" s="1" t="s">
        <v>550</v>
      </c>
      <c r="B474" s="1" t="s">
        <v>528</v>
      </c>
      <c r="C474" s="1" t="s">
        <v>48</v>
      </c>
      <c r="D474" s="1" t="s">
        <v>19</v>
      </c>
      <c r="E474" s="1" t="s">
        <v>21</v>
      </c>
      <c r="F474" s="1">
        <v>2072</v>
      </c>
      <c r="G474" s="14">
        <v>18</v>
      </c>
      <c r="H474" s="1">
        <v>0.06</v>
      </c>
      <c r="I474" s="14">
        <v>35058.239999999998</v>
      </c>
      <c r="J474" s="14">
        <v>18648</v>
      </c>
      <c r="K474" s="15">
        <f>Table5[[#This Row],[Selling Price]]*Table5[[#This Row],[Units Sold]]</f>
        <v>37296</v>
      </c>
      <c r="L474" t="str">
        <f t="shared" si="7"/>
        <v>2023-11</v>
      </c>
      <c r="M474" t="str">
        <f>VLOOKUP(Table5[[#This Row],[Store ID]],Table4[[Store ID]:[Store Location]],2)</f>
        <v>London Stratford</v>
      </c>
      <c r="N474" t="str">
        <f>VLOOKUP(Table5[[#This Row],[Store ID]],Table4[[Store ID]:[Region]],3)</f>
        <v>South</v>
      </c>
      <c r="O474" t="str">
        <f>VLOOKUP(Table5[[#This Row],[Product ID]],'Product Master'!$A$2:$D$10,4)</f>
        <v>Supplier D</v>
      </c>
      <c r="P474" s="15">
        <f>Table5[[#This Row],[Total Revenue]]-Table5[[#This Row],[Net Sales Revenue]]</f>
        <v>2237.760000000002</v>
      </c>
      <c r="Q474" s="15">
        <f>Table5[[#This Row],[Net Sales Revenue]]/Table5[[#This Row],[Units Sold]]</f>
        <v>16.919999999999998</v>
      </c>
      <c r="R474">
        <f>VLOOKUP(Table5[[#This Row],[Product ID]],'Product Master'!$A$1:$E$10,5,FALSE)</f>
        <v>9</v>
      </c>
      <c r="S474" s="15">
        <f>Table5[[#This Row],[standard product cost per unit]]*Table5[[#This Row],[Units Sold]]</f>
        <v>18648</v>
      </c>
      <c r="T474" s="15">
        <f>Table5[[#This Row],[Cost of Sales]]-Table5[[#This Row],[Standard cost]]</f>
        <v>0</v>
      </c>
      <c r="U474" s="15">
        <f>Table5[[#This Row],[Net Sales Revenue]]-Table5[[#This Row],[Cost of Sales]]</f>
        <v>16410.239999999998</v>
      </c>
      <c r="V474" s="17">
        <f>Table5[[#This Row],[GrossProfit]]/Table5[[#This Row],[Net Sales Revenue]]</f>
        <v>0.46808510638297868</v>
      </c>
    </row>
    <row r="475" spans="1:22" ht="14.25" customHeight="1" x14ac:dyDescent="0.25">
      <c r="A475" s="1" t="s">
        <v>551</v>
      </c>
      <c r="B475" s="1" t="s">
        <v>528</v>
      </c>
      <c r="C475" s="1" t="s">
        <v>48</v>
      </c>
      <c r="D475" s="1" t="s">
        <v>23</v>
      </c>
      <c r="E475" s="1" t="s">
        <v>21</v>
      </c>
      <c r="F475" s="1">
        <v>1564</v>
      </c>
      <c r="G475" s="14">
        <v>30</v>
      </c>
      <c r="H475" s="1">
        <v>7.0000000000000007E-2</v>
      </c>
      <c r="I475" s="14">
        <v>43635.6</v>
      </c>
      <c r="J475" s="14">
        <v>21896</v>
      </c>
      <c r="K475" s="15">
        <f>Table5[[#This Row],[Selling Price]]*Table5[[#This Row],[Units Sold]]</f>
        <v>46920</v>
      </c>
      <c r="L475" t="str">
        <f t="shared" si="7"/>
        <v>2023-11</v>
      </c>
      <c r="M475" t="str">
        <f>VLOOKUP(Table5[[#This Row],[Store ID]],Table4[[Store ID]:[Store Location]],2)</f>
        <v>London Stratford</v>
      </c>
      <c r="N475" t="str">
        <f>VLOOKUP(Table5[[#This Row],[Store ID]],Table4[[Store ID]:[Region]],3)</f>
        <v>South</v>
      </c>
      <c r="O475" t="str">
        <f>VLOOKUP(Table5[[#This Row],[Product ID]],'Product Master'!$A$2:$D$10,4)</f>
        <v>Supplier D</v>
      </c>
      <c r="P475" s="15">
        <f>Table5[[#This Row],[Total Revenue]]-Table5[[#This Row],[Net Sales Revenue]]</f>
        <v>3284.4000000000015</v>
      </c>
      <c r="Q475" s="15">
        <f>Table5[[#This Row],[Net Sales Revenue]]/Table5[[#This Row],[Units Sold]]</f>
        <v>27.9</v>
      </c>
      <c r="R475">
        <f>VLOOKUP(Table5[[#This Row],[Product ID]],'Product Master'!$A$1:$E$10,5,FALSE)</f>
        <v>14</v>
      </c>
      <c r="S475" s="15">
        <f>Table5[[#This Row],[standard product cost per unit]]*Table5[[#This Row],[Units Sold]]</f>
        <v>21896</v>
      </c>
      <c r="T475" s="15">
        <f>Table5[[#This Row],[Cost of Sales]]-Table5[[#This Row],[Standard cost]]</f>
        <v>0</v>
      </c>
      <c r="U475" s="15">
        <f>Table5[[#This Row],[Net Sales Revenue]]-Table5[[#This Row],[Cost of Sales]]</f>
        <v>21739.599999999999</v>
      </c>
      <c r="V475" s="17">
        <f>Table5[[#This Row],[GrossProfit]]/Table5[[#This Row],[Net Sales Revenue]]</f>
        <v>0.49820788530465948</v>
      </c>
    </row>
    <row r="476" spans="1:22" ht="14.25" customHeight="1" x14ac:dyDescent="0.25">
      <c r="A476" s="1" t="s">
        <v>552</v>
      </c>
      <c r="B476" s="1" t="s">
        <v>528</v>
      </c>
      <c r="C476" s="1" t="s">
        <v>48</v>
      </c>
      <c r="D476" s="1" t="s">
        <v>25</v>
      </c>
      <c r="E476" s="1" t="s">
        <v>27</v>
      </c>
      <c r="F476" s="1">
        <v>1920</v>
      </c>
      <c r="G476" s="14">
        <v>40</v>
      </c>
      <c r="H476" s="1">
        <v>0.08</v>
      </c>
      <c r="I476" s="14">
        <v>70656</v>
      </c>
      <c r="J476" s="14">
        <v>38400</v>
      </c>
      <c r="K476" s="15">
        <f>Table5[[#This Row],[Selling Price]]*Table5[[#This Row],[Units Sold]]</f>
        <v>76800</v>
      </c>
      <c r="L476" t="str">
        <f t="shared" si="7"/>
        <v>2023-11</v>
      </c>
      <c r="M476" t="str">
        <f>VLOOKUP(Table5[[#This Row],[Store ID]],Table4[[Store ID]:[Store Location]],2)</f>
        <v>London Stratford</v>
      </c>
      <c r="N476" t="str">
        <f>VLOOKUP(Table5[[#This Row],[Store ID]],Table4[[Store ID]:[Region]],3)</f>
        <v>South</v>
      </c>
      <c r="O476" t="str">
        <f>VLOOKUP(Table5[[#This Row],[Product ID]],'Product Master'!$A$2:$D$10,4)</f>
        <v>Supplier E</v>
      </c>
      <c r="P476" s="15">
        <f>Table5[[#This Row],[Total Revenue]]-Table5[[#This Row],[Net Sales Revenue]]</f>
        <v>6144</v>
      </c>
      <c r="Q476" s="15">
        <f>Table5[[#This Row],[Net Sales Revenue]]/Table5[[#This Row],[Units Sold]]</f>
        <v>36.799999999999997</v>
      </c>
      <c r="R476">
        <f>VLOOKUP(Table5[[#This Row],[Product ID]],'Product Master'!$A$1:$E$10,5,FALSE)</f>
        <v>20</v>
      </c>
      <c r="S476" s="15">
        <f>Table5[[#This Row],[standard product cost per unit]]*Table5[[#This Row],[Units Sold]]</f>
        <v>38400</v>
      </c>
      <c r="T476" s="15">
        <f>Table5[[#This Row],[Cost of Sales]]-Table5[[#This Row],[Standard cost]]</f>
        <v>0</v>
      </c>
      <c r="U476" s="15">
        <f>Table5[[#This Row],[Net Sales Revenue]]-Table5[[#This Row],[Cost of Sales]]</f>
        <v>32256</v>
      </c>
      <c r="V476" s="17">
        <f>Table5[[#This Row],[GrossProfit]]/Table5[[#This Row],[Net Sales Revenue]]</f>
        <v>0.45652173913043476</v>
      </c>
    </row>
    <row r="477" spans="1:22" ht="14.25" customHeight="1" x14ac:dyDescent="0.25">
      <c r="A477" s="1" t="s">
        <v>553</v>
      </c>
      <c r="B477" s="1" t="s">
        <v>528</v>
      </c>
      <c r="C477" s="1" t="s">
        <v>48</v>
      </c>
      <c r="D477" s="1" t="s">
        <v>29</v>
      </c>
      <c r="E477" s="1" t="s">
        <v>31</v>
      </c>
      <c r="F477" s="1">
        <v>2676</v>
      </c>
      <c r="G477" s="14">
        <v>10</v>
      </c>
      <c r="H477" s="1">
        <v>0.08</v>
      </c>
      <c r="I477" s="14">
        <v>24619.200000000001</v>
      </c>
      <c r="J477" s="14">
        <v>10704</v>
      </c>
      <c r="K477" s="15">
        <f>Table5[[#This Row],[Selling Price]]*Table5[[#This Row],[Units Sold]]</f>
        <v>26760</v>
      </c>
      <c r="L477" t="str">
        <f t="shared" si="7"/>
        <v>2023-11</v>
      </c>
      <c r="M477" t="str">
        <f>VLOOKUP(Table5[[#This Row],[Store ID]],Table4[[Store ID]:[Store Location]],2)</f>
        <v>London Stratford</v>
      </c>
      <c r="N477" t="str">
        <f>VLOOKUP(Table5[[#This Row],[Store ID]],Table4[[Store ID]:[Region]],3)</f>
        <v>South</v>
      </c>
      <c r="O477" t="str">
        <f>VLOOKUP(Table5[[#This Row],[Product ID]],'Product Master'!$A$2:$D$10,4)</f>
        <v>Supplier F</v>
      </c>
      <c r="P477" s="15">
        <f>Table5[[#This Row],[Total Revenue]]-Table5[[#This Row],[Net Sales Revenue]]</f>
        <v>2140.7999999999993</v>
      </c>
      <c r="Q477" s="15">
        <f>Table5[[#This Row],[Net Sales Revenue]]/Table5[[#This Row],[Units Sold]]</f>
        <v>9.2000000000000011</v>
      </c>
      <c r="R477">
        <f>VLOOKUP(Table5[[#This Row],[Product ID]],'Product Master'!$A$1:$E$10,5,FALSE)</f>
        <v>4</v>
      </c>
      <c r="S477" s="15">
        <f>Table5[[#This Row],[standard product cost per unit]]*Table5[[#This Row],[Units Sold]]</f>
        <v>10704</v>
      </c>
      <c r="T477" s="15">
        <f>Table5[[#This Row],[Cost of Sales]]-Table5[[#This Row],[Standard cost]]</f>
        <v>0</v>
      </c>
      <c r="U477" s="15">
        <f>Table5[[#This Row],[Net Sales Revenue]]-Table5[[#This Row],[Cost of Sales]]</f>
        <v>13915.2</v>
      </c>
      <c r="V477" s="17">
        <f>Table5[[#This Row],[GrossProfit]]/Table5[[#This Row],[Net Sales Revenue]]</f>
        <v>0.56521739130434789</v>
      </c>
    </row>
    <row r="478" spans="1:22" ht="14.25" customHeight="1" x14ac:dyDescent="0.25">
      <c r="A478" s="1" t="s">
        <v>554</v>
      </c>
      <c r="B478" s="1" t="s">
        <v>528</v>
      </c>
      <c r="C478" s="1" t="s">
        <v>48</v>
      </c>
      <c r="D478" s="1" t="s">
        <v>33</v>
      </c>
      <c r="E478" s="1" t="s">
        <v>31</v>
      </c>
      <c r="F478" s="1">
        <v>1928</v>
      </c>
      <c r="G478" s="14">
        <v>22</v>
      </c>
      <c r="H478" s="1">
        <v>0.06</v>
      </c>
      <c r="I478" s="14">
        <v>39871.040000000001</v>
      </c>
      <c r="J478" s="14">
        <v>19280</v>
      </c>
      <c r="K478" s="15">
        <f>Table5[[#This Row],[Selling Price]]*Table5[[#This Row],[Units Sold]]</f>
        <v>42416</v>
      </c>
      <c r="L478" t="str">
        <f t="shared" si="7"/>
        <v>2023-11</v>
      </c>
      <c r="M478" t="str">
        <f>VLOOKUP(Table5[[#This Row],[Store ID]],Table4[[Store ID]:[Store Location]],2)</f>
        <v>London Stratford</v>
      </c>
      <c r="N478" t="str">
        <f>VLOOKUP(Table5[[#This Row],[Store ID]],Table4[[Store ID]:[Region]],3)</f>
        <v>South</v>
      </c>
      <c r="O478" t="str">
        <f>VLOOKUP(Table5[[#This Row],[Product ID]],'Product Master'!$A$2:$D$10,4)</f>
        <v>Supplier F</v>
      </c>
      <c r="P478" s="15">
        <f>Table5[[#This Row],[Total Revenue]]-Table5[[#This Row],[Net Sales Revenue]]</f>
        <v>2544.9599999999991</v>
      </c>
      <c r="Q478" s="15">
        <f>Table5[[#This Row],[Net Sales Revenue]]/Table5[[#This Row],[Units Sold]]</f>
        <v>20.68</v>
      </c>
      <c r="R478">
        <f>VLOOKUP(Table5[[#This Row],[Product ID]],'Product Master'!$A$1:$E$10,5,FALSE)</f>
        <v>10</v>
      </c>
      <c r="S478" s="15">
        <f>Table5[[#This Row],[standard product cost per unit]]*Table5[[#This Row],[Units Sold]]</f>
        <v>19280</v>
      </c>
      <c r="T478" s="15">
        <f>Table5[[#This Row],[Cost of Sales]]-Table5[[#This Row],[Standard cost]]</f>
        <v>0</v>
      </c>
      <c r="U478" s="15">
        <f>Table5[[#This Row],[Net Sales Revenue]]-Table5[[#This Row],[Cost of Sales]]</f>
        <v>20591.04</v>
      </c>
      <c r="V478" s="17">
        <f>Table5[[#This Row],[GrossProfit]]/Table5[[#This Row],[Net Sales Revenue]]</f>
        <v>0.51644100580270791</v>
      </c>
    </row>
    <row r="479" spans="1:22" ht="14.25" customHeight="1" x14ac:dyDescent="0.25">
      <c r="A479" s="1" t="s">
        <v>555</v>
      </c>
      <c r="B479" s="1" t="s">
        <v>528</v>
      </c>
      <c r="C479" s="1" t="s">
        <v>52</v>
      </c>
      <c r="D479" s="1" t="s">
        <v>6</v>
      </c>
      <c r="E479" s="1" t="s">
        <v>8</v>
      </c>
      <c r="F479" s="1">
        <v>2484</v>
      </c>
      <c r="G479" s="14">
        <v>24</v>
      </c>
      <c r="H479" s="1">
        <v>0.05</v>
      </c>
      <c r="I479" s="14">
        <v>56635.199999999997</v>
      </c>
      <c r="J479" s="14">
        <v>29808</v>
      </c>
      <c r="K479" s="15">
        <f>Table5[[#This Row],[Selling Price]]*Table5[[#This Row],[Units Sold]]</f>
        <v>59616</v>
      </c>
      <c r="L479" t="str">
        <f t="shared" si="7"/>
        <v>2023-11</v>
      </c>
      <c r="M479" t="str">
        <f>VLOOKUP(Table5[[#This Row],[Store ID]],Table4[[Store ID]:[Store Location]],2)</f>
        <v>Glasgow</v>
      </c>
      <c r="N479" t="str">
        <f>VLOOKUP(Table5[[#This Row],[Store ID]],Table4[[Store ID]:[Region]],3)</f>
        <v>Scotland</v>
      </c>
      <c r="O479" t="str">
        <f>VLOOKUP(Table5[[#This Row],[Product ID]],'Product Master'!$A$2:$D$10,4)</f>
        <v>Supplier A</v>
      </c>
      <c r="P479" s="15">
        <f>Table5[[#This Row],[Total Revenue]]-Table5[[#This Row],[Net Sales Revenue]]</f>
        <v>2980.8000000000029</v>
      </c>
      <c r="Q479" s="15">
        <f>Table5[[#This Row],[Net Sales Revenue]]/Table5[[#This Row],[Units Sold]]</f>
        <v>22.799999999999997</v>
      </c>
      <c r="R479">
        <f>VLOOKUP(Table5[[#This Row],[Product ID]],'Product Master'!$A$1:$E$10,5,FALSE)</f>
        <v>12</v>
      </c>
      <c r="S479" s="15">
        <f>Table5[[#This Row],[standard product cost per unit]]*Table5[[#This Row],[Units Sold]]</f>
        <v>29808</v>
      </c>
      <c r="T479" s="15">
        <f>Table5[[#This Row],[Cost of Sales]]-Table5[[#This Row],[Standard cost]]</f>
        <v>0</v>
      </c>
      <c r="U479" s="15">
        <f>Table5[[#This Row],[Net Sales Revenue]]-Table5[[#This Row],[Cost of Sales]]</f>
        <v>26827.199999999997</v>
      </c>
      <c r="V479" s="17">
        <f>Table5[[#This Row],[GrossProfit]]/Table5[[#This Row],[Net Sales Revenue]]</f>
        <v>0.47368421052631576</v>
      </c>
    </row>
    <row r="480" spans="1:22" ht="14.25" customHeight="1" x14ac:dyDescent="0.25">
      <c r="A480" s="1" t="s">
        <v>556</v>
      </c>
      <c r="B480" s="1" t="s">
        <v>528</v>
      </c>
      <c r="C480" s="1" t="s">
        <v>52</v>
      </c>
      <c r="D480" s="1" t="s">
        <v>10</v>
      </c>
      <c r="E480" s="1" t="s">
        <v>8</v>
      </c>
      <c r="F480" s="1">
        <v>2120</v>
      </c>
      <c r="G480" s="14">
        <v>50</v>
      </c>
      <c r="H480" s="1">
        <v>0.06</v>
      </c>
      <c r="I480" s="14">
        <v>99640</v>
      </c>
      <c r="J480" s="14">
        <v>59360</v>
      </c>
      <c r="K480" s="15">
        <f>Table5[[#This Row],[Selling Price]]*Table5[[#This Row],[Units Sold]]</f>
        <v>106000</v>
      </c>
      <c r="L480" t="str">
        <f t="shared" si="7"/>
        <v>2023-11</v>
      </c>
      <c r="M480" t="str">
        <f>VLOOKUP(Table5[[#This Row],[Store ID]],Table4[[Store ID]:[Store Location]],2)</f>
        <v>Glasgow</v>
      </c>
      <c r="N480" t="str">
        <f>VLOOKUP(Table5[[#This Row],[Store ID]],Table4[[Store ID]:[Region]],3)</f>
        <v>Scotland</v>
      </c>
      <c r="O480" t="str">
        <f>VLOOKUP(Table5[[#This Row],[Product ID]],'Product Master'!$A$2:$D$10,4)</f>
        <v>Supplier B</v>
      </c>
      <c r="P480" s="15">
        <f>Table5[[#This Row],[Total Revenue]]-Table5[[#This Row],[Net Sales Revenue]]</f>
        <v>6360</v>
      </c>
      <c r="Q480" s="15">
        <f>Table5[[#This Row],[Net Sales Revenue]]/Table5[[#This Row],[Units Sold]]</f>
        <v>47</v>
      </c>
      <c r="R480">
        <f>VLOOKUP(Table5[[#This Row],[Product ID]],'Product Master'!$A$1:$E$10,5,FALSE)</f>
        <v>28</v>
      </c>
      <c r="S480" s="15">
        <f>Table5[[#This Row],[standard product cost per unit]]*Table5[[#This Row],[Units Sold]]</f>
        <v>59360</v>
      </c>
      <c r="T480" s="15">
        <f>Table5[[#This Row],[Cost of Sales]]-Table5[[#This Row],[Standard cost]]</f>
        <v>0</v>
      </c>
      <c r="U480" s="15">
        <f>Table5[[#This Row],[Net Sales Revenue]]-Table5[[#This Row],[Cost of Sales]]</f>
        <v>40280</v>
      </c>
      <c r="V480" s="17">
        <f>Table5[[#This Row],[GrossProfit]]/Table5[[#This Row],[Net Sales Revenue]]</f>
        <v>0.40425531914893614</v>
      </c>
    </row>
    <row r="481" spans="1:22" ht="14.25" customHeight="1" x14ac:dyDescent="0.25">
      <c r="A481" s="1" t="s">
        <v>557</v>
      </c>
      <c r="B481" s="1" t="s">
        <v>528</v>
      </c>
      <c r="C481" s="1" t="s">
        <v>52</v>
      </c>
      <c r="D481" s="1" t="s">
        <v>13</v>
      </c>
      <c r="E481" s="1" t="s">
        <v>15</v>
      </c>
      <c r="F481" s="1">
        <v>2192</v>
      </c>
      <c r="G481" s="14">
        <v>28</v>
      </c>
      <c r="H481" s="1">
        <v>0.05</v>
      </c>
      <c r="I481" s="14">
        <v>58307.199999999997</v>
      </c>
      <c r="J481" s="14">
        <v>32880</v>
      </c>
      <c r="K481" s="15">
        <f>Table5[[#This Row],[Selling Price]]*Table5[[#This Row],[Units Sold]]</f>
        <v>61376</v>
      </c>
      <c r="L481" t="str">
        <f t="shared" si="7"/>
        <v>2023-11</v>
      </c>
      <c r="M481" t="str">
        <f>VLOOKUP(Table5[[#This Row],[Store ID]],Table4[[Store ID]:[Store Location]],2)</f>
        <v>Glasgow</v>
      </c>
      <c r="N481" t="str">
        <f>VLOOKUP(Table5[[#This Row],[Store ID]],Table4[[Store ID]:[Region]],3)</f>
        <v>Scotland</v>
      </c>
      <c r="O481" t="str">
        <f>VLOOKUP(Table5[[#This Row],[Product ID]],'Product Master'!$A$2:$D$10,4)</f>
        <v>Supplier C</v>
      </c>
      <c r="P481" s="15">
        <f>Table5[[#This Row],[Total Revenue]]-Table5[[#This Row],[Net Sales Revenue]]</f>
        <v>3068.8000000000029</v>
      </c>
      <c r="Q481" s="15">
        <f>Table5[[#This Row],[Net Sales Revenue]]/Table5[[#This Row],[Units Sold]]</f>
        <v>26.599999999999998</v>
      </c>
      <c r="R481">
        <f>VLOOKUP(Table5[[#This Row],[Product ID]],'Product Master'!$A$1:$E$10,5,FALSE)</f>
        <v>15</v>
      </c>
      <c r="S481" s="15">
        <f>Table5[[#This Row],[standard product cost per unit]]*Table5[[#This Row],[Units Sold]]</f>
        <v>32880</v>
      </c>
      <c r="T481" s="15">
        <f>Table5[[#This Row],[Cost of Sales]]-Table5[[#This Row],[Standard cost]]</f>
        <v>0</v>
      </c>
      <c r="U481" s="15">
        <f>Table5[[#This Row],[Net Sales Revenue]]-Table5[[#This Row],[Cost of Sales]]</f>
        <v>25427.199999999997</v>
      </c>
      <c r="V481" s="17">
        <f>Table5[[#This Row],[GrossProfit]]/Table5[[#This Row],[Net Sales Revenue]]</f>
        <v>0.43609022556390975</v>
      </c>
    </row>
    <row r="482" spans="1:22" ht="14.25" customHeight="1" x14ac:dyDescent="0.25">
      <c r="A482" s="1" t="s">
        <v>558</v>
      </c>
      <c r="B482" s="1" t="s">
        <v>528</v>
      </c>
      <c r="C482" s="1" t="s">
        <v>52</v>
      </c>
      <c r="D482" s="1" t="s">
        <v>17</v>
      </c>
      <c r="E482" s="1" t="s">
        <v>15</v>
      </c>
      <c r="F482" s="1">
        <v>1788</v>
      </c>
      <c r="G482" s="14">
        <v>35</v>
      </c>
      <c r="H482" s="1">
        <v>0.09</v>
      </c>
      <c r="I482" s="14">
        <v>56947.8</v>
      </c>
      <c r="J482" s="14">
        <v>32184</v>
      </c>
      <c r="K482" s="15">
        <f>Table5[[#This Row],[Selling Price]]*Table5[[#This Row],[Units Sold]]</f>
        <v>62580</v>
      </c>
      <c r="L482" t="str">
        <f t="shared" si="7"/>
        <v>2023-11</v>
      </c>
      <c r="M482" t="str">
        <f>VLOOKUP(Table5[[#This Row],[Store ID]],Table4[[Store ID]:[Store Location]],2)</f>
        <v>Glasgow</v>
      </c>
      <c r="N482" t="str">
        <f>VLOOKUP(Table5[[#This Row],[Store ID]],Table4[[Store ID]:[Region]],3)</f>
        <v>Scotland</v>
      </c>
      <c r="O482" t="str">
        <f>VLOOKUP(Table5[[#This Row],[Product ID]],'Product Master'!$A$2:$D$10,4)</f>
        <v>Supplier C</v>
      </c>
      <c r="P482" s="15">
        <f>Table5[[#This Row],[Total Revenue]]-Table5[[#This Row],[Net Sales Revenue]]</f>
        <v>5632.1999999999971</v>
      </c>
      <c r="Q482" s="15">
        <f>Table5[[#This Row],[Net Sales Revenue]]/Table5[[#This Row],[Units Sold]]</f>
        <v>31.85</v>
      </c>
      <c r="R482">
        <f>VLOOKUP(Table5[[#This Row],[Product ID]],'Product Master'!$A$1:$E$10,5,FALSE)</f>
        <v>18</v>
      </c>
      <c r="S482" s="15">
        <f>Table5[[#This Row],[standard product cost per unit]]*Table5[[#This Row],[Units Sold]]</f>
        <v>32184</v>
      </c>
      <c r="T482" s="15">
        <f>Table5[[#This Row],[Cost of Sales]]-Table5[[#This Row],[Standard cost]]</f>
        <v>0</v>
      </c>
      <c r="U482" s="15">
        <f>Table5[[#This Row],[Net Sales Revenue]]-Table5[[#This Row],[Cost of Sales]]</f>
        <v>24763.800000000003</v>
      </c>
      <c r="V482" s="17">
        <f>Table5[[#This Row],[GrossProfit]]/Table5[[#This Row],[Net Sales Revenue]]</f>
        <v>0.43485086342229201</v>
      </c>
    </row>
    <row r="483" spans="1:22" ht="14.25" customHeight="1" x14ac:dyDescent="0.25">
      <c r="A483" s="1" t="s">
        <v>559</v>
      </c>
      <c r="B483" s="1" t="s">
        <v>528</v>
      </c>
      <c r="C483" s="1" t="s">
        <v>52</v>
      </c>
      <c r="D483" s="1" t="s">
        <v>19</v>
      </c>
      <c r="E483" s="1" t="s">
        <v>21</v>
      </c>
      <c r="F483" s="1">
        <v>1444</v>
      </c>
      <c r="G483" s="14">
        <v>18</v>
      </c>
      <c r="H483" s="1">
        <v>7.0000000000000007E-2</v>
      </c>
      <c r="I483" s="14">
        <v>24172.560000000001</v>
      </c>
      <c r="J483" s="14">
        <v>12996</v>
      </c>
      <c r="K483" s="15">
        <f>Table5[[#This Row],[Selling Price]]*Table5[[#This Row],[Units Sold]]</f>
        <v>25992</v>
      </c>
      <c r="L483" t="str">
        <f t="shared" si="7"/>
        <v>2023-11</v>
      </c>
      <c r="M483" t="str">
        <f>VLOOKUP(Table5[[#This Row],[Store ID]],Table4[[Store ID]:[Store Location]],2)</f>
        <v>Glasgow</v>
      </c>
      <c r="N483" t="str">
        <f>VLOOKUP(Table5[[#This Row],[Store ID]],Table4[[Store ID]:[Region]],3)</f>
        <v>Scotland</v>
      </c>
      <c r="O483" t="str">
        <f>VLOOKUP(Table5[[#This Row],[Product ID]],'Product Master'!$A$2:$D$10,4)</f>
        <v>Supplier D</v>
      </c>
      <c r="P483" s="15">
        <f>Table5[[#This Row],[Total Revenue]]-Table5[[#This Row],[Net Sales Revenue]]</f>
        <v>1819.4399999999987</v>
      </c>
      <c r="Q483" s="15">
        <f>Table5[[#This Row],[Net Sales Revenue]]/Table5[[#This Row],[Units Sold]]</f>
        <v>16.740000000000002</v>
      </c>
      <c r="R483">
        <f>VLOOKUP(Table5[[#This Row],[Product ID]],'Product Master'!$A$1:$E$10,5,FALSE)</f>
        <v>9</v>
      </c>
      <c r="S483" s="15">
        <f>Table5[[#This Row],[standard product cost per unit]]*Table5[[#This Row],[Units Sold]]</f>
        <v>12996</v>
      </c>
      <c r="T483" s="15">
        <f>Table5[[#This Row],[Cost of Sales]]-Table5[[#This Row],[Standard cost]]</f>
        <v>0</v>
      </c>
      <c r="U483" s="15">
        <f>Table5[[#This Row],[Net Sales Revenue]]-Table5[[#This Row],[Cost of Sales]]</f>
        <v>11176.560000000001</v>
      </c>
      <c r="V483" s="17">
        <f>Table5[[#This Row],[GrossProfit]]/Table5[[#This Row],[Net Sales Revenue]]</f>
        <v>0.4623655913978495</v>
      </c>
    </row>
    <row r="484" spans="1:22" ht="14.25" customHeight="1" x14ac:dyDescent="0.25">
      <c r="A484" s="1" t="s">
        <v>560</v>
      </c>
      <c r="B484" s="1" t="s">
        <v>528</v>
      </c>
      <c r="C484" s="1" t="s">
        <v>52</v>
      </c>
      <c r="D484" s="1" t="s">
        <v>23</v>
      </c>
      <c r="E484" s="1" t="s">
        <v>21</v>
      </c>
      <c r="F484" s="1">
        <v>1844</v>
      </c>
      <c r="G484" s="14">
        <v>30</v>
      </c>
      <c r="H484" s="1">
        <v>0.09</v>
      </c>
      <c r="I484" s="14">
        <v>50341.2</v>
      </c>
      <c r="J484" s="14">
        <v>25816</v>
      </c>
      <c r="K484" s="15">
        <f>Table5[[#This Row],[Selling Price]]*Table5[[#This Row],[Units Sold]]</f>
        <v>55320</v>
      </c>
      <c r="L484" t="str">
        <f t="shared" si="7"/>
        <v>2023-11</v>
      </c>
      <c r="M484" t="str">
        <f>VLOOKUP(Table5[[#This Row],[Store ID]],Table4[[Store ID]:[Store Location]],2)</f>
        <v>Glasgow</v>
      </c>
      <c r="N484" t="str">
        <f>VLOOKUP(Table5[[#This Row],[Store ID]],Table4[[Store ID]:[Region]],3)</f>
        <v>Scotland</v>
      </c>
      <c r="O484" t="str">
        <f>VLOOKUP(Table5[[#This Row],[Product ID]],'Product Master'!$A$2:$D$10,4)</f>
        <v>Supplier D</v>
      </c>
      <c r="P484" s="15">
        <f>Table5[[#This Row],[Total Revenue]]-Table5[[#This Row],[Net Sales Revenue]]</f>
        <v>4978.8000000000029</v>
      </c>
      <c r="Q484" s="15">
        <f>Table5[[#This Row],[Net Sales Revenue]]/Table5[[#This Row],[Units Sold]]</f>
        <v>27.299999999999997</v>
      </c>
      <c r="R484">
        <f>VLOOKUP(Table5[[#This Row],[Product ID]],'Product Master'!$A$1:$E$10,5,FALSE)</f>
        <v>14</v>
      </c>
      <c r="S484" s="15">
        <f>Table5[[#This Row],[standard product cost per unit]]*Table5[[#This Row],[Units Sold]]</f>
        <v>25816</v>
      </c>
      <c r="T484" s="15">
        <f>Table5[[#This Row],[Cost of Sales]]-Table5[[#This Row],[Standard cost]]</f>
        <v>0</v>
      </c>
      <c r="U484" s="15">
        <f>Table5[[#This Row],[Net Sales Revenue]]-Table5[[#This Row],[Cost of Sales]]</f>
        <v>24525.199999999997</v>
      </c>
      <c r="V484" s="17">
        <f>Table5[[#This Row],[GrossProfit]]/Table5[[#This Row],[Net Sales Revenue]]</f>
        <v>0.48717948717948717</v>
      </c>
    </row>
    <row r="485" spans="1:22" ht="14.25" customHeight="1" x14ac:dyDescent="0.25">
      <c r="A485" s="1" t="s">
        <v>561</v>
      </c>
      <c r="B485" s="1" t="s">
        <v>528</v>
      </c>
      <c r="C485" s="1" t="s">
        <v>52</v>
      </c>
      <c r="D485" s="1" t="s">
        <v>25</v>
      </c>
      <c r="E485" s="1" t="s">
        <v>27</v>
      </c>
      <c r="F485" s="1">
        <v>1372</v>
      </c>
      <c r="G485" s="14">
        <v>40</v>
      </c>
      <c r="H485" s="1">
        <v>0.06</v>
      </c>
      <c r="I485" s="14">
        <v>51587.199999999997</v>
      </c>
      <c r="J485" s="14">
        <v>27440</v>
      </c>
      <c r="K485" s="15">
        <f>Table5[[#This Row],[Selling Price]]*Table5[[#This Row],[Units Sold]]</f>
        <v>54880</v>
      </c>
      <c r="L485" t="str">
        <f t="shared" si="7"/>
        <v>2023-11</v>
      </c>
      <c r="M485" t="str">
        <f>VLOOKUP(Table5[[#This Row],[Store ID]],Table4[[Store ID]:[Store Location]],2)</f>
        <v>Glasgow</v>
      </c>
      <c r="N485" t="str">
        <f>VLOOKUP(Table5[[#This Row],[Store ID]],Table4[[Store ID]:[Region]],3)</f>
        <v>Scotland</v>
      </c>
      <c r="O485" t="str">
        <f>VLOOKUP(Table5[[#This Row],[Product ID]],'Product Master'!$A$2:$D$10,4)</f>
        <v>Supplier E</v>
      </c>
      <c r="P485" s="15">
        <f>Table5[[#This Row],[Total Revenue]]-Table5[[#This Row],[Net Sales Revenue]]</f>
        <v>3292.8000000000029</v>
      </c>
      <c r="Q485" s="15">
        <f>Table5[[#This Row],[Net Sales Revenue]]/Table5[[#This Row],[Units Sold]]</f>
        <v>37.6</v>
      </c>
      <c r="R485">
        <f>VLOOKUP(Table5[[#This Row],[Product ID]],'Product Master'!$A$1:$E$10,5,FALSE)</f>
        <v>20</v>
      </c>
      <c r="S485" s="15">
        <f>Table5[[#This Row],[standard product cost per unit]]*Table5[[#This Row],[Units Sold]]</f>
        <v>27440</v>
      </c>
      <c r="T485" s="15">
        <f>Table5[[#This Row],[Cost of Sales]]-Table5[[#This Row],[Standard cost]]</f>
        <v>0</v>
      </c>
      <c r="U485" s="15">
        <f>Table5[[#This Row],[Net Sales Revenue]]-Table5[[#This Row],[Cost of Sales]]</f>
        <v>24147.199999999997</v>
      </c>
      <c r="V485" s="17">
        <f>Table5[[#This Row],[GrossProfit]]/Table5[[#This Row],[Net Sales Revenue]]</f>
        <v>0.46808510638297868</v>
      </c>
    </row>
    <row r="486" spans="1:22" ht="14.25" customHeight="1" x14ac:dyDescent="0.25">
      <c r="A486" s="1" t="s">
        <v>562</v>
      </c>
      <c r="B486" s="1" t="s">
        <v>528</v>
      </c>
      <c r="C486" s="1" t="s">
        <v>52</v>
      </c>
      <c r="D486" s="1" t="s">
        <v>29</v>
      </c>
      <c r="E486" s="1" t="s">
        <v>31</v>
      </c>
      <c r="F486" s="1">
        <v>1820</v>
      </c>
      <c r="G486" s="14">
        <v>10</v>
      </c>
      <c r="H486" s="1">
        <v>0.08</v>
      </c>
      <c r="I486" s="14">
        <v>16744</v>
      </c>
      <c r="J486" s="14">
        <v>7280</v>
      </c>
      <c r="K486" s="15">
        <f>Table5[[#This Row],[Selling Price]]*Table5[[#This Row],[Units Sold]]</f>
        <v>18200</v>
      </c>
      <c r="L486" t="str">
        <f t="shared" si="7"/>
        <v>2023-11</v>
      </c>
      <c r="M486" t="str">
        <f>VLOOKUP(Table5[[#This Row],[Store ID]],Table4[[Store ID]:[Store Location]],2)</f>
        <v>Glasgow</v>
      </c>
      <c r="N486" t="str">
        <f>VLOOKUP(Table5[[#This Row],[Store ID]],Table4[[Store ID]:[Region]],3)</f>
        <v>Scotland</v>
      </c>
      <c r="O486" t="str">
        <f>VLOOKUP(Table5[[#This Row],[Product ID]],'Product Master'!$A$2:$D$10,4)</f>
        <v>Supplier F</v>
      </c>
      <c r="P486" s="15">
        <f>Table5[[#This Row],[Total Revenue]]-Table5[[#This Row],[Net Sales Revenue]]</f>
        <v>1456</v>
      </c>
      <c r="Q486" s="15">
        <f>Table5[[#This Row],[Net Sales Revenue]]/Table5[[#This Row],[Units Sold]]</f>
        <v>9.1999999999999993</v>
      </c>
      <c r="R486">
        <f>VLOOKUP(Table5[[#This Row],[Product ID]],'Product Master'!$A$1:$E$10,5,FALSE)</f>
        <v>4</v>
      </c>
      <c r="S486" s="15">
        <f>Table5[[#This Row],[standard product cost per unit]]*Table5[[#This Row],[Units Sold]]</f>
        <v>7280</v>
      </c>
      <c r="T486" s="15">
        <f>Table5[[#This Row],[Cost of Sales]]-Table5[[#This Row],[Standard cost]]</f>
        <v>0</v>
      </c>
      <c r="U486" s="15">
        <f>Table5[[#This Row],[Net Sales Revenue]]-Table5[[#This Row],[Cost of Sales]]</f>
        <v>9464</v>
      </c>
      <c r="V486" s="17">
        <f>Table5[[#This Row],[GrossProfit]]/Table5[[#This Row],[Net Sales Revenue]]</f>
        <v>0.56521739130434778</v>
      </c>
    </row>
    <row r="487" spans="1:22" ht="14.25" customHeight="1" x14ac:dyDescent="0.25">
      <c r="A487" s="1" t="s">
        <v>563</v>
      </c>
      <c r="B487" s="1" t="s">
        <v>528</v>
      </c>
      <c r="C487" s="1" t="s">
        <v>52</v>
      </c>
      <c r="D487" s="1" t="s">
        <v>33</v>
      </c>
      <c r="E487" s="1" t="s">
        <v>31</v>
      </c>
      <c r="F487" s="1">
        <v>2656</v>
      </c>
      <c r="G487" s="14">
        <v>22</v>
      </c>
      <c r="H487" s="1">
        <v>0.08</v>
      </c>
      <c r="I487" s="14">
        <v>53757.440000000002</v>
      </c>
      <c r="J487" s="14">
        <v>26560</v>
      </c>
      <c r="K487" s="15">
        <f>Table5[[#This Row],[Selling Price]]*Table5[[#This Row],[Units Sold]]</f>
        <v>58432</v>
      </c>
      <c r="L487" t="str">
        <f t="shared" si="7"/>
        <v>2023-11</v>
      </c>
      <c r="M487" t="str">
        <f>VLOOKUP(Table5[[#This Row],[Store ID]],Table4[[Store ID]:[Store Location]],2)</f>
        <v>Glasgow</v>
      </c>
      <c r="N487" t="str">
        <f>VLOOKUP(Table5[[#This Row],[Store ID]],Table4[[Store ID]:[Region]],3)</f>
        <v>Scotland</v>
      </c>
      <c r="O487" t="str">
        <f>VLOOKUP(Table5[[#This Row],[Product ID]],'Product Master'!$A$2:$D$10,4)</f>
        <v>Supplier F</v>
      </c>
      <c r="P487" s="15">
        <f>Table5[[#This Row],[Total Revenue]]-Table5[[#This Row],[Net Sales Revenue]]</f>
        <v>4674.5599999999977</v>
      </c>
      <c r="Q487" s="15">
        <f>Table5[[#This Row],[Net Sales Revenue]]/Table5[[#This Row],[Units Sold]]</f>
        <v>20.240000000000002</v>
      </c>
      <c r="R487">
        <f>VLOOKUP(Table5[[#This Row],[Product ID]],'Product Master'!$A$1:$E$10,5,FALSE)</f>
        <v>10</v>
      </c>
      <c r="S487" s="15">
        <f>Table5[[#This Row],[standard product cost per unit]]*Table5[[#This Row],[Units Sold]]</f>
        <v>26560</v>
      </c>
      <c r="T487" s="15">
        <f>Table5[[#This Row],[Cost of Sales]]-Table5[[#This Row],[Standard cost]]</f>
        <v>0</v>
      </c>
      <c r="U487" s="15">
        <f>Table5[[#This Row],[Net Sales Revenue]]-Table5[[#This Row],[Cost of Sales]]</f>
        <v>27197.440000000002</v>
      </c>
      <c r="V487" s="17">
        <f>Table5[[#This Row],[GrossProfit]]/Table5[[#This Row],[Net Sales Revenue]]</f>
        <v>0.50592885375494079</v>
      </c>
    </row>
    <row r="488" spans="1:22" ht="14.25" customHeight="1" x14ac:dyDescent="0.25">
      <c r="A488" s="1" t="s">
        <v>564</v>
      </c>
      <c r="B488" s="1" t="s">
        <v>528</v>
      </c>
      <c r="C488" s="1" t="s">
        <v>56</v>
      </c>
      <c r="D488" s="1" t="s">
        <v>6</v>
      </c>
      <c r="E488" s="1" t="s">
        <v>8</v>
      </c>
      <c r="F488" s="1">
        <v>1484</v>
      </c>
      <c r="G488" s="14">
        <v>24</v>
      </c>
      <c r="H488" s="1">
        <v>7.0000000000000007E-2</v>
      </c>
      <c r="I488" s="14">
        <v>33122.879999999997</v>
      </c>
      <c r="J488" s="14">
        <v>17808</v>
      </c>
      <c r="K488" s="15">
        <f>Table5[[#This Row],[Selling Price]]*Table5[[#This Row],[Units Sold]]</f>
        <v>35616</v>
      </c>
      <c r="L488" t="str">
        <f t="shared" si="7"/>
        <v>2023-11</v>
      </c>
      <c r="M488" t="str">
        <f>VLOOKUP(Table5[[#This Row],[Store ID]],Table4[[Store ID]:[Store Location]],2)</f>
        <v>Leeds</v>
      </c>
      <c r="N488" t="str">
        <f>VLOOKUP(Table5[[#This Row],[Store ID]],Table4[[Store ID]:[Region]],3)</f>
        <v>North</v>
      </c>
      <c r="O488" t="str">
        <f>VLOOKUP(Table5[[#This Row],[Product ID]],'Product Master'!$A$2:$D$10,4)</f>
        <v>Supplier A</v>
      </c>
      <c r="P488" s="15">
        <f>Table5[[#This Row],[Total Revenue]]-Table5[[#This Row],[Net Sales Revenue]]</f>
        <v>2493.1200000000026</v>
      </c>
      <c r="Q488" s="15">
        <f>Table5[[#This Row],[Net Sales Revenue]]/Table5[[#This Row],[Units Sold]]</f>
        <v>22.319999999999997</v>
      </c>
      <c r="R488">
        <f>VLOOKUP(Table5[[#This Row],[Product ID]],'Product Master'!$A$1:$E$10,5,FALSE)</f>
        <v>12</v>
      </c>
      <c r="S488" s="15">
        <f>Table5[[#This Row],[standard product cost per unit]]*Table5[[#This Row],[Units Sold]]</f>
        <v>17808</v>
      </c>
      <c r="T488" s="15">
        <f>Table5[[#This Row],[Cost of Sales]]-Table5[[#This Row],[Standard cost]]</f>
        <v>0</v>
      </c>
      <c r="U488" s="15">
        <f>Table5[[#This Row],[Net Sales Revenue]]-Table5[[#This Row],[Cost of Sales]]</f>
        <v>15314.879999999997</v>
      </c>
      <c r="V488" s="17">
        <f>Table5[[#This Row],[GrossProfit]]/Table5[[#This Row],[Net Sales Revenue]]</f>
        <v>0.46236559139784944</v>
      </c>
    </row>
    <row r="489" spans="1:22" ht="14.25" customHeight="1" x14ac:dyDescent="0.25">
      <c r="A489" s="1" t="s">
        <v>565</v>
      </c>
      <c r="B489" s="1" t="s">
        <v>528</v>
      </c>
      <c r="C489" s="1" t="s">
        <v>56</v>
      </c>
      <c r="D489" s="1" t="s">
        <v>10</v>
      </c>
      <c r="E489" s="1" t="s">
        <v>8</v>
      </c>
      <c r="F489" s="1">
        <v>1580</v>
      </c>
      <c r="G489" s="14">
        <v>50</v>
      </c>
      <c r="H489" s="1">
        <v>0.09</v>
      </c>
      <c r="I489" s="14">
        <v>71890</v>
      </c>
      <c r="J489" s="14">
        <v>44240</v>
      </c>
      <c r="K489" s="15">
        <f>Table5[[#This Row],[Selling Price]]*Table5[[#This Row],[Units Sold]]</f>
        <v>79000</v>
      </c>
      <c r="L489" t="str">
        <f t="shared" si="7"/>
        <v>2023-11</v>
      </c>
      <c r="M489" t="str">
        <f>VLOOKUP(Table5[[#This Row],[Store ID]],Table4[[Store ID]:[Store Location]],2)</f>
        <v>Leeds</v>
      </c>
      <c r="N489" t="str">
        <f>VLOOKUP(Table5[[#This Row],[Store ID]],Table4[[Store ID]:[Region]],3)</f>
        <v>North</v>
      </c>
      <c r="O489" t="str">
        <f>VLOOKUP(Table5[[#This Row],[Product ID]],'Product Master'!$A$2:$D$10,4)</f>
        <v>Supplier B</v>
      </c>
      <c r="P489" s="15">
        <f>Table5[[#This Row],[Total Revenue]]-Table5[[#This Row],[Net Sales Revenue]]</f>
        <v>7110</v>
      </c>
      <c r="Q489" s="15">
        <f>Table5[[#This Row],[Net Sales Revenue]]/Table5[[#This Row],[Units Sold]]</f>
        <v>45.5</v>
      </c>
      <c r="R489">
        <f>VLOOKUP(Table5[[#This Row],[Product ID]],'Product Master'!$A$1:$E$10,5,FALSE)</f>
        <v>28</v>
      </c>
      <c r="S489" s="15">
        <f>Table5[[#This Row],[standard product cost per unit]]*Table5[[#This Row],[Units Sold]]</f>
        <v>44240</v>
      </c>
      <c r="T489" s="15">
        <f>Table5[[#This Row],[Cost of Sales]]-Table5[[#This Row],[Standard cost]]</f>
        <v>0</v>
      </c>
      <c r="U489" s="15">
        <f>Table5[[#This Row],[Net Sales Revenue]]-Table5[[#This Row],[Cost of Sales]]</f>
        <v>27650</v>
      </c>
      <c r="V489" s="17">
        <f>Table5[[#This Row],[GrossProfit]]/Table5[[#This Row],[Net Sales Revenue]]</f>
        <v>0.38461538461538464</v>
      </c>
    </row>
    <row r="490" spans="1:22" ht="14.25" customHeight="1" x14ac:dyDescent="0.25">
      <c r="A490" s="1" t="s">
        <v>566</v>
      </c>
      <c r="B490" s="1" t="s">
        <v>528</v>
      </c>
      <c r="C490" s="1" t="s">
        <v>56</v>
      </c>
      <c r="D490" s="1" t="s">
        <v>13</v>
      </c>
      <c r="E490" s="1" t="s">
        <v>15</v>
      </c>
      <c r="F490" s="1">
        <v>1580</v>
      </c>
      <c r="G490" s="14">
        <v>28</v>
      </c>
      <c r="H490" s="1">
        <v>0.05</v>
      </c>
      <c r="I490" s="14">
        <v>42028</v>
      </c>
      <c r="J490" s="14">
        <v>23700</v>
      </c>
      <c r="K490" s="15">
        <f>Table5[[#This Row],[Selling Price]]*Table5[[#This Row],[Units Sold]]</f>
        <v>44240</v>
      </c>
      <c r="L490" t="str">
        <f t="shared" si="7"/>
        <v>2023-11</v>
      </c>
      <c r="M490" t="str">
        <f>VLOOKUP(Table5[[#This Row],[Store ID]],Table4[[Store ID]:[Store Location]],2)</f>
        <v>Leeds</v>
      </c>
      <c r="N490" t="str">
        <f>VLOOKUP(Table5[[#This Row],[Store ID]],Table4[[Store ID]:[Region]],3)</f>
        <v>North</v>
      </c>
      <c r="O490" t="str">
        <f>VLOOKUP(Table5[[#This Row],[Product ID]],'Product Master'!$A$2:$D$10,4)</f>
        <v>Supplier C</v>
      </c>
      <c r="P490" s="15">
        <f>Table5[[#This Row],[Total Revenue]]-Table5[[#This Row],[Net Sales Revenue]]</f>
        <v>2212</v>
      </c>
      <c r="Q490" s="15">
        <f>Table5[[#This Row],[Net Sales Revenue]]/Table5[[#This Row],[Units Sold]]</f>
        <v>26.6</v>
      </c>
      <c r="R490">
        <f>VLOOKUP(Table5[[#This Row],[Product ID]],'Product Master'!$A$1:$E$10,5,FALSE)</f>
        <v>15</v>
      </c>
      <c r="S490" s="15">
        <f>Table5[[#This Row],[standard product cost per unit]]*Table5[[#This Row],[Units Sold]]</f>
        <v>23700</v>
      </c>
      <c r="T490" s="15">
        <f>Table5[[#This Row],[Cost of Sales]]-Table5[[#This Row],[Standard cost]]</f>
        <v>0</v>
      </c>
      <c r="U490" s="15">
        <f>Table5[[#This Row],[Net Sales Revenue]]-Table5[[#This Row],[Cost of Sales]]</f>
        <v>18328</v>
      </c>
      <c r="V490" s="17">
        <f>Table5[[#This Row],[GrossProfit]]/Table5[[#This Row],[Net Sales Revenue]]</f>
        <v>0.43609022556390975</v>
      </c>
    </row>
    <row r="491" spans="1:22" ht="14.25" customHeight="1" x14ac:dyDescent="0.25">
      <c r="A491" s="1" t="s">
        <v>567</v>
      </c>
      <c r="B491" s="1" t="s">
        <v>528</v>
      </c>
      <c r="C491" s="1" t="s">
        <v>56</v>
      </c>
      <c r="D491" s="1" t="s">
        <v>17</v>
      </c>
      <c r="E491" s="1" t="s">
        <v>15</v>
      </c>
      <c r="F491" s="1">
        <v>1860</v>
      </c>
      <c r="G491" s="14">
        <v>35</v>
      </c>
      <c r="H491" s="1">
        <v>0.08</v>
      </c>
      <c r="I491" s="14">
        <v>59892</v>
      </c>
      <c r="J491" s="14">
        <v>33480</v>
      </c>
      <c r="K491" s="15">
        <f>Table5[[#This Row],[Selling Price]]*Table5[[#This Row],[Units Sold]]</f>
        <v>65100</v>
      </c>
      <c r="L491" t="str">
        <f t="shared" si="7"/>
        <v>2023-11</v>
      </c>
      <c r="M491" t="str">
        <f>VLOOKUP(Table5[[#This Row],[Store ID]],Table4[[Store ID]:[Store Location]],2)</f>
        <v>Leeds</v>
      </c>
      <c r="N491" t="str">
        <f>VLOOKUP(Table5[[#This Row],[Store ID]],Table4[[Store ID]:[Region]],3)</f>
        <v>North</v>
      </c>
      <c r="O491" t="str">
        <f>VLOOKUP(Table5[[#This Row],[Product ID]],'Product Master'!$A$2:$D$10,4)</f>
        <v>Supplier C</v>
      </c>
      <c r="P491" s="15">
        <f>Table5[[#This Row],[Total Revenue]]-Table5[[#This Row],[Net Sales Revenue]]</f>
        <v>5208</v>
      </c>
      <c r="Q491" s="15">
        <f>Table5[[#This Row],[Net Sales Revenue]]/Table5[[#This Row],[Units Sold]]</f>
        <v>32.200000000000003</v>
      </c>
      <c r="R491">
        <f>VLOOKUP(Table5[[#This Row],[Product ID]],'Product Master'!$A$1:$E$10,5,FALSE)</f>
        <v>18</v>
      </c>
      <c r="S491" s="15">
        <f>Table5[[#This Row],[standard product cost per unit]]*Table5[[#This Row],[Units Sold]]</f>
        <v>33480</v>
      </c>
      <c r="T491" s="15">
        <f>Table5[[#This Row],[Cost of Sales]]-Table5[[#This Row],[Standard cost]]</f>
        <v>0</v>
      </c>
      <c r="U491" s="15">
        <f>Table5[[#This Row],[Net Sales Revenue]]-Table5[[#This Row],[Cost of Sales]]</f>
        <v>26412</v>
      </c>
      <c r="V491" s="17">
        <f>Table5[[#This Row],[GrossProfit]]/Table5[[#This Row],[Net Sales Revenue]]</f>
        <v>0.44099378881987578</v>
      </c>
    </row>
    <row r="492" spans="1:22" ht="14.25" customHeight="1" x14ac:dyDescent="0.25">
      <c r="A492" s="1" t="s">
        <v>568</v>
      </c>
      <c r="B492" s="1" t="s">
        <v>528</v>
      </c>
      <c r="C492" s="1" t="s">
        <v>56</v>
      </c>
      <c r="D492" s="1" t="s">
        <v>19</v>
      </c>
      <c r="E492" s="1" t="s">
        <v>21</v>
      </c>
      <c r="F492" s="1">
        <v>2396</v>
      </c>
      <c r="G492" s="14">
        <v>18</v>
      </c>
      <c r="H492" s="1">
        <v>7.0000000000000007E-2</v>
      </c>
      <c r="I492" s="14">
        <v>40109.040000000001</v>
      </c>
      <c r="J492" s="14">
        <v>21564</v>
      </c>
      <c r="K492" s="15">
        <f>Table5[[#This Row],[Selling Price]]*Table5[[#This Row],[Units Sold]]</f>
        <v>43128</v>
      </c>
      <c r="L492" t="str">
        <f t="shared" si="7"/>
        <v>2023-11</v>
      </c>
      <c r="M492" t="str">
        <f>VLOOKUP(Table5[[#This Row],[Store ID]],Table4[[Store ID]:[Store Location]],2)</f>
        <v>Leeds</v>
      </c>
      <c r="N492" t="str">
        <f>VLOOKUP(Table5[[#This Row],[Store ID]],Table4[[Store ID]:[Region]],3)</f>
        <v>North</v>
      </c>
      <c r="O492" t="str">
        <f>VLOOKUP(Table5[[#This Row],[Product ID]],'Product Master'!$A$2:$D$10,4)</f>
        <v>Supplier D</v>
      </c>
      <c r="P492" s="15">
        <f>Table5[[#This Row],[Total Revenue]]-Table5[[#This Row],[Net Sales Revenue]]</f>
        <v>3018.9599999999991</v>
      </c>
      <c r="Q492" s="15">
        <f>Table5[[#This Row],[Net Sales Revenue]]/Table5[[#This Row],[Units Sold]]</f>
        <v>16.740000000000002</v>
      </c>
      <c r="R492">
        <f>VLOOKUP(Table5[[#This Row],[Product ID]],'Product Master'!$A$1:$E$10,5,FALSE)</f>
        <v>9</v>
      </c>
      <c r="S492" s="15">
        <f>Table5[[#This Row],[standard product cost per unit]]*Table5[[#This Row],[Units Sold]]</f>
        <v>21564</v>
      </c>
      <c r="T492" s="15">
        <f>Table5[[#This Row],[Cost of Sales]]-Table5[[#This Row],[Standard cost]]</f>
        <v>0</v>
      </c>
      <c r="U492" s="15">
        <f>Table5[[#This Row],[Net Sales Revenue]]-Table5[[#This Row],[Cost of Sales]]</f>
        <v>18545.04</v>
      </c>
      <c r="V492" s="17">
        <f>Table5[[#This Row],[GrossProfit]]/Table5[[#This Row],[Net Sales Revenue]]</f>
        <v>0.4623655913978495</v>
      </c>
    </row>
    <row r="493" spans="1:22" ht="14.25" customHeight="1" x14ac:dyDescent="0.25">
      <c r="A493" s="1" t="s">
        <v>569</v>
      </c>
      <c r="B493" s="1" t="s">
        <v>528</v>
      </c>
      <c r="C493" s="1" t="s">
        <v>56</v>
      </c>
      <c r="D493" s="1" t="s">
        <v>23</v>
      </c>
      <c r="E493" s="1" t="s">
        <v>21</v>
      </c>
      <c r="F493" s="1">
        <v>2744</v>
      </c>
      <c r="G493" s="14">
        <v>30</v>
      </c>
      <c r="H493" s="1">
        <v>0.1</v>
      </c>
      <c r="I493" s="14">
        <v>74088</v>
      </c>
      <c r="J493" s="14">
        <v>38416</v>
      </c>
      <c r="K493" s="15">
        <f>Table5[[#This Row],[Selling Price]]*Table5[[#This Row],[Units Sold]]</f>
        <v>82320</v>
      </c>
      <c r="L493" t="str">
        <f t="shared" si="7"/>
        <v>2023-11</v>
      </c>
      <c r="M493" t="str">
        <f>VLOOKUP(Table5[[#This Row],[Store ID]],Table4[[Store ID]:[Store Location]],2)</f>
        <v>Leeds</v>
      </c>
      <c r="N493" t="str">
        <f>VLOOKUP(Table5[[#This Row],[Store ID]],Table4[[Store ID]:[Region]],3)</f>
        <v>North</v>
      </c>
      <c r="O493" t="str">
        <f>VLOOKUP(Table5[[#This Row],[Product ID]],'Product Master'!$A$2:$D$10,4)</f>
        <v>Supplier D</v>
      </c>
      <c r="P493" s="15">
        <f>Table5[[#This Row],[Total Revenue]]-Table5[[#This Row],[Net Sales Revenue]]</f>
        <v>8232</v>
      </c>
      <c r="Q493" s="15">
        <f>Table5[[#This Row],[Net Sales Revenue]]/Table5[[#This Row],[Units Sold]]</f>
        <v>27</v>
      </c>
      <c r="R493">
        <f>VLOOKUP(Table5[[#This Row],[Product ID]],'Product Master'!$A$1:$E$10,5,FALSE)</f>
        <v>14</v>
      </c>
      <c r="S493" s="15">
        <f>Table5[[#This Row],[standard product cost per unit]]*Table5[[#This Row],[Units Sold]]</f>
        <v>38416</v>
      </c>
      <c r="T493" s="15">
        <f>Table5[[#This Row],[Cost of Sales]]-Table5[[#This Row],[Standard cost]]</f>
        <v>0</v>
      </c>
      <c r="U493" s="15">
        <f>Table5[[#This Row],[Net Sales Revenue]]-Table5[[#This Row],[Cost of Sales]]</f>
        <v>35672</v>
      </c>
      <c r="V493" s="17">
        <f>Table5[[#This Row],[GrossProfit]]/Table5[[#This Row],[Net Sales Revenue]]</f>
        <v>0.48148148148148145</v>
      </c>
    </row>
    <row r="494" spans="1:22" ht="14.25" customHeight="1" x14ac:dyDescent="0.25">
      <c r="A494" s="1" t="s">
        <v>570</v>
      </c>
      <c r="B494" s="1" t="s">
        <v>528</v>
      </c>
      <c r="C494" s="1" t="s">
        <v>56</v>
      </c>
      <c r="D494" s="1" t="s">
        <v>25</v>
      </c>
      <c r="E494" s="1" t="s">
        <v>27</v>
      </c>
      <c r="F494" s="1">
        <v>1976</v>
      </c>
      <c r="G494" s="14">
        <v>40</v>
      </c>
      <c r="H494" s="1">
        <v>0.06</v>
      </c>
      <c r="I494" s="14">
        <v>74297.600000000006</v>
      </c>
      <c r="J494" s="14">
        <v>39520</v>
      </c>
      <c r="K494" s="15">
        <f>Table5[[#This Row],[Selling Price]]*Table5[[#This Row],[Units Sold]]</f>
        <v>79040</v>
      </c>
      <c r="L494" t="str">
        <f t="shared" si="7"/>
        <v>2023-11</v>
      </c>
      <c r="M494" t="str">
        <f>VLOOKUP(Table5[[#This Row],[Store ID]],Table4[[Store ID]:[Store Location]],2)</f>
        <v>Leeds</v>
      </c>
      <c r="N494" t="str">
        <f>VLOOKUP(Table5[[#This Row],[Store ID]],Table4[[Store ID]:[Region]],3)</f>
        <v>North</v>
      </c>
      <c r="O494" t="str">
        <f>VLOOKUP(Table5[[#This Row],[Product ID]],'Product Master'!$A$2:$D$10,4)</f>
        <v>Supplier E</v>
      </c>
      <c r="P494" s="15">
        <f>Table5[[#This Row],[Total Revenue]]-Table5[[#This Row],[Net Sales Revenue]]</f>
        <v>4742.3999999999942</v>
      </c>
      <c r="Q494" s="15">
        <f>Table5[[#This Row],[Net Sales Revenue]]/Table5[[#This Row],[Units Sold]]</f>
        <v>37.6</v>
      </c>
      <c r="R494">
        <f>VLOOKUP(Table5[[#This Row],[Product ID]],'Product Master'!$A$1:$E$10,5,FALSE)</f>
        <v>20</v>
      </c>
      <c r="S494" s="15">
        <f>Table5[[#This Row],[standard product cost per unit]]*Table5[[#This Row],[Units Sold]]</f>
        <v>39520</v>
      </c>
      <c r="T494" s="15">
        <f>Table5[[#This Row],[Cost of Sales]]-Table5[[#This Row],[Standard cost]]</f>
        <v>0</v>
      </c>
      <c r="U494" s="15">
        <f>Table5[[#This Row],[Net Sales Revenue]]-Table5[[#This Row],[Cost of Sales]]</f>
        <v>34777.600000000006</v>
      </c>
      <c r="V494" s="17">
        <f>Table5[[#This Row],[GrossProfit]]/Table5[[#This Row],[Net Sales Revenue]]</f>
        <v>0.46808510638297879</v>
      </c>
    </row>
    <row r="495" spans="1:22" ht="14.25" customHeight="1" x14ac:dyDescent="0.25">
      <c r="A495" s="1" t="s">
        <v>571</v>
      </c>
      <c r="B495" s="1" t="s">
        <v>528</v>
      </c>
      <c r="C495" s="1" t="s">
        <v>56</v>
      </c>
      <c r="D495" s="1" t="s">
        <v>29</v>
      </c>
      <c r="E495" s="1" t="s">
        <v>31</v>
      </c>
      <c r="F495" s="1">
        <v>1212</v>
      </c>
      <c r="G495" s="14">
        <v>10</v>
      </c>
      <c r="H495" s="1">
        <v>7.0000000000000007E-2</v>
      </c>
      <c r="I495" s="14">
        <v>11271.6</v>
      </c>
      <c r="J495" s="14">
        <v>4848</v>
      </c>
      <c r="K495" s="15">
        <f>Table5[[#This Row],[Selling Price]]*Table5[[#This Row],[Units Sold]]</f>
        <v>12120</v>
      </c>
      <c r="L495" t="str">
        <f t="shared" si="7"/>
        <v>2023-11</v>
      </c>
      <c r="M495" t="str">
        <f>VLOOKUP(Table5[[#This Row],[Store ID]],Table4[[Store ID]:[Store Location]],2)</f>
        <v>Leeds</v>
      </c>
      <c r="N495" t="str">
        <f>VLOOKUP(Table5[[#This Row],[Store ID]],Table4[[Store ID]:[Region]],3)</f>
        <v>North</v>
      </c>
      <c r="O495" t="str">
        <f>VLOOKUP(Table5[[#This Row],[Product ID]],'Product Master'!$A$2:$D$10,4)</f>
        <v>Supplier F</v>
      </c>
      <c r="P495" s="15">
        <f>Table5[[#This Row],[Total Revenue]]-Table5[[#This Row],[Net Sales Revenue]]</f>
        <v>848.39999999999964</v>
      </c>
      <c r="Q495" s="15">
        <f>Table5[[#This Row],[Net Sales Revenue]]/Table5[[#This Row],[Units Sold]]</f>
        <v>9.3000000000000007</v>
      </c>
      <c r="R495">
        <f>VLOOKUP(Table5[[#This Row],[Product ID]],'Product Master'!$A$1:$E$10,5,FALSE)</f>
        <v>4</v>
      </c>
      <c r="S495" s="15">
        <f>Table5[[#This Row],[standard product cost per unit]]*Table5[[#This Row],[Units Sold]]</f>
        <v>4848</v>
      </c>
      <c r="T495" s="15">
        <f>Table5[[#This Row],[Cost of Sales]]-Table5[[#This Row],[Standard cost]]</f>
        <v>0</v>
      </c>
      <c r="U495" s="15">
        <f>Table5[[#This Row],[Net Sales Revenue]]-Table5[[#This Row],[Cost of Sales]]</f>
        <v>6423.6</v>
      </c>
      <c r="V495" s="17">
        <f>Table5[[#This Row],[GrossProfit]]/Table5[[#This Row],[Net Sales Revenue]]</f>
        <v>0.56989247311827962</v>
      </c>
    </row>
    <row r="496" spans="1:22" ht="14.25" customHeight="1" x14ac:dyDescent="0.25">
      <c r="A496" s="1" t="s">
        <v>572</v>
      </c>
      <c r="B496" s="1" t="s">
        <v>528</v>
      </c>
      <c r="C496" s="1" t="s">
        <v>56</v>
      </c>
      <c r="D496" s="1" t="s">
        <v>33</v>
      </c>
      <c r="E496" s="1" t="s">
        <v>31</v>
      </c>
      <c r="F496" s="1">
        <v>1904</v>
      </c>
      <c r="G496" s="14">
        <v>22</v>
      </c>
      <c r="H496" s="1">
        <v>0.06</v>
      </c>
      <c r="I496" s="14">
        <v>39374.720000000001</v>
      </c>
      <c r="J496" s="14">
        <v>19040</v>
      </c>
      <c r="K496" s="15">
        <f>Table5[[#This Row],[Selling Price]]*Table5[[#This Row],[Units Sold]]</f>
        <v>41888</v>
      </c>
      <c r="L496" t="str">
        <f t="shared" si="7"/>
        <v>2023-11</v>
      </c>
      <c r="M496" t="str">
        <f>VLOOKUP(Table5[[#This Row],[Store ID]],Table4[[Store ID]:[Store Location]],2)</f>
        <v>Leeds</v>
      </c>
      <c r="N496" t="str">
        <f>VLOOKUP(Table5[[#This Row],[Store ID]],Table4[[Store ID]:[Region]],3)</f>
        <v>North</v>
      </c>
      <c r="O496" t="str">
        <f>VLOOKUP(Table5[[#This Row],[Product ID]],'Product Master'!$A$2:$D$10,4)</f>
        <v>Supplier F</v>
      </c>
      <c r="P496" s="15">
        <f>Table5[[#This Row],[Total Revenue]]-Table5[[#This Row],[Net Sales Revenue]]</f>
        <v>2513.2799999999988</v>
      </c>
      <c r="Q496" s="15">
        <f>Table5[[#This Row],[Net Sales Revenue]]/Table5[[#This Row],[Units Sold]]</f>
        <v>20.68</v>
      </c>
      <c r="R496">
        <f>VLOOKUP(Table5[[#This Row],[Product ID]],'Product Master'!$A$1:$E$10,5,FALSE)</f>
        <v>10</v>
      </c>
      <c r="S496" s="15">
        <f>Table5[[#This Row],[standard product cost per unit]]*Table5[[#This Row],[Units Sold]]</f>
        <v>19040</v>
      </c>
      <c r="T496" s="15">
        <f>Table5[[#This Row],[Cost of Sales]]-Table5[[#This Row],[Standard cost]]</f>
        <v>0</v>
      </c>
      <c r="U496" s="15">
        <f>Table5[[#This Row],[Net Sales Revenue]]-Table5[[#This Row],[Cost of Sales]]</f>
        <v>20334.72</v>
      </c>
      <c r="V496" s="17">
        <f>Table5[[#This Row],[GrossProfit]]/Table5[[#This Row],[Net Sales Revenue]]</f>
        <v>0.51644100580270791</v>
      </c>
    </row>
    <row r="497" spans="1:22" ht="14.25" customHeight="1" x14ac:dyDescent="0.25">
      <c r="A497" s="1" t="s">
        <v>573</v>
      </c>
      <c r="B497" s="1" t="s">
        <v>574</v>
      </c>
      <c r="C497" s="1" t="s">
        <v>40</v>
      </c>
      <c r="D497" s="1" t="s">
        <v>6</v>
      </c>
      <c r="E497" s="1" t="s">
        <v>8</v>
      </c>
      <c r="F497" s="1">
        <v>1944</v>
      </c>
      <c r="G497" s="14">
        <v>24</v>
      </c>
      <c r="H497" s="1">
        <v>0.06</v>
      </c>
      <c r="I497" s="14">
        <v>43856.639999999999</v>
      </c>
      <c r="J497" s="14">
        <v>23328</v>
      </c>
      <c r="K497" s="15">
        <f>Table5[[#This Row],[Selling Price]]*Table5[[#This Row],[Units Sold]]</f>
        <v>46656</v>
      </c>
      <c r="L497" t="str">
        <f t="shared" si="7"/>
        <v>2023-12</v>
      </c>
      <c r="M497" t="str">
        <f>VLOOKUP(Table5[[#This Row],[Store ID]],Table4[[Store ID]:[Store Location]],2)</f>
        <v>Manchester</v>
      </c>
      <c r="N497" t="str">
        <f>VLOOKUP(Table5[[#This Row],[Store ID]],Table4[[Store ID]:[Region]],3)</f>
        <v>North</v>
      </c>
      <c r="O497" t="str">
        <f>VLOOKUP(Table5[[#This Row],[Product ID]],'Product Master'!$A$2:$D$10,4)</f>
        <v>Supplier A</v>
      </c>
      <c r="P497" s="15">
        <f>Table5[[#This Row],[Total Revenue]]-Table5[[#This Row],[Net Sales Revenue]]</f>
        <v>2799.3600000000006</v>
      </c>
      <c r="Q497" s="15">
        <f>Table5[[#This Row],[Net Sales Revenue]]/Table5[[#This Row],[Units Sold]]</f>
        <v>22.56</v>
      </c>
      <c r="R497">
        <f>VLOOKUP(Table5[[#This Row],[Product ID]],'Product Master'!$A$1:$E$10,5,FALSE)</f>
        <v>12</v>
      </c>
      <c r="S497" s="15">
        <f>Table5[[#This Row],[standard product cost per unit]]*Table5[[#This Row],[Units Sold]]</f>
        <v>23328</v>
      </c>
      <c r="T497" s="15">
        <f>Table5[[#This Row],[Cost of Sales]]-Table5[[#This Row],[Standard cost]]</f>
        <v>0</v>
      </c>
      <c r="U497" s="15">
        <f>Table5[[#This Row],[Net Sales Revenue]]-Table5[[#This Row],[Cost of Sales]]</f>
        <v>20528.64</v>
      </c>
      <c r="V497" s="17">
        <f>Table5[[#This Row],[GrossProfit]]/Table5[[#This Row],[Net Sales Revenue]]</f>
        <v>0.46808510638297873</v>
      </c>
    </row>
    <row r="498" spans="1:22" ht="14.25" customHeight="1" x14ac:dyDescent="0.25">
      <c r="A498" s="1" t="s">
        <v>575</v>
      </c>
      <c r="B498" s="1" t="s">
        <v>574</v>
      </c>
      <c r="C498" s="1" t="s">
        <v>40</v>
      </c>
      <c r="D498" s="1" t="s">
        <v>10</v>
      </c>
      <c r="E498" s="1" t="s">
        <v>8</v>
      </c>
      <c r="F498" s="1">
        <v>1752</v>
      </c>
      <c r="G498" s="14">
        <v>50</v>
      </c>
      <c r="H498" s="1">
        <v>0.08</v>
      </c>
      <c r="I498" s="14">
        <v>80592</v>
      </c>
      <c r="J498" s="14">
        <v>49056</v>
      </c>
      <c r="K498" s="15">
        <f>Table5[[#This Row],[Selling Price]]*Table5[[#This Row],[Units Sold]]</f>
        <v>87600</v>
      </c>
      <c r="L498" t="str">
        <f t="shared" si="7"/>
        <v>2023-12</v>
      </c>
      <c r="M498" t="str">
        <f>VLOOKUP(Table5[[#This Row],[Store ID]],Table4[[Store ID]:[Store Location]],2)</f>
        <v>Manchester</v>
      </c>
      <c r="N498" t="str">
        <f>VLOOKUP(Table5[[#This Row],[Store ID]],Table4[[Store ID]:[Region]],3)</f>
        <v>North</v>
      </c>
      <c r="O498" t="str">
        <f>VLOOKUP(Table5[[#This Row],[Product ID]],'Product Master'!$A$2:$D$10,4)</f>
        <v>Supplier B</v>
      </c>
      <c r="P498" s="15">
        <f>Table5[[#This Row],[Total Revenue]]-Table5[[#This Row],[Net Sales Revenue]]</f>
        <v>7008</v>
      </c>
      <c r="Q498" s="15">
        <f>Table5[[#This Row],[Net Sales Revenue]]/Table5[[#This Row],[Units Sold]]</f>
        <v>46</v>
      </c>
      <c r="R498">
        <f>VLOOKUP(Table5[[#This Row],[Product ID]],'Product Master'!$A$1:$E$10,5,FALSE)</f>
        <v>28</v>
      </c>
      <c r="S498" s="15">
        <f>Table5[[#This Row],[standard product cost per unit]]*Table5[[#This Row],[Units Sold]]</f>
        <v>49056</v>
      </c>
      <c r="T498" s="15">
        <f>Table5[[#This Row],[Cost of Sales]]-Table5[[#This Row],[Standard cost]]</f>
        <v>0</v>
      </c>
      <c r="U498" s="15">
        <f>Table5[[#This Row],[Net Sales Revenue]]-Table5[[#This Row],[Cost of Sales]]</f>
        <v>31536</v>
      </c>
      <c r="V498" s="17">
        <f>Table5[[#This Row],[GrossProfit]]/Table5[[#This Row],[Net Sales Revenue]]</f>
        <v>0.39130434782608697</v>
      </c>
    </row>
    <row r="499" spans="1:22" ht="14.25" customHeight="1" x14ac:dyDescent="0.25">
      <c r="A499" s="1" t="s">
        <v>576</v>
      </c>
      <c r="B499" s="1" t="s">
        <v>574</v>
      </c>
      <c r="C499" s="1" t="s">
        <v>40</v>
      </c>
      <c r="D499" s="1" t="s">
        <v>13</v>
      </c>
      <c r="E499" s="1" t="s">
        <v>15</v>
      </c>
      <c r="F499" s="1">
        <v>2512</v>
      </c>
      <c r="G499" s="14">
        <v>28</v>
      </c>
      <c r="H499" s="1">
        <v>0.06</v>
      </c>
      <c r="I499" s="14">
        <v>66115.839999999997</v>
      </c>
      <c r="J499" s="14">
        <v>37680</v>
      </c>
      <c r="K499" s="15">
        <f>Table5[[#This Row],[Selling Price]]*Table5[[#This Row],[Units Sold]]</f>
        <v>70336</v>
      </c>
      <c r="L499" t="str">
        <f t="shared" si="7"/>
        <v>2023-12</v>
      </c>
      <c r="M499" t="str">
        <f>VLOOKUP(Table5[[#This Row],[Store ID]],Table4[[Store ID]:[Store Location]],2)</f>
        <v>Manchester</v>
      </c>
      <c r="N499" t="str">
        <f>VLOOKUP(Table5[[#This Row],[Store ID]],Table4[[Store ID]:[Region]],3)</f>
        <v>North</v>
      </c>
      <c r="O499" t="str">
        <f>VLOOKUP(Table5[[#This Row],[Product ID]],'Product Master'!$A$2:$D$10,4)</f>
        <v>Supplier C</v>
      </c>
      <c r="P499" s="15">
        <f>Table5[[#This Row],[Total Revenue]]-Table5[[#This Row],[Net Sales Revenue]]</f>
        <v>4220.1600000000035</v>
      </c>
      <c r="Q499" s="15">
        <f>Table5[[#This Row],[Net Sales Revenue]]/Table5[[#This Row],[Units Sold]]</f>
        <v>26.32</v>
      </c>
      <c r="R499">
        <f>VLOOKUP(Table5[[#This Row],[Product ID]],'Product Master'!$A$1:$E$10,5,FALSE)</f>
        <v>15</v>
      </c>
      <c r="S499" s="15">
        <f>Table5[[#This Row],[standard product cost per unit]]*Table5[[#This Row],[Units Sold]]</f>
        <v>37680</v>
      </c>
      <c r="T499" s="15">
        <f>Table5[[#This Row],[Cost of Sales]]-Table5[[#This Row],[Standard cost]]</f>
        <v>0</v>
      </c>
      <c r="U499" s="15">
        <f>Table5[[#This Row],[Net Sales Revenue]]-Table5[[#This Row],[Cost of Sales]]</f>
        <v>28435.839999999997</v>
      </c>
      <c r="V499" s="17">
        <f>Table5[[#This Row],[GrossProfit]]/Table5[[#This Row],[Net Sales Revenue]]</f>
        <v>0.43009118541033431</v>
      </c>
    </row>
    <row r="500" spans="1:22" ht="14.25" customHeight="1" x14ac:dyDescent="0.25">
      <c r="A500" s="1" t="s">
        <v>577</v>
      </c>
      <c r="B500" s="1" t="s">
        <v>574</v>
      </c>
      <c r="C500" s="1" t="s">
        <v>40</v>
      </c>
      <c r="D500" s="1" t="s">
        <v>17</v>
      </c>
      <c r="E500" s="1" t="s">
        <v>15</v>
      </c>
      <c r="F500" s="1">
        <v>2452</v>
      </c>
      <c r="G500" s="14">
        <v>35</v>
      </c>
      <c r="H500" s="1">
        <v>0.1</v>
      </c>
      <c r="I500" s="14">
        <v>77238</v>
      </c>
      <c r="J500" s="14">
        <v>44136</v>
      </c>
      <c r="K500" s="15">
        <f>Table5[[#This Row],[Selling Price]]*Table5[[#This Row],[Units Sold]]</f>
        <v>85820</v>
      </c>
      <c r="L500" t="str">
        <f t="shared" si="7"/>
        <v>2023-12</v>
      </c>
      <c r="M500" t="str">
        <f>VLOOKUP(Table5[[#This Row],[Store ID]],Table4[[Store ID]:[Store Location]],2)</f>
        <v>Manchester</v>
      </c>
      <c r="N500" t="str">
        <f>VLOOKUP(Table5[[#This Row],[Store ID]],Table4[[Store ID]:[Region]],3)</f>
        <v>North</v>
      </c>
      <c r="O500" t="str">
        <f>VLOOKUP(Table5[[#This Row],[Product ID]],'Product Master'!$A$2:$D$10,4)</f>
        <v>Supplier C</v>
      </c>
      <c r="P500" s="15">
        <f>Table5[[#This Row],[Total Revenue]]-Table5[[#This Row],[Net Sales Revenue]]</f>
        <v>8582</v>
      </c>
      <c r="Q500" s="15">
        <f>Table5[[#This Row],[Net Sales Revenue]]/Table5[[#This Row],[Units Sold]]</f>
        <v>31.5</v>
      </c>
      <c r="R500">
        <f>VLOOKUP(Table5[[#This Row],[Product ID]],'Product Master'!$A$1:$E$10,5,FALSE)</f>
        <v>18</v>
      </c>
      <c r="S500" s="15">
        <f>Table5[[#This Row],[standard product cost per unit]]*Table5[[#This Row],[Units Sold]]</f>
        <v>44136</v>
      </c>
      <c r="T500" s="15">
        <f>Table5[[#This Row],[Cost of Sales]]-Table5[[#This Row],[Standard cost]]</f>
        <v>0</v>
      </c>
      <c r="U500" s="15">
        <f>Table5[[#This Row],[Net Sales Revenue]]-Table5[[#This Row],[Cost of Sales]]</f>
        <v>33102</v>
      </c>
      <c r="V500" s="17">
        <f>Table5[[#This Row],[GrossProfit]]/Table5[[#This Row],[Net Sales Revenue]]</f>
        <v>0.42857142857142855</v>
      </c>
    </row>
    <row r="501" spans="1:22" ht="14.25" customHeight="1" x14ac:dyDescent="0.25">
      <c r="A501" s="1" t="s">
        <v>578</v>
      </c>
      <c r="B501" s="1" t="s">
        <v>574</v>
      </c>
      <c r="C501" s="1" t="s">
        <v>40</v>
      </c>
      <c r="D501" s="1" t="s">
        <v>19</v>
      </c>
      <c r="E501" s="1" t="s">
        <v>21</v>
      </c>
      <c r="F501" s="1">
        <v>1576</v>
      </c>
      <c r="G501" s="14">
        <v>18</v>
      </c>
      <c r="H501" s="1">
        <v>0.05</v>
      </c>
      <c r="I501" s="14">
        <v>26949.599999999999</v>
      </c>
      <c r="J501" s="14">
        <v>14184</v>
      </c>
      <c r="K501" s="15">
        <f>Table5[[#This Row],[Selling Price]]*Table5[[#This Row],[Units Sold]]</f>
        <v>28368</v>
      </c>
      <c r="L501" t="str">
        <f t="shared" si="7"/>
        <v>2023-12</v>
      </c>
      <c r="M501" t="str">
        <f>VLOOKUP(Table5[[#This Row],[Store ID]],Table4[[Store ID]:[Store Location]],2)</f>
        <v>Manchester</v>
      </c>
      <c r="N501" t="str">
        <f>VLOOKUP(Table5[[#This Row],[Store ID]],Table4[[Store ID]:[Region]],3)</f>
        <v>North</v>
      </c>
      <c r="O501" t="str">
        <f>VLOOKUP(Table5[[#This Row],[Product ID]],'Product Master'!$A$2:$D$10,4)</f>
        <v>Supplier D</v>
      </c>
      <c r="P501" s="15">
        <f>Table5[[#This Row],[Total Revenue]]-Table5[[#This Row],[Net Sales Revenue]]</f>
        <v>1418.4000000000015</v>
      </c>
      <c r="Q501" s="15">
        <f>Table5[[#This Row],[Net Sales Revenue]]/Table5[[#This Row],[Units Sold]]</f>
        <v>17.099999999999998</v>
      </c>
      <c r="R501">
        <f>VLOOKUP(Table5[[#This Row],[Product ID]],'Product Master'!$A$1:$E$10,5,FALSE)</f>
        <v>9</v>
      </c>
      <c r="S501" s="15">
        <f>Table5[[#This Row],[standard product cost per unit]]*Table5[[#This Row],[Units Sold]]</f>
        <v>14184</v>
      </c>
      <c r="T501" s="15">
        <f>Table5[[#This Row],[Cost of Sales]]-Table5[[#This Row],[Standard cost]]</f>
        <v>0</v>
      </c>
      <c r="U501" s="15">
        <f>Table5[[#This Row],[Net Sales Revenue]]-Table5[[#This Row],[Cost of Sales]]</f>
        <v>12765.599999999999</v>
      </c>
      <c r="V501" s="17">
        <f>Table5[[#This Row],[GrossProfit]]/Table5[[#This Row],[Net Sales Revenue]]</f>
        <v>0.47368421052631576</v>
      </c>
    </row>
    <row r="502" spans="1:22" ht="14.25" customHeight="1" x14ac:dyDescent="0.25">
      <c r="A502" s="1" t="s">
        <v>579</v>
      </c>
      <c r="B502" s="1" t="s">
        <v>574</v>
      </c>
      <c r="C502" s="1" t="s">
        <v>40</v>
      </c>
      <c r="D502" s="1" t="s">
        <v>23</v>
      </c>
      <c r="E502" s="1" t="s">
        <v>21</v>
      </c>
      <c r="F502" s="1">
        <v>1716</v>
      </c>
      <c r="G502" s="14">
        <v>30</v>
      </c>
      <c r="H502" s="1">
        <v>0.1</v>
      </c>
      <c r="I502" s="14">
        <v>46332</v>
      </c>
      <c r="J502" s="14">
        <v>24024</v>
      </c>
      <c r="K502" s="15">
        <f>Table5[[#This Row],[Selling Price]]*Table5[[#This Row],[Units Sold]]</f>
        <v>51480</v>
      </c>
      <c r="L502" t="str">
        <f t="shared" si="7"/>
        <v>2023-12</v>
      </c>
      <c r="M502" t="str">
        <f>VLOOKUP(Table5[[#This Row],[Store ID]],Table4[[Store ID]:[Store Location]],2)</f>
        <v>Manchester</v>
      </c>
      <c r="N502" t="str">
        <f>VLOOKUP(Table5[[#This Row],[Store ID]],Table4[[Store ID]:[Region]],3)</f>
        <v>North</v>
      </c>
      <c r="O502" t="str">
        <f>VLOOKUP(Table5[[#This Row],[Product ID]],'Product Master'!$A$2:$D$10,4)</f>
        <v>Supplier D</v>
      </c>
      <c r="P502" s="15">
        <f>Table5[[#This Row],[Total Revenue]]-Table5[[#This Row],[Net Sales Revenue]]</f>
        <v>5148</v>
      </c>
      <c r="Q502" s="15">
        <f>Table5[[#This Row],[Net Sales Revenue]]/Table5[[#This Row],[Units Sold]]</f>
        <v>27</v>
      </c>
      <c r="R502">
        <f>VLOOKUP(Table5[[#This Row],[Product ID]],'Product Master'!$A$1:$E$10,5,FALSE)</f>
        <v>14</v>
      </c>
      <c r="S502" s="15">
        <f>Table5[[#This Row],[standard product cost per unit]]*Table5[[#This Row],[Units Sold]]</f>
        <v>24024</v>
      </c>
      <c r="T502" s="15">
        <f>Table5[[#This Row],[Cost of Sales]]-Table5[[#This Row],[Standard cost]]</f>
        <v>0</v>
      </c>
      <c r="U502" s="15">
        <f>Table5[[#This Row],[Net Sales Revenue]]-Table5[[#This Row],[Cost of Sales]]</f>
        <v>22308</v>
      </c>
      <c r="V502" s="17">
        <f>Table5[[#This Row],[GrossProfit]]/Table5[[#This Row],[Net Sales Revenue]]</f>
        <v>0.48148148148148145</v>
      </c>
    </row>
    <row r="503" spans="1:22" ht="14.25" customHeight="1" x14ac:dyDescent="0.25">
      <c r="A503" s="1" t="s">
        <v>580</v>
      </c>
      <c r="B503" s="1" t="s">
        <v>574</v>
      </c>
      <c r="C503" s="1" t="s">
        <v>40</v>
      </c>
      <c r="D503" s="1" t="s">
        <v>25</v>
      </c>
      <c r="E503" s="1" t="s">
        <v>27</v>
      </c>
      <c r="F503" s="1">
        <v>1300</v>
      </c>
      <c r="G503" s="14">
        <v>40</v>
      </c>
      <c r="H503" s="1">
        <v>0.06</v>
      </c>
      <c r="I503" s="14">
        <v>48880</v>
      </c>
      <c r="J503" s="14">
        <v>26000</v>
      </c>
      <c r="K503" s="15">
        <f>Table5[[#This Row],[Selling Price]]*Table5[[#This Row],[Units Sold]]</f>
        <v>52000</v>
      </c>
      <c r="L503" t="str">
        <f t="shared" si="7"/>
        <v>2023-12</v>
      </c>
      <c r="M503" t="str">
        <f>VLOOKUP(Table5[[#This Row],[Store ID]],Table4[[Store ID]:[Store Location]],2)</f>
        <v>Manchester</v>
      </c>
      <c r="N503" t="str">
        <f>VLOOKUP(Table5[[#This Row],[Store ID]],Table4[[Store ID]:[Region]],3)</f>
        <v>North</v>
      </c>
      <c r="O503" t="str">
        <f>VLOOKUP(Table5[[#This Row],[Product ID]],'Product Master'!$A$2:$D$10,4)</f>
        <v>Supplier E</v>
      </c>
      <c r="P503" s="15">
        <f>Table5[[#This Row],[Total Revenue]]-Table5[[#This Row],[Net Sales Revenue]]</f>
        <v>3120</v>
      </c>
      <c r="Q503" s="15">
        <f>Table5[[#This Row],[Net Sales Revenue]]/Table5[[#This Row],[Units Sold]]</f>
        <v>37.6</v>
      </c>
      <c r="R503">
        <f>VLOOKUP(Table5[[#This Row],[Product ID]],'Product Master'!$A$1:$E$10,5,FALSE)</f>
        <v>20</v>
      </c>
      <c r="S503" s="15">
        <f>Table5[[#This Row],[standard product cost per unit]]*Table5[[#This Row],[Units Sold]]</f>
        <v>26000</v>
      </c>
      <c r="T503" s="15">
        <f>Table5[[#This Row],[Cost of Sales]]-Table5[[#This Row],[Standard cost]]</f>
        <v>0</v>
      </c>
      <c r="U503" s="15">
        <f>Table5[[#This Row],[Net Sales Revenue]]-Table5[[#This Row],[Cost of Sales]]</f>
        <v>22880</v>
      </c>
      <c r="V503" s="17">
        <f>Table5[[#This Row],[GrossProfit]]/Table5[[#This Row],[Net Sales Revenue]]</f>
        <v>0.46808510638297873</v>
      </c>
    </row>
    <row r="504" spans="1:22" ht="14.25" customHeight="1" x14ac:dyDescent="0.25">
      <c r="A504" s="1" t="s">
        <v>581</v>
      </c>
      <c r="B504" s="1" t="s">
        <v>574</v>
      </c>
      <c r="C504" s="1" t="s">
        <v>40</v>
      </c>
      <c r="D504" s="1" t="s">
        <v>29</v>
      </c>
      <c r="E504" s="1" t="s">
        <v>31</v>
      </c>
      <c r="F504" s="1">
        <v>1408</v>
      </c>
      <c r="G504" s="14">
        <v>10</v>
      </c>
      <c r="H504" s="1">
        <v>0.06</v>
      </c>
      <c r="I504" s="14">
        <v>13235.2</v>
      </c>
      <c r="J504" s="14">
        <v>5632</v>
      </c>
      <c r="K504" s="15">
        <f>Table5[[#This Row],[Selling Price]]*Table5[[#This Row],[Units Sold]]</f>
        <v>14080</v>
      </c>
      <c r="L504" t="str">
        <f t="shared" si="7"/>
        <v>2023-12</v>
      </c>
      <c r="M504" t="str">
        <f>VLOOKUP(Table5[[#This Row],[Store ID]],Table4[[Store ID]:[Store Location]],2)</f>
        <v>Manchester</v>
      </c>
      <c r="N504" t="str">
        <f>VLOOKUP(Table5[[#This Row],[Store ID]],Table4[[Store ID]:[Region]],3)</f>
        <v>North</v>
      </c>
      <c r="O504" t="str">
        <f>VLOOKUP(Table5[[#This Row],[Product ID]],'Product Master'!$A$2:$D$10,4)</f>
        <v>Supplier F</v>
      </c>
      <c r="P504" s="15">
        <f>Table5[[#This Row],[Total Revenue]]-Table5[[#This Row],[Net Sales Revenue]]</f>
        <v>844.79999999999927</v>
      </c>
      <c r="Q504" s="15">
        <f>Table5[[#This Row],[Net Sales Revenue]]/Table5[[#This Row],[Units Sold]]</f>
        <v>9.4</v>
      </c>
      <c r="R504">
        <f>VLOOKUP(Table5[[#This Row],[Product ID]],'Product Master'!$A$1:$E$10,5,FALSE)</f>
        <v>4</v>
      </c>
      <c r="S504" s="15">
        <f>Table5[[#This Row],[standard product cost per unit]]*Table5[[#This Row],[Units Sold]]</f>
        <v>5632</v>
      </c>
      <c r="T504" s="15">
        <f>Table5[[#This Row],[Cost of Sales]]-Table5[[#This Row],[Standard cost]]</f>
        <v>0</v>
      </c>
      <c r="U504" s="15">
        <f>Table5[[#This Row],[Net Sales Revenue]]-Table5[[#This Row],[Cost of Sales]]</f>
        <v>7603.2000000000007</v>
      </c>
      <c r="V504" s="17">
        <f>Table5[[#This Row],[GrossProfit]]/Table5[[#This Row],[Net Sales Revenue]]</f>
        <v>0.57446808510638303</v>
      </c>
    </row>
    <row r="505" spans="1:22" ht="14.25" customHeight="1" x14ac:dyDescent="0.25">
      <c r="A505" s="1" t="s">
        <v>582</v>
      </c>
      <c r="B505" s="1" t="s">
        <v>574</v>
      </c>
      <c r="C505" s="1" t="s">
        <v>40</v>
      </c>
      <c r="D505" s="1" t="s">
        <v>33</v>
      </c>
      <c r="E505" s="1" t="s">
        <v>31</v>
      </c>
      <c r="F505" s="1">
        <v>2016</v>
      </c>
      <c r="G505" s="14">
        <v>22</v>
      </c>
      <c r="H505" s="1">
        <v>7.0000000000000007E-2</v>
      </c>
      <c r="I505" s="14">
        <v>41247.360000000001</v>
      </c>
      <c r="J505" s="14">
        <v>20160</v>
      </c>
      <c r="K505" s="15">
        <f>Table5[[#This Row],[Selling Price]]*Table5[[#This Row],[Units Sold]]</f>
        <v>44352</v>
      </c>
      <c r="L505" t="str">
        <f t="shared" si="7"/>
        <v>2023-12</v>
      </c>
      <c r="M505" t="str">
        <f>VLOOKUP(Table5[[#This Row],[Store ID]],Table4[[Store ID]:[Store Location]],2)</f>
        <v>Manchester</v>
      </c>
      <c r="N505" t="str">
        <f>VLOOKUP(Table5[[#This Row],[Store ID]],Table4[[Store ID]:[Region]],3)</f>
        <v>North</v>
      </c>
      <c r="O505" t="str">
        <f>VLOOKUP(Table5[[#This Row],[Product ID]],'Product Master'!$A$2:$D$10,4)</f>
        <v>Supplier F</v>
      </c>
      <c r="P505" s="15">
        <f>Table5[[#This Row],[Total Revenue]]-Table5[[#This Row],[Net Sales Revenue]]</f>
        <v>3104.6399999999994</v>
      </c>
      <c r="Q505" s="15">
        <f>Table5[[#This Row],[Net Sales Revenue]]/Table5[[#This Row],[Units Sold]]</f>
        <v>20.46</v>
      </c>
      <c r="R505">
        <f>VLOOKUP(Table5[[#This Row],[Product ID]],'Product Master'!$A$1:$E$10,5,FALSE)</f>
        <v>10</v>
      </c>
      <c r="S505" s="15">
        <f>Table5[[#This Row],[standard product cost per unit]]*Table5[[#This Row],[Units Sold]]</f>
        <v>20160</v>
      </c>
      <c r="T505" s="15">
        <f>Table5[[#This Row],[Cost of Sales]]-Table5[[#This Row],[Standard cost]]</f>
        <v>0</v>
      </c>
      <c r="U505" s="15">
        <f>Table5[[#This Row],[Net Sales Revenue]]-Table5[[#This Row],[Cost of Sales]]</f>
        <v>21087.360000000001</v>
      </c>
      <c r="V505" s="17">
        <f>Table5[[#This Row],[GrossProfit]]/Table5[[#This Row],[Net Sales Revenue]]</f>
        <v>0.51124144672531768</v>
      </c>
    </row>
    <row r="506" spans="1:22" ht="14.25" customHeight="1" x14ac:dyDescent="0.25">
      <c r="A506" s="1" t="s">
        <v>583</v>
      </c>
      <c r="B506" s="1" t="s">
        <v>574</v>
      </c>
      <c r="C506" s="1" t="s">
        <v>44</v>
      </c>
      <c r="D506" s="1" t="s">
        <v>6</v>
      </c>
      <c r="E506" s="1" t="s">
        <v>8</v>
      </c>
      <c r="F506" s="1">
        <v>2672</v>
      </c>
      <c r="G506" s="14">
        <v>24</v>
      </c>
      <c r="H506" s="1">
        <v>7.0000000000000007E-2</v>
      </c>
      <c r="I506" s="14">
        <v>59639.040000000001</v>
      </c>
      <c r="J506" s="14">
        <v>32064</v>
      </c>
      <c r="K506" s="15">
        <f>Table5[[#This Row],[Selling Price]]*Table5[[#This Row],[Units Sold]]</f>
        <v>64128</v>
      </c>
      <c r="L506" t="str">
        <f t="shared" si="7"/>
        <v>2023-12</v>
      </c>
      <c r="M506" t="str">
        <f>VLOOKUP(Table5[[#This Row],[Store ID]],Table4[[Store ID]:[Store Location]],2)</f>
        <v>Birmingham</v>
      </c>
      <c r="N506" t="str">
        <f>VLOOKUP(Table5[[#This Row],[Store ID]],Table4[[Store ID]:[Region]],3)</f>
        <v>Midlands</v>
      </c>
      <c r="O506" t="str">
        <f>VLOOKUP(Table5[[#This Row],[Product ID]],'Product Master'!$A$2:$D$10,4)</f>
        <v>Supplier A</v>
      </c>
      <c r="P506" s="15">
        <f>Table5[[#This Row],[Total Revenue]]-Table5[[#This Row],[Net Sales Revenue]]</f>
        <v>4488.9599999999991</v>
      </c>
      <c r="Q506" s="15">
        <f>Table5[[#This Row],[Net Sales Revenue]]/Table5[[#This Row],[Units Sold]]</f>
        <v>22.32</v>
      </c>
      <c r="R506">
        <f>VLOOKUP(Table5[[#This Row],[Product ID]],'Product Master'!$A$1:$E$10,5,FALSE)</f>
        <v>12</v>
      </c>
      <c r="S506" s="15">
        <f>Table5[[#This Row],[standard product cost per unit]]*Table5[[#This Row],[Units Sold]]</f>
        <v>32064</v>
      </c>
      <c r="T506" s="15">
        <f>Table5[[#This Row],[Cost of Sales]]-Table5[[#This Row],[Standard cost]]</f>
        <v>0</v>
      </c>
      <c r="U506" s="15">
        <f>Table5[[#This Row],[Net Sales Revenue]]-Table5[[#This Row],[Cost of Sales]]</f>
        <v>27575.040000000001</v>
      </c>
      <c r="V506" s="17">
        <f>Table5[[#This Row],[GrossProfit]]/Table5[[#This Row],[Net Sales Revenue]]</f>
        <v>0.4623655913978495</v>
      </c>
    </row>
    <row r="507" spans="1:22" ht="14.25" customHeight="1" x14ac:dyDescent="0.25">
      <c r="A507" s="1" t="s">
        <v>584</v>
      </c>
      <c r="B507" s="1" t="s">
        <v>574</v>
      </c>
      <c r="C507" s="1" t="s">
        <v>44</v>
      </c>
      <c r="D507" s="1" t="s">
        <v>10</v>
      </c>
      <c r="E507" s="1" t="s">
        <v>8</v>
      </c>
      <c r="F507" s="1">
        <v>1780</v>
      </c>
      <c r="G507" s="14">
        <v>50</v>
      </c>
      <c r="H507" s="1">
        <v>0.06</v>
      </c>
      <c r="I507" s="14">
        <v>83660</v>
      </c>
      <c r="J507" s="14">
        <v>49840</v>
      </c>
      <c r="K507" s="15">
        <f>Table5[[#This Row],[Selling Price]]*Table5[[#This Row],[Units Sold]]</f>
        <v>89000</v>
      </c>
      <c r="L507" t="str">
        <f t="shared" si="7"/>
        <v>2023-12</v>
      </c>
      <c r="M507" t="str">
        <f>VLOOKUP(Table5[[#This Row],[Store ID]],Table4[[Store ID]:[Store Location]],2)</f>
        <v>Birmingham</v>
      </c>
      <c r="N507" t="str">
        <f>VLOOKUP(Table5[[#This Row],[Store ID]],Table4[[Store ID]:[Region]],3)</f>
        <v>Midlands</v>
      </c>
      <c r="O507" t="str">
        <f>VLOOKUP(Table5[[#This Row],[Product ID]],'Product Master'!$A$2:$D$10,4)</f>
        <v>Supplier B</v>
      </c>
      <c r="P507" s="15">
        <f>Table5[[#This Row],[Total Revenue]]-Table5[[#This Row],[Net Sales Revenue]]</f>
        <v>5340</v>
      </c>
      <c r="Q507" s="15">
        <f>Table5[[#This Row],[Net Sales Revenue]]/Table5[[#This Row],[Units Sold]]</f>
        <v>47</v>
      </c>
      <c r="R507">
        <f>VLOOKUP(Table5[[#This Row],[Product ID]],'Product Master'!$A$1:$E$10,5,FALSE)</f>
        <v>28</v>
      </c>
      <c r="S507" s="15">
        <f>Table5[[#This Row],[standard product cost per unit]]*Table5[[#This Row],[Units Sold]]</f>
        <v>49840</v>
      </c>
      <c r="T507" s="15">
        <f>Table5[[#This Row],[Cost of Sales]]-Table5[[#This Row],[Standard cost]]</f>
        <v>0</v>
      </c>
      <c r="U507" s="15">
        <f>Table5[[#This Row],[Net Sales Revenue]]-Table5[[#This Row],[Cost of Sales]]</f>
        <v>33820</v>
      </c>
      <c r="V507" s="17">
        <f>Table5[[#This Row],[GrossProfit]]/Table5[[#This Row],[Net Sales Revenue]]</f>
        <v>0.40425531914893614</v>
      </c>
    </row>
    <row r="508" spans="1:22" ht="14.25" customHeight="1" x14ac:dyDescent="0.25">
      <c r="A508" s="1" t="s">
        <v>585</v>
      </c>
      <c r="B508" s="1" t="s">
        <v>574</v>
      </c>
      <c r="C508" s="1" t="s">
        <v>44</v>
      </c>
      <c r="D508" s="1" t="s">
        <v>13</v>
      </c>
      <c r="E508" s="1" t="s">
        <v>15</v>
      </c>
      <c r="F508" s="1">
        <v>2676</v>
      </c>
      <c r="G508" s="14">
        <v>28</v>
      </c>
      <c r="H508" s="1">
        <v>0.05</v>
      </c>
      <c r="I508" s="14">
        <v>71181.600000000006</v>
      </c>
      <c r="J508" s="14">
        <v>40140</v>
      </c>
      <c r="K508" s="15">
        <f>Table5[[#This Row],[Selling Price]]*Table5[[#This Row],[Units Sold]]</f>
        <v>74928</v>
      </c>
      <c r="L508" t="str">
        <f t="shared" si="7"/>
        <v>2023-12</v>
      </c>
      <c r="M508" t="str">
        <f>VLOOKUP(Table5[[#This Row],[Store ID]],Table4[[Store ID]:[Store Location]],2)</f>
        <v>Birmingham</v>
      </c>
      <c r="N508" t="str">
        <f>VLOOKUP(Table5[[#This Row],[Store ID]],Table4[[Store ID]:[Region]],3)</f>
        <v>Midlands</v>
      </c>
      <c r="O508" t="str">
        <f>VLOOKUP(Table5[[#This Row],[Product ID]],'Product Master'!$A$2:$D$10,4)</f>
        <v>Supplier C</v>
      </c>
      <c r="P508" s="15">
        <f>Table5[[#This Row],[Total Revenue]]-Table5[[#This Row],[Net Sales Revenue]]</f>
        <v>3746.3999999999942</v>
      </c>
      <c r="Q508" s="15">
        <f>Table5[[#This Row],[Net Sales Revenue]]/Table5[[#This Row],[Units Sold]]</f>
        <v>26.6</v>
      </c>
      <c r="R508">
        <f>VLOOKUP(Table5[[#This Row],[Product ID]],'Product Master'!$A$1:$E$10,5,FALSE)</f>
        <v>15</v>
      </c>
      <c r="S508" s="15">
        <f>Table5[[#This Row],[standard product cost per unit]]*Table5[[#This Row],[Units Sold]]</f>
        <v>40140</v>
      </c>
      <c r="T508" s="15">
        <f>Table5[[#This Row],[Cost of Sales]]-Table5[[#This Row],[Standard cost]]</f>
        <v>0</v>
      </c>
      <c r="U508" s="15">
        <f>Table5[[#This Row],[Net Sales Revenue]]-Table5[[#This Row],[Cost of Sales]]</f>
        <v>31041.600000000006</v>
      </c>
      <c r="V508" s="17">
        <f>Table5[[#This Row],[GrossProfit]]/Table5[[#This Row],[Net Sales Revenue]]</f>
        <v>0.43609022556390981</v>
      </c>
    </row>
    <row r="509" spans="1:22" ht="14.25" customHeight="1" x14ac:dyDescent="0.25">
      <c r="A509" s="1" t="s">
        <v>586</v>
      </c>
      <c r="B509" s="1" t="s">
        <v>574</v>
      </c>
      <c r="C509" s="1" t="s">
        <v>44</v>
      </c>
      <c r="D509" s="1" t="s">
        <v>17</v>
      </c>
      <c r="E509" s="1" t="s">
        <v>15</v>
      </c>
      <c r="F509" s="1">
        <v>2764</v>
      </c>
      <c r="G509" s="14">
        <v>35</v>
      </c>
      <c r="H509" s="1">
        <v>0.06</v>
      </c>
      <c r="I509" s="14">
        <v>90935.6</v>
      </c>
      <c r="J509" s="14">
        <v>49752</v>
      </c>
      <c r="K509" s="15">
        <f>Table5[[#This Row],[Selling Price]]*Table5[[#This Row],[Units Sold]]</f>
        <v>96740</v>
      </c>
      <c r="L509" t="str">
        <f t="shared" si="7"/>
        <v>2023-12</v>
      </c>
      <c r="M509" t="str">
        <f>VLOOKUP(Table5[[#This Row],[Store ID]],Table4[[Store ID]:[Store Location]],2)</f>
        <v>Birmingham</v>
      </c>
      <c r="N509" t="str">
        <f>VLOOKUP(Table5[[#This Row],[Store ID]],Table4[[Store ID]:[Region]],3)</f>
        <v>Midlands</v>
      </c>
      <c r="O509" t="str">
        <f>VLOOKUP(Table5[[#This Row],[Product ID]],'Product Master'!$A$2:$D$10,4)</f>
        <v>Supplier C</v>
      </c>
      <c r="P509" s="15">
        <f>Table5[[#This Row],[Total Revenue]]-Table5[[#This Row],[Net Sales Revenue]]</f>
        <v>5804.3999999999942</v>
      </c>
      <c r="Q509" s="15">
        <f>Table5[[#This Row],[Net Sales Revenue]]/Table5[[#This Row],[Units Sold]]</f>
        <v>32.9</v>
      </c>
      <c r="R509">
        <f>VLOOKUP(Table5[[#This Row],[Product ID]],'Product Master'!$A$1:$E$10,5,FALSE)</f>
        <v>18</v>
      </c>
      <c r="S509" s="15">
        <f>Table5[[#This Row],[standard product cost per unit]]*Table5[[#This Row],[Units Sold]]</f>
        <v>49752</v>
      </c>
      <c r="T509" s="15">
        <f>Table5[[#This Row],[Cost of Sales]]-Table5[[#This Row],[Standard cost]]</f>
        <v>0</v>
      </c>
      <c r="U509" s="15">
        <f>Table5[[#This Row],[Net Sales Revenue]]-Table5[[#This Row],[Cost of Sales]]</f>
        <v>41183.600000000006</v>
      </c>
      <c r="V509" s="17">
        <f>Table5[[#This Row],[GrossProfit]]/Table5[[#This Row],[Net Sales Revenue]]</f>
        <v>0.45288753799392101</v>
      </c>
    </row>
    <row r="510" spans="1:22" ht="14.25" customHeight="1" x14ac:dyDescent="0.25">
      <c r="A510" s="1" t="s">
        <v>587</v>
      </c>
      <c r="B510" s="1" t="s">
        <v>574</v>
      </c>
      <c r="C510" s="1" t="s">
        <v>44</v>
      </c>
      <c r="D510" s="1" t="s">
        <v>19</v>
      </c>
      <c r="E510" s="1" t="s">
        <v>21</v>
      </c>
      <c r="F510" s="1">
        <v>2080</v>
      </c>
      <c r="G510" s="14">
        <v>18</v>
      </c>
      <c r="H510" s="1">
        <v>0.09</v>
      </c>
      <c r="I510" s="14">
        <v>34070.400000000001</v>
      </c>
      <c r="J510" s="14">
        <v>18720</v>
      </c>
      <c r="K510" s="15">
        <f>Table5[[#This Row],[Selling Price]]*Table5[[#This Row],[Units Sold]]</f>
        <v>37440</v>
      </c>
      <c r="L510" t="str">
        <f t="shared" si="7"/>
        <v>2023-12</v>
      </c>
      <c r="M510" t="str">
        <f>VLOOKUP(Table5[[#This Row],[Store ID]],Table4[[Store ID]:[Store Location]],2)</f>
        <v>Birmingham</v>
      </c>
      <c r="N510" t="str">
        <f>VLOOKUP(Table5[[#This Row],[Store ID]],Table4[[Store ID]:[Region]],3)</f>
        <v>Midlands</v>
      </c>
      <c r="O510" t="str">
        <f>VLOOKUP(Table5[[#This Row],[Product ID]],'Product Master'!$A$2:$D$10,4)</f>
        <v>Supplier D</v>
      </c>
      <c r="P510" s="15">
        <f>Table5[[#This Row],[Total Revenue]]-Table5[[#This Row],[Net Sales Revenue]]</f>
        <v>3369.5999999999985</v>
      </c>
      <c r="Q510" s="15">
        <f>Table5[[#This Row],[Net Sales Revenue]]/Table5[[#This Row],[Units Sold]]</f>
        <v>16.38</v>
      </c>
      <c r="R510">
        <f>VLOOKUP(Table5[[#This Row],[Product ID]],'Product Master'!$A$1:$E$10,5,FALSE)</f>
        <v>9</v>
      </c>
      <c r="S510" s="15">
        <f>Table5[[#This Row],[standard product cost per unit]]*Table5[[#This Row],[Units Sold]]</f>
        <v>18720</v>
      </c>
      <c r="T510" s="15">
        <f>Table5[[#This Row],[Cost of Sales]]-Table5[[#This Row],[Standard cost]]</f>
        <v>0</v>
      </c>
      <c r="U510" s="15">
        <f>Table5[[#This Row],[Net Sales Revenue]]-Table5[[#This Row],[Cost of Sales]]</f>
        <v>15350.400000000001</v>
      </c>
      <c r="V510" s="17">
        <f>Table5[[#This Row],[GrossProfit]]/Table5[[#This Row],[Net Sales Revenue]]</f>
        <v>0.45054945054945056</v>
      </c>
    </row>
    <row r="511" spans="1:22" ht="14.25" customHeight="1" x14ac:dyDescent="0.25">
      <c r="A511" s="1" t="s">
        <v>588</v>
      </c>
      <c r="B511" s="1" t="s">
        <v>574</v>
      </c>
      <c r="C511" s="1" t="s">
        <v>44</v>
      </c>
      <c r="D511" s="1" t="s">
        <v>23</v>
      </c>
      <c r="E511" s="1" t="s">
        <v>21</v>
      </c>
      <c r="F511" s="1">
        <v>2672</v>
      </c>
      <c r="G511" s="14">
        <v>30</v>
      </c>
      <c r="H511" s="1">
        <v>0.08</v>
      </c>
      <c r="I511" s="14">
        <v>73747.199999999997</v>
      </c>
      <c r="J511" s="14">
        <v>37408</v>
      </c>
      <c r="K511" s="15">
        <f>Table5[[#This Row],[Selling Price]]*Table5[[#This Row],[Units Sold]]</f>
        <v>80160</v>
      </c>
      <c r="L511" t="str">
        <f t="shared" si="7"/>
        <v>2023-12</v>
      </c>
      <c r="M511" t="str">
        <f>VLOOKUP(Table5[[#This Row],[Store ID]],Table4[[Store ID]:[Store Location]],2)</f>
        <v>Birmingham</v>
      </c>
      <c r="N511" t="str">
        <f>VLOOKUP(Table5[[#This Row],[Store ID]],Table4[[Store ID]:[Region]],3)</f>
        <v>Midlands</v>
      </c>
      <c r="O511" t="str">
        <f>VLOOKUP(Table5[[#This Row],[Product ID]],'Product Master'!$A$2:$D$10,4)</f>
        <v>Supplier D</v>
      </c>
      <c r="P511" s="15">
        <f>Table5[[#This Row],[Total Revenue]]-Table5[[#This Row],[Net Sales Revenue]]</f>
        <v>6412.8000000000029</v>
      </c>
      <c r="Q511" s="15">
        <f>Table5[[#This Row],[Net Sales Revenue]]/Table5[[#This Row],[Units Sold]]</f>
        <v>27.599999999999998</v>
      </c>
      <c r="R511">
        <f>VLOOKUP(Table5[[#This Row],[Product ID]],'Product Master'!$A$1:$E$10,5,FALSE)</f>
        <v>14</v>
      </c>
      <c r="S511" s="15">
        <f>Table5[[#This Row],[standard product cost per unit]]*Table5[[#This Row],[Units Sold]]</f>
        <v>37408</v>
      </c>
      <c r="T511" s="15">
        <f>Table5[[#This Row],[Cost of Sales]]-Table5[[#This Row],[Standard cost]]</f>
        <v>0</v>
      </c>
      <c r="U511" s="15">
        <f>Table5[[#This Row],[Net Sales Revenue]]-Table5[[#This Row],[Cost of Sales]]</f>
        <v>36339.199999999997</v>
      </c>
      <c r="V511" s="17">
        <f>Table5[[#This Row],[GrossProfit]]/Table5[[#This Row],[Net Sales Revenue]]</f>
        <v>0.49275362318840576</v>
      </c>
    </row>
    <row r="512" spans="1:22" ht="14.25" customHeight="1" x14ac:dyDescent="0.25">
      <c r="A512" s="1" t="s">
        <v>589</v>
      </c>
      <c r="B512" s="1" t="s">
        <v>574</v>
      </c>
      <c r="C512" s="1" t="s">
        <v>44</v>
      </c>
      <c r="D512" s="1" t="s">
        <v>25</v>
      </c>
      <c r="E512" s="1" t="s">
        <v>27</v>
      </c>
      <c r="F512" s="1">
        <v>2520</v>
      </c>
      <c r="G512" s="14">
        <v>40</v>
      </c>
      <c r="H512" s="1">
        <v>0.06</v>
      </c>
      <c r="I512" s="14">
        <v>94752</v>
      </c>
      <c r="J512" s="14">
        <v>50400</v>
      </c>
      <c r="K512" s="15">
        <f>Table5[[#This Row],[Selling Price]]*Table5[[#This Row],[Units Sold]]</f>
        <v>100800</v>
      </c>
      <c r="L512" t="str">
        <f t="shared" si="7"/>
        <v>2023-12</v>
      </c>
      <c r="M512" t="str">
        <f>VLOOKUP(Table5[[#This Row],[Store ID]],Table4[[Store ID]:[Store Location]],2)</f>
        <v>Birmingham</v>
      </c>
      <c r="N512" t="str">
        <f>VLOOKUP(Table5[[#This Row],[Store ID]],Table4[[Store ID]:[Region]],3)</f>
        <v>Midlands</v>
      </c>
      <c r="O512" t="str">
        <f>VLOOKUP(Table5[[#This Row],[Product ID]],'Product Master'!$A$2:$D$10,4)</f>
        <v>Supplier E</v>
      </c>
      <c r="P512" s="15">
        <f>Table5[[#This Row],[Total Revenue]]-Table5[[#This Row],[Net Sales Revenue]]</f>
        <v>6048</v>
      </c>
      <c r="Q512" s="15">
        <f>Table5[[#This Row],[Net Sales Revenue]]/Table5[[#This Row],[Units Sold]]</f>
        <v>37.6</v>
      </c>
      <c r="R512">
        <f>VLOOKUP(Table5[[#This Row],[Product ID]],'Product Master'!$A$1:$E$10,5,FALSE)</f>
        <v>20</v>
      </c>
      <c r="S512" s="15">
        <f>Table5[[#This Row],[standard product cost per unit]]*Table5[[#This Row],[Units Sold]]</f>
        <v>50400</v>
      </c>
      <c r="T512" s="15">
        <f>Table5[[#This Row],[Cost of Sales]]-Table5[[#This Row],[Standard cost]]</f>
        <v>0</v>
      </c>
      <c r="U512" s="15">
        <f>Table5[[#This Row],[Net Sales Revenue]]-Table5[[#This Row],[Cost of Sales]]</f>
        <v>44352</v>
      </c>
      <c r="V512" s="17">
        <f>Table5[[#This Row],[GrossProfit]]/Table5[[#This Row],[Net Sales Revenue]]</f>
        <v>0.46808510638297873</v>
      </c>
    </row>
    <row r="513" spans="1:22" ht="14.25" customHeight="1" x14ac:dyDescent="0.25">
      <c r="A513" s="1" t="s">
        <v>590</v>
      </c>
      <c r="B513" s="1" t="s">
        <v>574</v>
      </c>
      <c r="C513" s="1" t="s">
        <v>44</v>
      </c>
      <c r="D513" s="1" t="s">
        <v>29</v>
      </c>
      <c r="E513" s="1" t="s">
        <v>31</v>
      </c>
      <c r="F513" s="1">
        <v>1492</v>
      </c>
      <c r="G513" s="14">
        <v>10</v>
      </c>
      <c r="H513" s="1">
        <v>0.09</v>
      </c>
      <c r="I513" s="14">
        <v>13577.2</v>
      </c>
      <c r="J513" s="14">
        <v>5968</v>
      </c>
      <c r="K513" s="15">
        <f>Table5[[#This Row],[Selling Price]]*Table5[[#This Row],[Units Sold]]</f>
        <v>14920</v>
      </c>
      <c r="L513" t="str">
        <f t="shared" si="7"/>
        <v>2023-12</v>
      </c>
      <c r="M513" t="str">
        <f>VLOOKUP(Table5[[#This Row],[Store ID]],Table4[[Store ID]:[Store Location]],2)</f>
        <v>Birmingham</v>
      </c>
      <c r="N513" t="str">
        <f>VLOOKUP(Table5[[#This Row],[Store ID]],Table4[[Store ID]:[Region]],3)</f>
        <v>Midlands</v>
      </c>
      <c r="O513" t="str">
        <f>VLOOKUP(Table5[[#This Row],[Product ID]],'Product Master'!$A$2:$D$10,4)</f>
        <v>Supplier F</v>
      </c>
      <c r="P513" s="15">
        <f>Table5[[#This Row],[Total Revenue]]-Table5[[#This Row],[Net Sales Revenue]]</f>
        <v>1342.7999999999993</v>
      </c>
      <c r="Q513" s="15">
        <f>Table5[[#This Row],[Net Sales Revenue]]/Table5[[#This Row],[Units Sold]]</f>
        <v>9.1</v>
      </c>
      <c r="R513">
        <f>VLOOKUP(Table5[[#This Row],[Product ID]],'Product Master'!$A$1:$E$10,5,FALSE)</f>
        <v>4</v>
      </c>
      <c r="S513" s="15">
        <f>Table5[[#This Row],[standard product cost per unit]]*Table5[[#This Row],[Units Sold]]</f>
        <v>5968</v>
      </c>
      <c r="T513" s="15">
        <f>Table5[[#This Row],[Cost of Sales]]-Table5[[#This Row],[Standard cost]]</f>
        <v>0</v>
      </c>
      <c r="U513" s="15">
        <f>Table5[[#This Row],[Net Sales Revenue]]-Table5[[#This Row],[Cost of Sales]]</f>
        <v>7609.2000000000007</v>
      </c>
      <c r="V513" s="17">
        <f>Table5[[#This Row],[GrossProfit]]/Table5[[#This Row],[Net Sales Revenue]]</f>
        <v>0.56043956043956045</v>
      </c>
    </row>
    <row r="514" spans="1:22" ht="14.25" customHeight="1" x14ac:dyDescent="0.25">
      <c r="A514" s="1" t="s">
        <v>591</v>
      </c>
      <c r="B514" s="1" t="s">
        <v>574</v>
      </c>
      <c r="C514" s="1" t="s">
        <v>44</v>
      </c>
      <c r="D514" s="1" t="s">
        <v>33</v>
      </c>
      <c r="E514" s="1" t="s">
        <v>31</v>
      </c>
      <c r="F514" s="1">
        <v>1204</v>
      </c>
      <c r="G514" s="14">
        <v>22</v>
      </c>
      <c r="H514" s="1">
        <v>0.08</v>
      </c>
      <c r="I514" s="14">
        <v>24368.959999999999</v>
      </c>
      <c r="J514" s="14">
        <v>12040</v>
      </c>
      <c r="K514" s="15">
        <f>Table5[[#This Row],[Selling Price]]*Table5[[#This Row],[Units Sold]]</f>
        <v>26488</v>
      </c>
      <c r="L514" t="str">
        <f t="shared" ref="L514:L577" si="8">TEXT(B514,"yyyy-mm")</f>
        <v>2023-12</v>
      </c>
      <c r="M514" t="str">
        <f>VLOOKUP(Table5[[#This Row],[Store ID]],Table4[[Store ID]:[Store Location]],2)</f>
        <v>Birmingham</v>
      </c>
      <c r="N514" t="str">
        <f>VLOOKUP(Table5[[#This Row],[Store ID]],Table4[[Store ID]:[Region]],3)</f>
        <v>Midlands</v>
      </c>
      <c r="O514" t="str">
        <f>VLOOKUP(Table5[[#This Row],[Product ID]],'Product Master'!$A$2:$D$10,4)</f>
        <v>Supplier F</v>
      </c>
      <c r="P514" s="15">
        <f>Table5[[#This Row],[Total Revenue]]-Table5[[#This Row],[Net Sales Revenue]]</f>
        <v>2119.0400000000009</v>
      </c>
      <c r="Q514" s="15">
        <f>Table5[[#This Row],[Net Sales Revenue]]/Table5[[#This Row],[Units Sold]]</f>
        <v>20.239999999999998</v>
      </c>
      <c r="R514">
        <f>VLOOKUP(Table5[[#This Row],[Product ID]],'Product Master'!$A$1:$E$10,5,FALSE)</f>
        <v>10</v>
      </c>
      <c r="S514" s="15">
        <f>Table5[[#This Row],[standard product cost per unit]]*Table5[[#This Row],[Units Sold]]</f>
        <v>12040</v>
      </c>
      <c r="T514" s="15">
        <f>Table5[[#This Row],[Cost of Sales]]-Table5[[#This Row],[Standard cost]]</f>
        <v>0</v>
      </c>
      <c r="U514" s="15">
        <f>Table5[[#This Row],[Net Sales Revenue]]-Table5[[#This Row],[Cost of Sales]]</f>
        <v>12328.96</v>
      </c>
      <c r="V514" s="17">
        <f>Table5[[#This Row],[GrossProfit]]/Table5[[#This Row],[Net Sales Revenue]]</f>
        <v>0.50592885375494068</v>
      </c>
    </row>
    <row r="515" spans="1:22" ht="14.25" customHeight="1" x14ac:dyDescent="0.25">
      <c r="A515" s="1" t="s">
        <v>592</v>
      </c>
      <c r="B515" s="1" t="s">
        <v>574</v>
      </c>
      <c r="C515" s="1" t="s">
        <v>48</v>
      </c>
      <c r="D515" s="1" t="s">
        <v>6</v>
      </c>
      <c r="E515" s="1" t="s">
        <v>8</v>
      </c>
      <c r="F515" s="1">
        <v>1656</v>
      </c>
      <c r="G515" s="14">
        <v>24</v>
      </c>
      <c r="H515" s="1">
        <v>0.1</v>
      </c>
      <c r="I515" s="14">
        <v>35769.599999999999</v>
      </c>
      <c r="J515" s="14">
        <v>19872</v>
      </c>
      <c r="K515" s="15">
        <f>Table5[[#This Row],[Selling Price]]*Table5[[#This Row],[Units Sold]]</f>
        <v>39744</v>
      </c>
      <c r="L515" t="str">
        <f t="shared" si="8"/>
        <v>2023-12</v>
      </c>
      <c r="M515" t="str">
        <f>VLOOKUP(Table5[[#This Row],[Store ID]],Table4[[Store ID]:[Store Location]],2)</f>
        <v>London Stratford</v>
      </c>
      <c r="N515" t="str">
        <f>VLOOKUP(Table5[[#This Row],[Store ID]],Table4[[Store ID]:[Region]],3)</f>
        <v>South</v>
      </c>
      <c r="O515" t="str">
        <f>VLOOKUP(Table5[[#This Row],[Product ID]],'Product Master'!$A$2:$D$10,4)</f>
        <v>Supplier A</v>
      </c>
      <c r="P515" s="15">
        <f>Table5[[#This Row],[Total Revenue]]-Table5[[#This Row],[Net Sales Revenue]]</f>
        <v>3974.4000000000015</v>
      </c>
      <c r="Q515" s="15">
        <f>Table5[[#This Row],[Net Sales Revenue]]/Table5[[#This Row],[Units Sold]]</f>
        <v>21.599999999999998</v>
      </c>
      <c r="R515">
        <f>VLOOKUP(Table5[[#This Row],[Product ID]],'Product Master'!$A$1:$E$10,5,FALSE)</f>
        <v>12</v>
      </c>
      <c r="S515" s="15">
        <f>Table5[[#This Row],[standard product cost per unit]]*Table5[[#This Row],[Units Sold]]</f>
        <v>19872</v>
      </c>
      <c r="T515" s="15">
        <f>Table5[[#This Row],[Cost of Sales]]-Table5[[#This Row],[Standard cost]]</f>
        <v>0</v>
      </c>
      <c r="U515" s="15">
        <f>Table5[[#This Row],[Net Sales Revenue]]-Table5[[#This Row],[Cost of Sales]]</f>
        <v>15897.599999999999</v>
      </c>
      <c r="V515" s="17">
        <f>Table5[[#This Row],[GrossProfit]]/Table5[[#This Row],[Net Sales Revenue]]</f>
        <v>0.44444444444444442</v>
      </c>
    </row>
    <row r="516" spans="1:22" ht="14.25" customHeight="1" x14ac:dyDescent="0.25">
      <c r="A516" s="1" t="s">
        <v>593</v>
      </c>
      <c r="B516" s="1" t="s">
        <v>574</v>
      </c>
      <c r="C516" s="1" t="s">
        <v>48</v>
      </c>
      <c r="D516" s="1" t="s">
        <v>10</v>
      </c>
      <c r="E516" s="1" t="s">
        <v>8</v>
      </c>
      <c r="F516" s="1">
        <v>2528</v>
      </c>
      <c r="G516" s="14">
        <v>50</v>
      </c>
      <c r="H516" s="1">
        <v>0.1</v>
      </c>
      <c r="I516" s="14">
        <v>113760</v>
      </c>
      <c r="J516" s="14">
        <v>70784</v>
      </c>
      <c r="K516" s="15">
        <f>Table5[[#This Row],[Selling Price]]*Table5[[#This Row],[Units Sold]]</f>
        <v>126400</v>
      </c>
      <c r="L516" t="str">
        <f t="shared" si="8"/>
        <v>2023-12</v>
      </c>
      <c r="M516" t="str">
        <f>VLOOKUP(Table5[[#This Row],[Store ID]],Table4[[Store ID]:[Store Location]],2)</f>
        <v>London Stratford</v>
      </c>
      <c r="N516" t="str">
        <f>VLOOKUP(Table5[[#This Row],[Store ID]],Table4[[Store ID]:[Region]],3)</f>
        <v>South</v>
      </c>
      <c r="O516" t="str">
        <f>VLOOKUP(Table5[[#This Row],[Product ID]],'Product Master'!$A$2:$D$10,4)</f>
        <v>Supplier B</v>
      </c>
      <c r="P516" s="15">
        <f>Table5[[#This Row],[Total Revenue]]-Table5[[#This Row],[Net Sales Revenue]]</f>
        <v>12640</v>
      </c>
      <c r="Q516" s="15">
        <f>Table5[[#This Row],[Net Sales Revenue]]/Table5[[#This Row],[Units Sold]]</f>
        <v>45</v>
      </c>
      <c r="R516">
        <f>VLOOKUP(Table5[[#This Row],[Product ID]],'Product Master'!$A$1:$E$10,5,FALSE)</f>
        <v>28</v>
      </c>
      <c r="S516" s="15">
        <f>Table5[[#This Row],[standard product cost per unit]]*Table5[[#This Row],[Units Sold]]</f>
        <v>70784</v>
      </c>
      <c r="T516" s="15">
        <f>Table5[[#This Row],[Cost of Sales]]-Table5[[#This Row],[Standard cost]]</f>
        <v>0</v>
      </c>
      <c r="U516" s="15">
        <f>Table5[[#This Row],[Net Sales Revenue]]-Table5[[#This Row],[Cost of Sales]]</f>
        <v>42976</v>
      </c>
      <c r="V516" s="17">
        <f>Table5[[#This Row],[GrossProfit]]/Table5[[#This Row],[Net Sales Revenue]]</f>
        <v>0.37777777777777777</v>
      </c>
    </row>
    <row r="517" spans="1:22" ht="14.25" customHeight="1" x14ac:dyDescent="0.25">
      <c r="A517" s="1" t="s">
        <v>594</v>
      </c>
      <c r="B517" s="1" t="s">
        <v>574</v>
      </c>
      <c r="C517" s="1" t="s">
        <v>48</v>
      </c>
      <c r="D517" s="1" t="s">
        <v>13</v>
      </c>
      <c r="E517" s="1" t="s">
        <v>15</v>
      </c>
      <c r="F517" s="1">
        <v>2756</v>
      </c>
      <c r="G517" s="14">
        <v>28</v>
      </c>
      <c r="H517" s="1">
        <v>7.0000000000000007E-2</v>
      </c>
      <c r="I517" s="14">
        <v>71766.240000000005</v>
      </c>
      <c r="J517" s="14">
        <v>41340</v>
      </c>
      <c r="K517" s="15">
        <f>Table5[[#This Row],[Selling Price]]*Table5[[#This Row],[Units Sold]]</f>
        <v>77168</v>
      </c>
      <c r="L517" t="str">
        <f t="shared" si="8"/>
        <v>2023-12</v>
      </c>
      <c r="M517" t="str">
        <f>VLOOKUP(Table5[[#This Row],[Store ID]],Table4[[Store ID]:[Store Location]],2)</f>
        <v>London Stratford</v>
      </c>
      <c r="N517" t="str">
        <f>VLOOKUP(Table5[[#This Row],[Store ID]],Table4[[Store ID]:[Region]],3)</f>
        <v>South</v>
      </c>
      <c r="O517" t="str">
        <f>VLOOKUP(Table5[[#This Row],[Product ID]],'Product Master'!$A$2:$D$10,4)</f>
        <v>Supplier C</v>
      </c>
      <c r="P517" s="15">
        <f>Table5[[#This Row],[Total Revenue]]-Table5[[#This Row],[Net Sales Revenue]]</f>
        <v>5401.7599999999948</v>
      </c>
      <c r="Q517" s="15">
        <f>Table5[[#This Row],[Net Sales Revenue]]/Table5[[#This Row],[Units Sold]]</f>
        <v>26.040000000000003</v>
      </c>
      <c r="R517">
        <f>VLOOKUP(Table5[[#This Row],[Product ID]],'Product Master'!$A$1:$E$10,5,FALSE)</f>
        <v>15</v>
      </c>
      <c r="S517" s="15">
        <f>Table5[[#This Row],[standard product cost per unit]]*Table5[[#This Row],[Units Sold]]</f>
        <v>41340</v>
      </c>
      <c r="T517" s="15">
        <f>Table5[[#This Row],[Cost of Sales]]-Table5[[#This Row],[Standard cost]]</f>
        <v>0</v>
      </c>
      <c r="U517" s="15">
        <f>Table5[[#This Row],[Net Sales Revenue]]-Table5[[#This Row],[Cost of Sales]]</f>
        <v>30426.240000000005</v>
      </c>
      <c r="V517" s="17">
        <f>Table5[[#This Row],[GrossProfit]]/Table5[[#This Row],[Net Sales Revenue]]</f>
        <v>0.42396313364055305</v>
      </c>
    </row>
    <row r="518" spans="1:22" ht="14.25" customHeight="1" x14ac:dyDescent="0.25">
      <c r="A518" s="1" t="s">
        <v>595</v>
      </c>
      <c r="B518" s="1" t="s">
        <v>574</v>
      </c>
      <c r="C518" s="1" t="s">
        <v>48</v>
      </c>
      <c r="D518" s="1" t="s">
        <v>17</v>
      </c>
      <c r="E518" s="1" t="s">
        <v>15</v>
      </c>
      <c r="F518" s="1">
        <v>2408</v>
      </c>
      <c r="G518" s="14">
        <v>35</v>
      </c>
      <c r="H518" s="1">
        <v>0.06</v>
      </c>
      <c r="I518" s="14">
        <v>79223.199999999997</v>
      </c>
      <c r="J518" s="14">
        <v>43344</v>
      </c>
      <c r="K518" s="15">
        <f>Table5[[#This Row],[Selling Price]]*Table5[[#This Row],[Units Sold]]</f>
        <v>84280</v>
      </c>
      <c r="L518" t="str">
        <f t="shared" si="8"/>
        <v>2023-12</v>
      </c>
      <c r="M518" t="str">
        <f>VLOOKUP(Table5[[#This Row],[Store ID]],Table4[[Store ID]:[Store Location]],2)</f>
        <v>London Stratford</v>
      </c>
      <c r="N518" t="str">
        <f>VLOOKUP(Table5[[#This Row],[Store ID]],Table4[[Store ID]:[Region]],3)</f>
        <v>South</v>
      </c>
      <c r="O518" t="str">
        <f>VLOOKUP(Table5[[#This Row],[Product ID]],'Product Master'!$A$2:$D$10,4)</f>
        <v>Supplier C</v>
      </c>
      <c r="P518" s="15">
        <f>Table5[[#This Row],[Total Revenue]]-Table5[[#This Row],[Net Sales Revenue]]</f>
        <v>5056.8000000000029</v>
      </c>
      <c r="Q518" s="15">
        <f>Table5[[#This Row],[Net Sales Revenue]]/Table5[[#This Row],[Units Sold]]</f>
        <v>32.9</v>
      </c>
      <c r="R518">
        <f>VLOOKUP(Table5[[#This Row],[Product ID]],'Product Master'!$A$1:$E$10,5,FALSE)</f>
        <v>18</v>
      </c>
      <c r="S518" s="15">
        <f>Table5[[#This Row],[standard product cost per unit]]*Table5[[#This Row],[Units Sold]]</f>
        <v>43344</v>
      </c>
      <c r="T518" s="15">
        <f>Table5[[#This Row],[Cost of Sales]]-Table5[[#This Row],[Standard cost]]</f>
        <v>0</v>
      </c>
      <c r="U518" s="15">
        <f>Table5[[#This Row],[Net Sales Revenue]]-Table5[[#This Row],[Cost of Sales]]</f>
        <v>35879.199999999997</v>
      </c>
      <c r="V518" s="17">
        <f>Table5[[#This Row],[GrossProfit]]/Table5[[#This Row],[Net Sales Revenue]]</f>
        <v>0.45288753799392095</v>
      </c>
    </row>
    <row r="519" spans="1:22" ht="14.25" customHeight="1" x14ac:dyDescent="0.25">
      <c r="A519" s="1" t="s">
        <v>596</v>
      </c>
      <c r="B519" s="1" t="s">
        <v>574</v>
      </c>
      <c r="C519" s="1" t="s">
        <v>48</v>
      </c>
      <c r="D519" s="1" t="s">
        <v>19</v>
      </c>
      <c r="E519" s="1" t="s">
        <v>21</v>
      </c>
      <c r="F519" s="1">
        <v>1404</v>
      </c>
      <c r="G519" s="14">
        <v>18</v>
      </c>
      <c r="H519" s="1">
        <v>0.06</v>
      </c>
      <c r="I519" s="14">
        <v>23755.68</v>
      </c>
      <c r="J519" s="14">
        <v>12636</v>
      </c>
      <c r="K519" s="15">
        <f>Table5[[#This Row],[Selling Price]]*Table5[[#This Row],[Units Sold]]</f>
        <v>25272</v>
      </c>
      <c r="L519" t="str">
        <f t="shared" si="8"/>
        <v>2023-12</v>
      </c>
      <c r="M519" t="str">
        <f>VLOOKUP(Table5[[#This Row],[Store ID]],Table4[[Store ID]:[Store Location]],2)</f>
        <v>London Stratford</v>
      </c>
      <c r="N519" t="str">
        <f>VLOOKUP(Table5[[#This Row],[Store ID]],Table4[[Store ID]:[Region]],3)</f>
        <v>South</v>
      </c>
      <c r="O519" t="str">
        <f>VLOOKUP(Table5[[#This Row],[Product ID]],'Product Master'!$A$2:$D$10,4)</f>
        <v>Supplier D</v>
      </c>
      <c r="P519" s="15">
        <f>Table5[[#This Row],[Total Revenue]]-Table5[[#This Row],[Net Sales Revenue]]</f>
        <v>1516.3199999999997</v>
      </c>
      <c r="Q519" s="15">
        <f>Table5[[#This Row],[Net Sales Revenue]]/Table5[[#This Row],[Units Sold]]</f>
        <v>16.920000000000002</v>
      </c>
      <c r="R519">
        <f>VLOOKUP(Table5[[#This Row],[Product ID]],'Product Master'!$A$1:$E$10,5,FALSE)</f>
        <v>9</v>
      </c>
      <c r="S519" s="15">
        <f>Table5[[#This Row],[standard product cost per unit]]*Table5[[#This Row],[Units Sold]]</f>
        <v>12636</v>
      </c>
      <c r="T519" s="15">
        <f>Table5[[#This Row],[Cost of Sales]]-Table5[[#This Row],[Standard cost]]</f>
        <v>0</v>
      </c>
      <c r="U519" s="15">
        <f>Table5[[#This Row],[Net Sales Revenue]]-Table5[[#This Row],[Cost of Sales]]</f>
        <v>11119.68</v>
      </c>
      <c r="V519" s="17">
        <f>Table5[[#This Row],[GrossProfit]]/Table5[[#This Row],[Net Sales Revenue]]</f>
        <v>0.46808510638297873</v>
      </c>
    </row>
    <row r="520" spans="1:22" ht="14.25" customHeight="1" x14ac:dyDescent="0.25">
      <c r="A520" s="1" t="s">
        <v>597</v>
      </c>
      <c r="B520" s="1" t="s">
        <v>574</v>
      </c>
      <c r="C520" s="1" t="s">
        <v>48</v>
      </c>
      <c r="D520" s="1" t="s">
        <v>23</v>
      </c>
      <c r="E520" s="1" t="s">
        <v>21</v>
      </c>
      <c r="F520" s="1">
        <v>2120</v>
      </c>
      <c r="G520" s="14">
        <v>30</v>
      </c>
      <c r="H520" s="1">
        <v>0.09</v>
      </c>
      <c r="I520" s="14">
        <v>57876</v>
      </c>
      <c r="J520" s="14">
        <v>29680</v>
      </c>
      <c r="K520" s="15">
        <f>Table5[[#This Row],[Selling Price]]*Table5[[#This Row],[Units Sold]]</f>
        <v>63600</v>
      </c>
      <c r="L520" t="str">
        <f t="shared" si="8"/>
        <v>2023-12</v>
      </c>
      <c r="M520" t="str">
        <f>VLOOKUP(Table5[[#This Row],[Store ID]],Table4[[Store ID]:[Store Location]],2)</f>
        <v>London Stratford</v>
      </c>
      <c r="N520" t="str">
        <f>VLOOKUP(Table5[[#This Row],[Store ID]],Table4[[Store ID]:[Region]],3)</f>
        <v>South</v>
      </c>
      <c r="O520" t="str">
        <f>VLOOKUP(Table5[[#This Row],[Product ID]],'Product Master'!$A$2:$D$10,4)</f>
        <v>Supplier D</v>
      </c>
      <c r="P520" s="15">
        <f>Table5[[#This Row],[Total Revenue]]-Table5[[#This Row],[Net Sales Revenue]]</f>
        <v>5724</v>
      </c>
      <c r="Q520" s="15">
        <f>Table5[[#This Row],[Net Sales Revenue]]/Table5[[#This Row],[Units Sold]]</f>
        <v>27.3</v>
      </c>
      <c r="R520">
        <f>VLOOKUP(Table5[[#This Row],[Product ID]],'Product Master'!$A$1:$E$10,5,FALSE)</f>
        <v>14</v>
      </c>
      <c r="S520" s="15">
        <f>Table5[[#This Row],[standard product cost per unit]]*Table5[[#This Row],[Units Sold]]</f>
        <v>29680</v>
      </c>
      <c r="T520" s="15">
        <f>Table5[[#This Row],[Cost of Sales]]-Table5[[#This Row],[Standard cost]]</f>
        <v>0</v>
      </c>
      <c r="U520" s="15">
        <f>Table5[[#This Row],[Net Sales Revenue]]-Table5[[#This Row],[Cost of Sales]]</f>
        <v>28196</v>
      </c>
      <c r="V520" s="17">
        <f>Table5[[#This Row],[GrossProfit]]/Table5[[#This Row],[Net Sales Revenue]]</f>
        <v>0.48717948717948717</v>
      </c>
    </row>
    <row r="521" spans="1:22" ht="14.25" customHeight="1" x14ac:dyDescent="0.25">
      <c r="A521" s="1" t="s">
        <v>598</v>
      </c>
      <c r="B521" s="1" t="s">
        <v>574</v>
      </c>
      <c r="C521" s="1" t="s">
        <v>48</v>
      </c>
      <c r="D521" s="1" t="s">
        <v>25</v>
      </c>
      <c r="E521" s="1" t="s">
        <v>27</v>
      </c>
      <c r="F521" s="1">
        <v>2412</v>
      </c>
      <c r="G521" s="14">
        <v>40</v>
      </c>
      <c r="H521" s="1">
        <v>0.09</v>
      </c>
      <c r="I521" s="14">
        <v>87796.800000000003</v>
      </c>
      <c r="J521" s="14">
        <v>48240</v>
      </c>
      <c r="K521" s="15">
        <f>Table5[[#This Row],[Selling Price]]*Table5[[#This Row],[Units Sold]]</f>
        <v>96480</v>
      </c>
      <c r="L521" t="str">
        <f t="shared" si="8"/>
        <v>2023-12</v>
      </c>
      <c r="M521" t="str">
        <f>VLOOKUP(Table5[[#This Row],[Store ID]],Table4[[Store ID]:[Store Location]],2)</f>
        <v>London Stratford</v>
      </c>
      <c r="N521" t="str">
        <f>VLOOKUP(Table5[[#This Row],[Store ID]],Table4[[Store ID]:[Region]],3)</f>
        <v>South</v>
      </c>
      <c r="O521" t="str">
        <f>VLOOKUP(Table5[[#This Row],[Product ID]],'Product Master'!$A$2:$D$10,4)</f>
        <v>Supplier E</v>
      </c>
      <c r="P521" s="15">
        <f>Table5[[#This Row],[Total Revenue]]-Table5[[#This Row],[Net Sales Revenue]]</f>
        <v>8683.1999999999971</v>
      </c>
      <c r="Q521" s="15">
        <f>Table5[[#This Row],[Net Sales Revenue]]/Table5[[#This Row],[Units Sold]]</f>
        <v>36.4</v>
      </c>
      <c r="R521">
        <f>VLOOKUP(Table5[[#This Row],[Product ID]],'Product Master'!$A$1:$E$10,5,FALSE)</f>
        <v>20</v>
      </c>
      <c r="S521" s="15">
        <f>Table5[[#This Row],[standard product cost per unit]]*Table5[[#This Row],[Units Sold]]</f>
        <v>48240</v>
      </c>
      <c r="T521" s="15">
        <f>Table5[[#This Row],[Cost of Sales]]-Table5[[#This Row],[Standard cost]]</f>
        <v>0</v>
      </c>
      <c r="U521" s="15">
        <f>Table5[[#This Row],[Net Sales Revenue]]-Table5[[#This Row],[Cost of Sales]]</f>
        <v>39556.800000000003</v>
      </c>
      <c r="V521" s="17">
        <f>Table5[[#This Row],[GrossProfit]]/Table5[[#This Row],[Net Sales Revenue]]</f>
        <v>0.45054945054945056</v>
      </c>
    </row>
    <row r="522" spans="1:22" ht="14.25" customHeight="1" x14ac:dyDescent="0.25">
      <c r="A522" s="1" t="s">
        <v>599</v>
      </c>
      <c r="B522" s="1" t="s">
        <v>574</v>
      </c>
      <c r="C522" s="1" t="s">
        <v>48</v>
      </c>
      <c r="D522" s="1" t="s">
        <v>29</v>
      </c>
      <c r="E522" s="1" t="s">
        <v>31</v>
      </c>
      <c r="F522" s="1">
        <v>1208</v>
      </c>
      <c r="G522" s="14">
        <v>10</v>
      </c>
      <c r="H522" s="1">
        <v>7.0000000000000007E-2</v>
      </c>
      <c r="I522" s="14">
        <v>11234.4</v>
      </c>
      <c r="J522" s="14">
        <v>4832</v>
      </c>
      <c r="K522" s="15">
        <f>Table5[[#This Row],[Selling Price]]*Table5[[#This Row],[Units Sold]]</f>
        <v>12080</v>
      </c>
      <c r="L522" t="str">
        <f t="shared" si="8"/>
        <v>2023-12</v>
      </c>
      <c r="M522" t="str">
        <f>VLOOKUP(Table5[[#This Row],[Store ID]],Table4[[Store ID]:[Store Location]],2)</f>
        <v>London Stratford</v>
      </c>
      <c r="N522" t="str">
        <f>VLOOKUP(Table5[[#This Row],[Store ID]],Table4[[Store ID]:[Region]],3)</f>
        <v>South</v>
      </c>
      <c r="O522" t="str">
        <f>VLOOKUP(Table5[[#This Row],[Product ID]],'Product Master'!$A$2:$D$10,4)</f>
        <v>Supplier F</v>
      </c>
      <c r="P522" s="15">
        <f>Table5[[#This Row],[Total Revenue]]-Table5[[#This Row],[Net Sales Revenue]]</f>
        <v>845.60000000000036</v>
      </c>
      <c r="Q522" s="15">
        <f>Table5[[#This Row],[Net Sales Revenue]]/Table5[[#This Row],[Units Sold]]</f>
        <v>9.2999999999999989</v>
      </c>
      <c r="R522">
        <f>VLOOKUP(Table5[[#This Row],[Product ID]],'Product Master'!$A$1:$E$10,5,FALSE)</f>
        <v>4</v>
      </c>
      <c r="S522" s="15">
        <f>Table5[[#This Row],[standard product cost per unit]]*Table5[[#This Row],[Units Sold]]</f>
        <v>4832</v>
      </c>
      <c r="T522" s="15">
        <f>Table5[[#This Row],[Cost of Sales]]-Table5[[#This Row],[Standard cost]]</f>
        <v>0</v>
      </c>
      <c r="U522" s="15">
        <f>Table5[[#This Row],[Net Sales Revenue]]-Table5[[#This Row],[Cost of Sales]]</f>
        <v>6402.4</v>
      </c>
      <c r="V522" s="17">
        <f>Table5[[#This Row],[GrossProfit]]/Table5[[#This Row],[Net Sales Revenue]]</f>
        <v>0.56989247311827951</v>
      </c>
    </row>
    <row r="523" spans="1:22" ht="14.25" customHeight="1" x14ac:dyDescent="0.25">
      <c r="A523" s="1" t="s">
        <v>600</v>
      </c>
      <c r="B523" s="1" t="s">
        <v>574</v>
      </c>
      <c r="C523" s="1" t="s">
        <v>48</v>
      </c>
      <c r="D523" s="1" t="s">
        <v>33</v>
      </c>
      <c r="E523" s="1" t="s">
        <v>31</v>
      </c>
      <c r="F523" s="1">
        <v>1684</v>
      </c>
      <c r="G523" s="14">
        <v>22</v>
      </c>
      <c r="H523" s="1">
        <v>0.09</v>
      </c>
      <c r="I523" s="14">
        <v>33713.68</v>
      </c>
      <c r="J523" s="14">
        <v>16840</v>
      </c>
      <c r="K523" s="15">
        <f>Table5[[#This Row],[Selling Price]]*Table5[[#This Row],[Units Sold]]</f>
        <v>37048</v>
      </c>
      <c r="L523" t="str">
        <f t="shared" si="8"/>
        <v>2023-12</v>
      </c>
      <c r="M523" t="str">
        <f>VLOOKUP(Table5[[#This Row],[Store ID]],Table4[[Store ID]:[Store Location]],2)</f>
        <v>London Stratford</v>
      </c>
      <c r="N523" t="str">
        <f>VLOOKUP(Table5[[#This Row],[Store ID]],Table4[[Store ID]:[Region]],3)</f>
        <v>South</v>
      </c>
      <c r="O523" t="str">
        <f>VLOOKUP(Table5[[#This Row],[Product ID]],'Product Master'!$A$2:$D$10,4)</f>
        <v>Supplier F</v>
      </c>
      <c r="P523" s="15">
        <f>Table5[[#This Row],[Total Revenue]]-Table5[[#This Row],[Net Sales Revenue]]</f>
        <v>3334.3199999999997</v>
      </c>
      <c r="Q523" s="15">
        <f>Table5[[#This Row],[Net Sales Revenue]]/Table5[[#This Row],[Units Sold]]</f>
        <v>20.02</v>
      </c>
      <c r="R523">
        <f>VLOOKUP(Table5[[#This Row],[Product ID]],'Product Master'!$A$1:$E$10,5,FALSE)</f>
        <v>10</v>
      </c>
      <c r="S523" s="15">
        <f>Table5[[#This Row],[standard product cost per unit]]*Table5[[#This Row],[Units Sold]]</f>
        <v>16840</v>
      </c>
      <c r="T523" s="15">
        <f>Table5[[#This Row],[Cost of Sales]]-Table5[[#This Row],[Standard cost]]</f>
        <v>0</v>
      </c>
      <c r="U523" s="15">
        <f>Table5[[#This Row],[Net Sales Revenue]]-Table5[[#This Row],[Cost of Sales]]</f>
        <v>16873.68</v>
      </c>
      <c r="V523" s="17">
        <f>Table5[[#This Row],[GrossProfit]]/Table5[[#This Row],[Net Sales Revenue]]</f>
        <v>0.50049950049950054</v>
      </c>
    </row>
    <row r="524" spans="1:22" ht="14.25" customHeight="1" x14ac:dyDescent="0.25">
      <c r="A524" s="1" t="s">
        <v>601</v>
      </c>
      <c r="B524" s="1" t="s">
        <v>574</v>
      </c>
      <c r="C524" s="1" t="s">
        <v>52</v>
      </c>
      <c r="D524" s="1" t="s">
        <v>6</v>
      </c>
      <c r="E524" s="1" t="s">
        <v>8</v>
      </c>
      <c r="F524" s="1">
        <v>2200</v>
      </c>
      <c r="G524" s="14">
        <v>24</v>
      </c>
      <c r="H524" s="1">
        <v>0.08</v>
      </c>
      <c r="I524" s="14">
        <v>48576</v>
      </c>
      <c r="J524" s="14">
        <v>26400</v>
      </c>
      <c r="K524" s="15">
        <f>Table5[[#This Row],[Selling Price]]*Table5[[#This Row],[Units Sold]]</f>
        <v>52800</v>
      </c>
      <c r="L524" t="str">
        <f t="shared" si="8"/>
        <v>2023-12</v>
      </c>
      <c r="M524" t="str">
        <f>VLOOKUP(Table5[[#This Row],[Store ID]],Table4[[Store ID]:[Store Location]],2)</f>
        <v>Glasgow</v>
      </c>
      <c r="N524" t="str">
        <f>VLOOKUP(Table5[[#This Row],[Store ID]],Table4[[Store ID]:[Region]],3)</f>
        <v>Scotland</v>
      </c>
      <c r="O524" t="str">
        <f>VLOOKUP(Table5[[#This Row],[Product ID]],'Product Master'!$A$2:$D$10,4)</f>
        <v>Supplier A</v>
      </c>
      <c r="P524" s="15">
        <f>Table5[[#This Row],[Total Revenue]]-Table5[[#This Row],[Net Sales Revenue]]</f>
        <v>4224</v>
      </c>
      <c r="Q524" s="15">
        <f>Table5[[#This Row],[Net Sales Revenue]]/Table5[[#This Row],[Units Sold]]</f>
        <v>22.08</v>
      </c>
      <c r="R524">
        <f>VLOOKUP(Table5[[#This Row],[Product ID]],'Product Master'!$A$1:$E$10,5,FALSE)</f>
        <v>12</v>
      </c>
      <c r="S524" s="15">
        <f>Table5[[#This Row],[standard product cost per unit]]*Table5[[#This Row],[Units Sold]]</f>
        <v>26400</v>
      </c>
      <c r="T524" s="15">
        <f>Table5[[#This Row],[Cost of Sales]]-Table5[[#This Row],[Standard cost]]</f>
        <v>0</v>
      </c>
      <c r="U524" s="15">
        <f>Table5[[#This Row],[Net Sales Revenue]]-Table5[[#This Row],[Cost of Sales]]</f>
        <v>22176</v>
      </c>
      <c r="V524" s="17">
        <f>Table5[[#This Row],[GrossProfit]]/Table5[[#This Row],[Net Sales Revenue]]</f>
        <v>0.45652173913043476</v>
      </c>
    </row>
    <row r="525" spans="1:22" ht="14.25" customHeight="1" x14ac:dyDescent="0.25">
      <c r="A525" s="1" t="s">
        <v>602</v>
      </c>
      <c r="B525" s="1" t="s">
        <v>574</v>
      </c>
      <c r="C525" s="1" t="s">
        <v>52</v>
      </c>
      <c r="D525" s="1" t="s">
        <v>10</v>
      </c>
      <c r="E525" s="1" t="s">
        <v>8</v>
      </c>
      <c r="F525" s="1">
        <v>2596</v>
      </c>
      <c r="G525" s="14">
        <v>50</v>
      </c>
      <c r="H525" s="1">
        <v>7.0000000000000007E-2</v>
      </c>
      <c r="I525" s="14">
        <v>120714</v>
      </c>
      <c r="J525" s="14">
        <v>72688</v>
      </c>
      <c r="K525" s="15">
        <f>Table5[[#This Row],[Selling Price]]*Table5[[#This Row],[Units Sold]]</f>
        <v>129800</v>
      </c>
      <c r="L525" t="str">
        <f t="shared" si="8"/>
        <v>2023-12</v>
      </c>
      <c r="M525" t="str">
        <f>VLOOKUP(Table5[[#This Row],[Store ID]],Table4[[Store ID]:[Store Location]],2)</f>
        <v>Glasgow</v>
      </c>
      <c r="N525" t="str">
        <f>VLOOKUP(Table5[[#This Row],[Store ID]],Table4[[Store ID]:[Region]],3)</f>
        <v>Scotland</v>
      </c>
      <c r="O525" t="str">
        <f>VLOOKUP(Table5[[#This Row],[Product ID]],'Product Master'!$A$2:$D$10,4)</f>
        <v>Supplier B</v>
      </c>
      <c r="P525" s="15">
        <f>Table5[[#This Row],[Total Revenue]]-Table5[[#This Row],[Net Sales Revenue]]</f>
        <v>9086</v>
      </c>
      <c r="Q525" s="15">
        <f>Table5[[#This Row],[Net Sales Revenue]]/Table5[[#This Row],[Units Sold]]</f>
        <v>46.5</v>
      </c>
      <c r="R525">
        <f>VLOOKUP(Table5[[#This Row],[Product ID]],'Product Master'!$A$1:$E$10,5,FALSE)</f>
        <v>28</v>
      </c>
      <c r="S525" s="15">
        <f>Table5[[#This Row],[standard product cost per unit]]*Table5[[#This Row],[Units Sold]]</f>
        <v>72688</v>
      </c>
      <c r="T525" s="15">
        <f>Table5[[#This Row],[Cost of Sales]]-Table5[[#This Row],[Standard cost]]</f>
        <v>0</v>
      </c>
      <c r="U525" s="15">
        <f>Table5[[#This Row],[Net Sales Revenue]]-Table5[[#This Row],[Cost of Sales]]</f>
        <v>48026</v>
      </c>
      <c r="V525" s="17">
        <f>Table5[[#This Row],[GrossProfit]]/Table5[[#This Row],[Net Sales Revenue]]</f>
        <v>0.39784946236559138</v>
      </c>
    </row>
    <row r="526" spans="1:22" ht="14.25" customHeight="1" x14ac:dyDescent="0.25">
      <c r="A526" s="1" t="s">
        <v>603</v>
      </c>
      <c r="B526" s="1" t="s">
        <v>574</v>
      </c>
      <c r="C526" s="1" t="s">
        <v>52</v>
      </c>
      <c r="D526" s="1" t="s">
        <v>13</v>
      </c>
      <c r="E526" s="1" t="s">
        <v>15</v>
      </c>
      <c r="F526" s="1">
        <v>2072</v>
      </c>
      <c r="G526" s="14">
        <v>28</v>
      </c>
      <c r="H526" s="1">
        <v>7.0000000000000007E-2</v>
      </c>
      <c r="I526" s="14">
        <v>53954.879999999997</v>
      </c>
      <c r="J526" s="14">
        <v>31080</v>
      </c>
      <c r="K526" s="15">
        <f>Table5[[#This Row],[Selling Price]]*Table5[[#This Row],[Units Sold]]</f>
        <v>58016</v>
      </c>
      <c r="L526" t="str">
        <f t="shared" si="8"/>
        <v>2023-12</v>
      </c>
      <c r="M526" t="str">
        <f>VLOOKUP(Table5[[#This Row],[Store ID]],Table4[[Store ID]:[Store Location]],2)</f>
        <v>Glasgow</v>
      </c>
      <c r="N526" t="str">
        <f>VLOOKUP(Table5[[#This Row],[Store ID]],Table4[[Store ID]:[Region]],3)</f>
        <v>Scotland</v>
      </c>
      <c r="O526" t="str">
        <f>VLOOKUP(Table5[[#This Row],[Product ID]],'Product Master'!$A$2:$D$10,4)</f>
        <v>Supplier C</v>
      </c>
      <c r="P526" s="15">
        <f>Table5[[#This Row],[Total Revenue]]-Table5[[#This Row],[Net Sales Revenue]]</f>
        <v>4061.1200000000026</v>
      </c>
      <c r="Q526" s="15">
        <f>Table5[[#This Row],[Net Sales Revenue]]/Table5[[#This Row],[Units Sold]]</f>
        <v>26.04</v>
      </c>
      <c r="R526">
        <f>VLOOKUP(Table5[[#This Row],[Product ID]],'Product Master'!$A$1:$E$10,5,FALSE)</f>
        <v>15</v>
      </c>
      <c r="S526" s="15">
        <f>Table5[[#This Row],[standard product cost per unit]]*Table5[[#This Row],[Units Sold]]</f>
        <v>31080</v>
      </c>
      <c r="T526" s="15">
        <f>Table5[[#This Row],[Cost of Sales]]-Table5[[#This Row],[Standard cost]]</f>
        <v>0</v>
      </c>
      <c r="U526" s="15">
        <f>Table5[[#This Row],[Net Sales Revenue]]-Table5[[#This Row],[Cost of Sales]]</f>
        <v>22874.879999999997</v>
      </c>
      <c r="V526" s="17">
        <f>Table5[[#This Row],[GrossProfit]]/Table5[[#This Row],[Net Sales Revenue]]</f>
        <v>0.42396313364055299</v>
      </c>
    </row>
    <row r="527" spans="1:22" ht="14.25" customHeight="1" x14ac:dyDescent="0.25">
      <c r="A527" s="1" t="s">
        <v>604</v>
      </c>
      <c r="B527" s="1" t="s">
        <v>574</v>
      </c>
      <c r="C527" s="1" t="s">
        <v>52</v>
      </c>
      <c r="D527" s="1" t="s">
        <v>17</v>
      </c>
      <c r="E527" s="1" t="s">
        <v>15</v>
      </c>
      <c r="F527" s="1">
        <v>1260</v>
      </c>
      <c r="G527" s="14">
        <v>35</v>
      </c>
      <c r="H527" s="1">
        <v>0.06</v>
      </c>
      <c r="I527" s="14">
        <v>41454</v>
      </c>
      <c r="J527" s="14">
        <v>22680</v>
      </c>
      <c r="K527" s="15">
        <f>Table5[[#This Row],[Selling Price]]*Table5[[#This Row],[Units Sold]]</f>
        <v>44100</v>
      </c>
      <c r="L527" t="str">
        <f t="shared" si="8"/>
        <v>2023-12</v>
      </c>
      <c r="M527" t="str">
        <f>VLOOKUP(Table5[[#This Row],[Store ID]],Table4[[Store ID]:[Store Location]],2)</f>
        <v>Glasgow</v>
      </c>
      <c r="N527" t="str">
        <f>VLOOKUP(Table5[[#This Row],[Store ID]],Table4[[Store ID]:[Region]],3)</f>
        <v>Scotland</v>
      </c>
      <c r="O527" t="str">
        <f>VLOOKUP(Table5[[#This Row],[Product ID]],'Product Master'!$A$2:$D$10,4)</f>
        <v>Supplier C</v>
      </c>
      <c r="P527" s="15">
        <f>Table5[[#This Row],[Total Revenue]]-Table5[[#This Row],[Net Sales Revenue]]</f>
        <v>2646</v>
      </c>
      <c r="Q527" s="15">
        <f>Table5[[#This Row],[Net Sales Revenue]]/Table5[[#This Row],[Units Sold]]</f>
        <v>32.9</v>
      </c>
      <c r="R527">
        <f>VLOOKUP(Table5[[#This Row],[Product ID]],'Product Master'!$A$1:$E$10,5,FALSE)</f>
        <v>18</v>
      </c>
      <c r="S527" s="15">
        <f>Table5[[#This Row],[standard product cost per unit]]*Table5[[#This Row],[Units Sold]]</f>
        <v>22680</v>
      </c>
      <c r="T527" s="15">
        <f>Table5[[#This Row],[Cost of Sales]]-Table5[[#This Row],[Standard cost]]</f>
        <v>0</v>
      </c>
      <c r="U527" s="15">
        <f>Table5[[#This Row],[Net Sales Revenue]]-Table5[[#This Row],[Cost of Sales]]</f>
        <v>18774</v>
      </c>
      <c r="V527" s="17">
        <f>Table5[[#This Row],[GrossProfit]]/Table5[[#This Row],[Net Sales Revenue]]</f>
        <v>0.45288753799392095</v>
      </c>
    </row>
    <row r="528" spans="1:22" ht="14.25" customHeight="1" x14ac:dyDescent="0.25">
      <c r="A528" s="1" t="s">
        <v>605</v>
      </c>
      <c r="B528" s="1" t="s">
        <v>574</v>
      </c>
      <c r="C528" s="1" t="s">
        <v>52</v>
      </c>
      <c r="D528" s="1" t="s">
        <v>19</v>
      </c>
      <c r="E528" s="1" t="s">
        <v>21</v>
      </c>
      <c r="F528" s="1">
        <v>2392</v>
      </c>
      <c r="G528" s="14">
        <v>18</v>
      </c>
      <c r="H528" s="1">
        <v>0.06</v>
      </c>
      <c r="I528" s="14">
        <v>40472.639999999999</v>
      </c>
      <c r="J528" s="14">
        <v>21528</v>
      </c>
      <c r="K528" s="15">
        <f>Table5[[#This Row],[Selling Price]]*Table5[[#This Row],[Units Sold]]</f>
        <v>43056</v>
      </c>
      <c r="L528" t="str">
        <f t="shared" si="8"/>
        <v>2023-12</v>
      </c>
      <c r="M528" t="str">
        <f>VLOOKUP(Table5[[#This Row],[Store ID]],Table4[[Store ID]:[Store Location]],2)</f>
        <v>Glasgow</v>
      </c>
      <c r="N528" t="str">
        <f>VLOOKUP(Table5[[#This Row],[Store ID]],Table4[[Store ID]:[Region]],3)</f>
        <v>Scotland</v>
      </c>
      <c r="O528" t="str">
        <f>VLOOKUP(Table5[[#This Row],[Product ID]],'Product Master'!$A$2:$D$10,4)</f>
        <v>Supplier D</v>
      </c>
      <c r="P528" s="15">
        <f>Table5[[#This Row],[Total Revenue]]-Table5[[#This Row],[Net Sales Revenue]]</f>
        <v>2583.3600000000006</v>
      </c>
      <c r="Q528" s="15">
        <f>Table5[[#This Row],[Net Sales Revenue]]/Table5[[#This Row],[Units Sold]]</f>
        <v>16.919999999999998</v>
      </c>
      <c r="R528">
        <f>VLOOKUP(Table5[[#This Row],[Product ID]],'Product Master'!$A$1:$E$10,5,FALSE)</f>
        <v>9</v>
      </c>
      <c r="S528" s="15">
        <f>Table5[[#This Row],[standard product cost per unit]]*Table5[[#This Row],[Units Sold]]</f>
        <v>21528</v>
      </c>
      <c r="T528" s="15">
        <f>Table5[[#This Row],[Cost of Sales]]-Table5[[#This Row],[Standard cost]]</f>
        <v>0</v>
      </c>
      <c r="U528" s="15">
        <f>Table5[[#This Row],[Net Sales Revenue]]-Table5[[#This Row],[Cost of Sales]]</f>
        <v>18944.64</v>
      </c>
      <c r="V528" s="17">
        <f>Table5[[#This Row],[GrossProfit]]/Table5[[#This Row],[Net Sales Revenue]]</f>
        <v>0.46808510638297873</v>
      </c>
    </row>
    <row r="529" spans="1:22" ht="14.25" customHeight="1" x14ac:dyDescent="0.25">
      <c r="A529" s="1" t="s">
        <v>606</v>
      </c>
      <c r="B529" s="1" t="s">
        <v>574</v>
      </c>
      <c r="C529" s="1" t="s">
        <v>52</v>
      </c>
      <c r="D529" s="1" t="s">
        <v>23</v>
      </c>
      <c r="E529" s="1" t="s">
        <v>21</v>
      </c>
      <c r="F529" s="1">
        <v>2016</v>
      </c>
      <c r="G529" s="14">
        <v>30</v>
      </c>
      <c r="H529" s="1">
        <v>0.09</v>
      </c>
      <c r="I529" s="14">
        <v>55036.800000000003</v>
      </c>
      <c r="J529" s="14">
        <v>28224</v>
      </c>
      <c r="K529" s="15">
        <f>Table5[[#This Row],[Selling Price]]*Table5[[#This Row],[Units Sold]]</f>
        <v>60480</v>
      </c>
      <c r="L529" t="str">
        <f t="shared" si="8"/>
        <v>2023-12</v>
      </c>
      <c r="M529" t="str">
        <f>VLOOKUP(Table5[[#This Row],[Store ID]],Table4[[Store ID]:[Store Location]],2)</f>
        <v>Glasgow</v>
      </c>
      <c r="N529" t="str">
        <f>VLOOKUP(Table5[[#This Row],[Store ID]],Table4[[Store ID]:[Region]],3)</f>
        <v>Scotland</v>
      </c>
      <c r="O529" t="str">
        <f>VLOOKUP(Table5[[#This Row],[Product ID]],'Product Master'!$A$2:$D$10,4)</f>
        <v>Supplier D</v>
      </c>
      <c r="P529" s="15">
        <f>Table5[[#This Row],[Total Revenue]]-Table5[[#This Row],[Net Sales Revenue]]</f>
        <v>5443.1999999999971</v>
      </c>
      <c r="Q529" s="15">
        <f>Table5[[#This Row],[Net Sales Revenue]]/Table5[[#This Row],[Units Sold]]</f>
        <v>27.3</v>
      </c>
      <c r="R529">
        <f>VLOOKUP(Table5[[#This Row],[Product ID]],'Product Master'!$A$1:$E$10,5,FALSE)</f>
        <v>14</v>
      </c>
      <c r="S529" s="15">
        <f>Table5[[#This Row],[standard product cost per unit]]*Table5[[#This Row],[Units Sold]]</f>
        <v>28224</v>
      </c>
      <c r="T529" s="15">
        <f>Table5[[#This Row],[Cost of Sales]]-Table5[[#This Row],[Standard cost]]</f>
        <v>0</v>
      </c>
      <c r="U529" s="15">
        <f>Table5[[#This Row],[Net Sales Revenue]]-Table5[[#This Row],[Cost of Sales]]</f>
        <v>26812.800000000003</v>
      </c>
      <c r="V529" s="17">
        <f>Table5[[#This Row],[GrossProfit]]/Table5[[#This Row],[Net Sales Revenue]]</f>
        <v>0.48717948717948723</v>
      </c>
    </row>
    <row r="530" spans="1:22" ht="14.25" customHeight="1" x14ac:dyDescent="0.25">
      <c r="A530" s="1" t="s">
        <v>607</v>
      </c>
      <c r="B530" s="1" t="s">
        <v>574</v>
      </c>
      <c r="C530" s="1" t="s">
        <v>52</v>
      </c>
      <c r="D530" s="1" t="s">
        <v>25</v>
      </c>
      <c r="E530" s="1" t="s">
        <v>27</v>
      </c>
      <c r="F530" s="1">
        <v>2144</v>
      </c>
      <c r="G530" s="14">
        <v>40</v>
      </c>
      <c r="H530" s="1">
        <v>0.1</v>
      </c>
      <c r="I530" s="14">
        <v>77184</v>
      </c>
      <c r="J530" s="14">
        <v>42880</v>
      </c>
      <c r="K530" s="15">
        <f>Table5[[#This Row],[Selling Price]]*Table5[[#This Row],[Units Sold]]</f>
        <v>85760</v>
      </c>
      <c r="L530" t="str">
        <f t="shared" si="8"/>
        <v>2023-12</v>
      </c>
      <c r="M530" t="str">
        <f>VLOOKUP(Table5[[#This Row],[Store ID]],Table4[[Store ID]:[Store Location]],2)</f>
        <v>Glasgow</v>
      </c>
      <c r="N530" t="str">
        <f>VLOOKUP(Table5[[#This Row],[Store ID]],Table4[[Store ID]:[Region]],3)</f>
        <v>Scotland</v>
      </c>
      <c r="O530" t="str">
        <f>VLOOKUP(Table5[[#This Row],[Product ID]],'Product Master'!$A$2:$D$10,4)</f>
        <v>Supplier E</v>
      </c>
      <c r="P530" s="15">
        <f>Table5[[#This Row],[Total Revenue]]-Table5[[#This Row],[Net Sales Revenue]]</f>
        <v>8576</v>
      </c>
      <c r="Q530" s="15">
        <f>Table5[[#This Row],[Net Sales Revenue]]/Table5[[#This Row],[Units Sold]]</f>
        <v>36</v>
      </c>
      <c r="R530">
        <f>VLOOKUP(Table5[[#This Row],[Product ID]],'Product Master'!$A$1:$E$10,5,FALSE)</f>
        <v>20</v>
      </c>
      <c r="S530" s="15">
        <f>Table5[[#This Row],[standard product cost per unit]]*Table5[[#This Row],[Units Sold]]</f>
        <v>42880</v>
      </c>
      <c r="T530" s="15">
        <f>Table5[[#This Row],[Cost of Sales]]-Table5[[#This Row],[Standard cost]]</f>
        <v>0</v>
      </c>
      <c r="U530" s="15">
        <f>Table5[[#This Row],[Net Sales Revenue]]-Table5[[#This Row],[Cost of Sales]]</f>
        <v>34304</v>
      </c>
      <c r="V530" s="17">
        <f>Table5[[#This Row],[GrossProfit]]/Table5[[#This Row],[Net Sales Revenue]]</f>
        <v>0.44444444444444442</v>
      </c>
    </row>
    <row r="531" spans="1:22" ht="14.25" customHeight="1" x14ac:dyDescent="0.25">
      <c r="A531" s="1" t="s">
        <v>608</v>
      </c>
      <c r="B531" s="1" t="s">
        <v>574</v>
      </c>
      <c r="C531" s="1" t="s">
        <v>52</v>
      </c>
      <c r="D531" s="1" t="s">
        <v>29</v>
      </c>
      <c r="E531" s="1" t="s">
        <v>31</v>
      </c>
      <c r="F531" s="1">
        <v>2772</v>
      </c>
      <c r="G531" s="14">
        <v>10</v>
      </c>
      <c r="H531" s="1">
        <v>0.09</v>
      </c>
      <c r="I531" s="14">
        <v>25225.200000000001</v>
      </c>
      <c r="J531" s="14">
        <v>11088</v>
      </c>
      <c r="K531" s="15">
        <f>Table5[[#This Row],[Selling Price]]*Table5[[#This Row],[Units Sold]]</f>
        <v>27720</v>
      </c>
      <c r="L531" t="str">
        <f t="shared" si="8"/>
        <v>2023-12</v>
      </c>
      <c r="M531" t="str">
        <f>VLOOKUP(Table5[[#This Row],[Store ID]],Table4[[Store ID]:[Store Location]],2)</f>
        <v>Glasgow</v>
      </c>
      <c r="N531" t="str">
        <f>VLOOKUP(Table5[[#This Row],[Store ID]],Table4[[Store ID]:[Region]],3)</f>
        <v>Scotland</v>
      </c>
      <c r="O531" t="str">
        <f>VLOOKUP(Table5[[#This Row],[Product ID]],'Product Master'!$A$2:$D$10,4)</f>
        <v>Supplier F</v>
      </c>
      <c r="P531" s="15">
        <f>Table5[[#This Row],[Total Revenue]]-Table5[[#This Row],[Net Sales Revenue]]</f>
        <v>2494.7999999999993</v>
      </c>
      <c r="Q531" s="15">
        <f>Table5[[#This Row],[Net Sales Revenue]]/Table5[[#This Row],[Units Sold]]</f>
        <v>9.1</v>
      </c>
      <c r="R531">
        <f>VLOOKUP(Table5[[#This Row],[Product ID]],'Product Master'!$A$1:$E$10,5,FALSE)</f>
        <v>4</v>
      </c>
      <c r="S531" s="15">
        <f>Table5[[#This Row],[standard product cost per unit]]*Table5[[#This Row],[Units Sold]]</f>
        <v>11088</v>
      </c>
      <c r="T531" s="15">
        <f>Table5[[#This Row],[Cost of Sales]]-Table5[[#This Row],[Standard cost]]</f>
        <v>0</v>
      </c>
      <c r="U531" s="15">
        <f>Table5[[#This Row],[Net Sales Revenue]]-Table5[[#This Row],[Cost of Sales]]</f>
        <v>14137.2</v>
      </c>
      <c r="V531" s="17">
        <f>Table5[[#This Row],[GrossProfit]]/Table5[[#This Row],[Net Sales Revenue]]</f>
        <v>0.56043956043956045</v>
      </c>
    </row>
    <row r="532" spans="1:22" ht="14.25" customHeight="1" x14ac:dyDescent="0.25">
      <c r="A532" s="1" t="s">
        <v>609</v>
      </c>
      <c r="B532" s="1" t="s">
        <v>574</v>
      </c>
      <c r="C532" s="1" t="s">
        <v>52</v>
      </c>
      <c r="D532" s="1" t="s">
        <v>33</v>
      </c>
      <c r="E532" s="1" t="s">
        <v>31</v>
      </c>
      <c r="F532" s="1">
        <v>1912</v>
      </c>
      <c r="G532" s="14">
        <v>22</v>
      </c>
      <c r="H532" s="1">
        <v>0.08</v>
      </c>
      <c r="I532" s="14">
        <v>38698.879999999997</v>
      </c>
      <c r="J532" s="14">
        <v>19120</v>
      </c>
      <c r="K532" s="15">
        <f>Table5[[#This Row],[Selling Price]]*Table5[[#This Row],[Units Sold]]</f>
        <v>42064</v>
      </c>
      <c r="L532" t="str">
        <f t="shared" si="8"/>
        <v>2023-12</v>
      </c>
      <c r="M532" t="str">
        <f>VLOOKUP(Table5[[#This Row],[Store ID]],Table4[[Store ID]:[Store Location]],2)</f>
        <v>Glasgow</v>
      </c>
      <c r="N532" t="str">
        <f>VLOOKUP(Table5[[#This Row],[Store ID]],Table4[[Store ID]:[Region]],3)</f>
        <v>Scotland</v>
      </c>
      <c r="O532" t="str">
        <f>VLOOKUP(Table5[[#This Row],[Product ID]],'Product Master'!$A$2:$D$10,4)</f>
        <v>Supplier F</v>
      </c>
      <c r="P532" s="15">
        <f>Table5[[#This Row],[Total Revenue]]-Table5[[#This Row],[Net Sales Revenue]]</f>
        <v>3365.1200000000026</v>
      </c>
      <c r="Q532" s="15">
        <f>Table5[[#This Row],[Net Sales Revenue]]/Table5[[#This Row],[Units Sold]]</f>
        <v>20.239999999999998</v>
      </c>
      <c r="R532">
        <f>VLOOKUP(Table5[[#This Row],[Product ID]],'Product Master'!$A$1:$E$10,5,FALSE)</f>
        <v>10</v>
      </c>
      <c r="S532" s="15">
        <f>Table5[[#This Row],[standard product cost per unit]]*Table5[[#This Row],[Units Sold]]</f>
        <v>19120</v>
      </c>
      <c r="T532" s="15">
        <f>Table5[[#This Row],[Cost of Sales]]-Table5[[#This Row],[Standard cost]]</f>
        <v>0</v>
      </c>
      <c r="U532" s="15">
        <f>Table5[[#This Row],[Net Sales Revenue]]-Table5[[#This Row],[Cost of Sales]]</f>
        <v>19578.879999999997</v>
      </c>
      <c r="V532" s="17">
        <f>Table5[[#This Row],[GrossProfit]]/Table5[[#This Row],[Net Sales Revenue]]</f>
        <v>0.50592885375494068</v>
      </c>
    </row>
    <row r="533" spans="1:22" ht="14.25" customHeight="1" x14ac:dyDescent="0.25">
      <c r="A533" s="1" t="s">
        <v>610</v>
      </c>
      <c r="B533" s="1" t="s">
        <v>574</v>
      </c>
      <c r="C533" s="1" t="s">
        <v>56</v>
      </c>
      <c r="D533" s="1" t="s">
        <v>6</v>
      </c>
      <c r="E533" s="1" t="s">
        <v>8</v>
      </c>
      <c r="F533" s="1">
        <v>1312</v>
      </c>
      <c r="G533" s="14">
        <v>24</v>
      </c>
      <c r="H533" s="1">
        <v>0.09</v>
      </c>
      <c r="I533" s="14">
        <v>28654.080000000002</v>
      </c>
      <c r="J533" s="14">
        <v>15744</v>
      </c>
      <c r="K533" s="15">
        <f>Table5[[#This Row],[Selling Price]]*Table5[[#This Row],[Units Sold]]</f>
        <v>31488</v>
      </c>
      <c r="L533" t="str">
        <f t="shared" si="8"/>
        <v>2023-12</v>
      </c>
      <c r="M533" t="str">
        <f>VLOOKUP(Table5[[#This Row],[Store ID]],Table4[[Store ID]:[Store Location]],2)</f>
        <v>Leeds</v>
      </c>
      <c r="N533" t="str">
        <f>VLOOKUP(Table5[[#This Row],[Store ID]],Table4[[Store ID]:[Region]],3)</f>
        <v>North</v>
      </c>
      <c r="O533" t="str">
        <f>VLOOKUP(Table5[[#This Row],[Product ID]],'Product Master'!$A$2:$D$10,4)</f>
        <v>Supplier A</v>
      </c>
      <c r="P533" s="15">
        <f>Table5[[#This Row],[Total Revenue]]-Table5[[#This Row],[Net Sales Revenue]]</f>
        <v>2833.9199999999983</v>
      </c>
      <c r="Q533" s="15">
        <f>Table5[[#This Row],[Net Sales Revenue]]/Table5[[#This Row],[Units Sold]]</f>
        <v>21.84</v>
      </c>
      <c r="R533">
        <f>VLOOKUP(Table5[[#This Row],[Product ID]],'Product Master'!$A$1:$E$10,5,FALSE)</f>
        <v>12</v>
      </c>
      <c r="S533" s="15">
        <f>Table5[[#This Row],[standard product cost per unit]]*Table5[[#This Row],[Units Sold]]</f>
        <v>15744</v>
      </c>
      <c r="T533" s="15">
        <f>Table5[[#This Row],[Cost of Sales]]-Table5[[#This Row],[Standard cost]]</f>
        <v>0</v>
      </c>
      <c r="U533" s="15">
        <f>Table5[[#This Row],[Net Sales Revenue]]-Table5[[#This Row],[Cost of Sales]]</f>
        <v>12910.080000000002</v>
      </c>
      <c r="V533" s="17">
        <f>Table5[[#This Row],[GrossProfit]]/Table5[[#This Row],[Net Sales Revenue]]</f>
        <v>0.45054945054945056</v>
      </c>
    </row>
    <row r="534" spans="1:22" ht="14.25" customHeight="1" x14ac:dyDescent="0.25">
      <c r="A534" s="1" t="s">
        <v>611</v>
      </c>
      <c r="B534" s="1" t="s">
        <v>574</v>
      </c>
      <c r="C534" s="1" t="s">
        <v>56</v>
      </c>
      <c r="D534" s="1" t="s">
        <v>10</v>
      </c>
      <c r="E534" s="1" t="s">
        <v>8</v>
      </c>
      <c r="F534" s="1">
        <v>2364</v>
      </c>
      <c r="G534" s="14">
        <v>50</v>
      </c>
      <c r="H534" s="1">
        <v>0.08</v>
      </c>
      <c r="I534" s="14">
        <v>108744</v>
      </c>
      <c r="J534" s="14">
        <v>66192</v>
      </c>
      <c r="K534" s="15">
        <f>Table5[[#This Row],[Selling Price]]*Table5[[#This Row],[Units Sold]]</f>
        <v>118200</v>
      </c>
      <c r="L534" t="str">
        <f t="shared" si="8"/>
        <v>2023-12</v>
      </c>
      <c r="M534" t="str">
        <f>VLOOKUP(Table5[[#This Row],[Store ID]],Table4[[Store ID]:[Store Location]],2)</f>
        <v>Leeds</v>
      </c>
      <c r="N534" t="str">
        <f>VLOOKUP(Table5[[#This Row],[Store ID]],Table4[[Store ID]:[Region]],3)</f>
        <v>North</v>
      </c>
      <c r="O534" t="str">
        <f>VLOOKUP(Table5[[#This Row],[Product ID]],'Product Master'!$A$2:$D$10,4)</f>
        <v>Supplier B</v>
      </c>
      <c r="P534" s="15">
        <f>Table5[[#This Row],[Total Revenue]]-Table5[[#This Row],[Net Sales Revenue]]</f>
        <v>9456</v>
      </c>
      <c r="Q534" s="15">
        <f>Table5[[#This Row],[Net Sales Revenue]]/Table5[[#This Row],[Units Sold]]</f>
        <v>46</v>
      </c>
      <c r="R534">
        <f>VLOOKUP(Table5[[#This Row],[Product ID]],'Product Master'!$A$1:$E$10,5,FALSE)</f>
        <v>28</v>
      </c>
      <c r="S534" s="15">
        <f>Table5[[#This Row],[standard product cost per unit]]*Table5[[#This Row],[Units Sold]]</f>
        <v>66192</v>
      </c>
      <c r="T534" s="15">
        <f>Table5[[#This Row],[Cost of Sales]]-Table5[[#This Row],[Standard cost]]</f>
        <v>0</v>
      </c>
      <c r="U534" s="15">
        <f>Table5[[#This Row],[Net Sales Revenue]]-Table5[[#This Row],[Cost of Sales]]</f>
        <v>42552</v>
      </c>
      <c r="V534" s="17">
        <f>Table5[[#This Row],[GrossProfit]]/Table5[[#This Row],[Net Sales Revenue]]</f>
        <v>0.39130434782608697</v>
      </c>
    </row>
    <row r="535" spans="1:22" ht="14.25" customHeight="1" x14ac:dyDescent="0.25">
      <c r="A535" s="1" t="s">
        <v>612</v>
      </c>
      <c r="B535" s="1" t="s">
        <v>574</v>
      </c>
      <c r="C535" s="1" t="s">
        <v>56</v>
      </c>
      <c r="D535" s="1" t="s">
        <v>13</v>
      </c>
      <c r="E535" s="1" t="s">
        <v>15</v>
      </c>
      <c r="F535" s="1">
        <v>1400</v>
      </c>
      <c r="G535" s="14">
        <v>28</v>
      </c>
      <c r="H535" s="1">
        <v>0.06</v>
      </c>
      <c r="I535" s="14">
        <v>36848</v>
      </c>
      <c r="J535" s="14">
        <v>21000</v>
      </c>
      <c r="K535" s="15">
        <f>Table5[[#This Row],[Selling Price]]*Table5[[#This Row],[Units Sold]]</f>
        <v>39200</v>
      </c>
      <c r="L535" t="str">
        <f t="shared" si="8"/>
        <v>2023-12</v>
      </c>
      <c r="M535" t="str">
        <f>VLOOKUP(Table5[[#This Row],[Store ID]],Table4[[Store ID]:[Store Location]],2)</f>
        <v>Leeds</v>
      </c>
      <c r="N535" t="str">
        <f>VLOOKUP(Table5[[#This Row],[Store ID]],Table4[[Store ID]:[Region]],3)</f>
        <v>North</v>
      </c>
      <c r="O535" t="str">
        <f>VLOOKUP(Table5[[#This Row],[Product ID]],'Product Master'!$A$2:$D$10,4)</f>
        <v>Supplier C</v>
      </c>
      <c r="P535" s="15">
        <f>Table5[[#This Row],[Total Revenue]]-Table5[[#This Row],[Net Sales Revenue]]</f>
        <v>2352</v>
      </c>
      <c r="Q535" s="15">
        <f>Table5[[#This Row],[Net Sales Revenue]]/Table5[[#This Row],[Units Sold]]</f>
        <v>26.32</v>
      </c>
      <c r="R535">
        <f>VLOOKUP(Table5[[#This Row],[Product ID]],'Product Master'!$A$1:$E$10,5,FALSE)</f>
        <v>15</v>
      </c>
      <c r="S535" s="15">
        <f>Table5[[#This Row],[standard product cost per unit]]*Table5[[#This Row],[Units Sold]]</f>
        <v>21000</v>
      </c>
      <c r="T535" s="15">
        <f>Table5[[#This Row],[Cost of Sales]]-Table5[[#This Row],[Standard cost]]</f>
        <v>0</v>
      </c>
      <c r="U535" s="15">
        <f>Table5[[#This Row],[Net Sales Revenue]]-Table5[[#This Row],[Cost of Sales]]</f>
        <v>15848</v>
      </c>
      <c r="V535" s="17">
        <f>Table5[[#This Row],[GrossProfit]]/Table5[[#This Row],[Net Sales Revenue]]</f>
        <v>0.43009118541033436</v>
      </c>
    </row>
    <row r="536" spans="1:22" ht="14.25" customHeight="1" x14ac:dyDescent="0.25">
      <c r="A536" s="1" t="s">
        <v>613</v>
      </c>
      <c r="B536" s="1" t="s">
        <v>574</v>
      </c>
      <c r="C536" s="1" t="s">
        <v>56</v>
      </c>
      <c r="D536" s="1" t="s">
        <v>17</v>
      </c>
      <c r="E536" s="1" t="s">
        <v>15</v>
      </c>
      <c r="F536" s="1">
        <v>2380</v>
      </c>
      <c r="G536" s="14">
        <v>35</v>
      </c>
      <c r="H536" s="1">
        <v>7.0000000000000007E-2</v>
      </c>
      <c r="I536" s="14">
        <v>77469</v>
      </c>
      <c r="J536" s="14">
        <v>42840</v>
      </c>
      <c r="K536" s="15">
        <f>Table5[[#This Row],[Selling Price]]*Table5[[#This Row],[Units Sold]]</f>
        <v>83300</v>
      </c>
      <c r="L536" t="str">
        <f t="shared" si="8"/>
        <v>2023-12</v>
      </c>
      <c r="M536" t="str">
        <f>VLOOKUP(Table5[[#This Row],[Store ID]],Table4[[Store ID]:[Store Location]],2)</f>
        <v>Leeds</v>
      </c>
      <c r="N536" t="str">
        <f>VLOOKUP(Table5[[#This Row],[Store ID]],Table4[[Store ID]:[Region]],3)</f>
        <v>North</v>
      </c>
      <c r="O536" t="str">
        <f>VLOOKUP(Table5[[#This Row],[Product ID]],'Product Master'!$A$2:$D$10,4)</f>
        <v>Supplier C</v>
      </c>
      <c r="P536" s="15">
        <f>Table5[[#This Row],[Total Revenue]]-Table5[[#This Row],[Net Sales Revenue]]</f>
        <v>5831</v>
      </c>
      <c r="Q536" s="15">
        <f>Table5[[#This Row],[Net Sales Revenue]]/Table5[[#This Row],[Units Sold]]</f>
        <v>32.549999999999997</v>
      </c>
      <c r="R536">
        <f>VLOOKUP(Table5[[#This Row],[Product ID]],'Product Master'!$A$1:$E$10,5,FALSE)</f>
        <v>18</v>
      </c>
      <c r="S536" s="15">
        <f>Table5[[#This Row],[standard product cost per unit]]*Table5[[#This Row],[Units Sold]]</f>
        <v>42840</v>
      </c>
      <c r="T536" s="15">
        <f>Table5[[#This Row],[Cost of Sales]]-Table5[[#This Row],[Standard cost]]</f>
        <v>0</v>
      </c>
      <c r="U536" s="15">
        <f>Table5[[#This Row],[Net Sales Revenue]]-Table5[[#This Row],[Cost of Sales]]</f>
        <v>34629</v>
      </c>
      <c r="V536" s="17">
        <f>Table5[[#This Row],[GrossProfit]]/Table5[[#This Row],[Net Sales Revenue]]</f>
        <v>0.44700460829493088</v>
      </c>
    </row>
    <row r="537" spans="1:22" ht="14.25" customHeight="1" x14ac:dyDescent="0.25">
      <c r="A537" s="1" t="s">
        <v>614</v>
      </c>
      <c r="B537" s="1" t="s">
        <v>574</v>
      </c>
      <c r="C537" s="1" t="s">
        <v>56</v>
      </c>
      <c r="D537" s="1" t="s">
        <v>19</v>
      </c>
      <c r="E537" s="1" t="s">
        <v>21</v>
      </c>
      <c r="F537" s="1">
        <v>1628</v>
      </c>
      <c r="G537" s="14">
        <v>18</v>
      </c>
      <c r="H537" s="1">
        <v>0.09</v>
      </c>
      <c r="I537" s="14">
        <v>26666.639999999999</v>
      </c>
      <c r="J537" s="14">
        <v>14652</v>
      </c>
      <c r="K537" s="15">
        <f>Table5[[#This Row],[Selling Price]]*Table5[[#This Row],[Units Sold]]</f>
        <v>29304</v>
      </c>
      <c r="L537" t="str">
        <f t="shared" si="8"/>
        <v>2023-12</v>
      </c>
      <c r="M537" t="str">
        <f>VLOOKUP(Table5[[#This Row],[Store ID]],Table4[[Store ID]:[Store Location]],2)</f>
        <v>Leeds</v>
      </c>
      <c r="N537" t="str">
        <f>VLOOKUP(Table5[[#This Row],[Store ID]],Table4[[Store ID]:[Region]],3)</f>
        <v>North</v>
      </c>
      <c r="O537" t="str">
        <f>VLOOKUP(Table5[[#This Row],[Product ID]],'Product Master'!$A$2:$D$10,4)</f>
        <v>Supplier D</v>
      </c>
      <c r="P537" s="15">
        <f>Table5[[#This Row],[Total Revenue]]-Table5[[#This Row],[Net Sales Revenue]]</f>
        <v>2637.3600000000006</v>
      </c>
      <c r="Q537" s="15">
        <f>Table5[[#This Row],[Net Sales Revenue]]/Table5[[#This Row],[Units Sold]]</f>
        <v>16.38</v>
      </c>
      <c r="R537">
        <f>VLOOKUP(Table5[[#This Row],[Product ID]],'Product Master'!$A$1:$E$10,5,FALSE)</f>
        <v>9</v>
      </c>
      <c r="S537" s="15">
        <f>Table5[[#This Row],[standard product cost per unit]]*Table5[[#This Row],[Units Sold]]</f>
        <v>14652</v>
      </c>
      <c r="T537" s="15">
        <f>Table5[[#This Row],[Cost of Sales]]-Table5[[#This Row],[Standard cost]]</f>
        <v>0</v>
      </c>
      <c r="U537" s="15">
        <f>Table5[[#This Row],[Net Sales Revenue]]-Table5[[#This Row],[Cost of Sales]]</f>
        <v>12014.64</v>
      </c>
      <c r="V537" s="17">
        <f>Table5[[#This Row],[GrossProfit]]/Table5[[#This Row],[Net Sales Revenue]]</f>
        <v>0.45054945054945056</v>
      </c>
    </row>
    <row r="538" spans="1:22" ht="14.25" customHeight="1" x14ac:dyDescent="0.25">
      <c r="A538" s="1" t="s">
        <v>615</v>
      </c>
      <c r="B538" s="1" t="s">
        <v>574</v>
      </c>
      <c r="C538" s="1" t="s">
        <v>56</v>
      </c>
      <c r="D538" s="1" t="s">
        <v>23</v>
      </c>
      <c r="E538" s="1" t="s">
        <v>21</v>
      </c>
      <c r="F538" s="1">
        <v>2044</v>
      </c>
      <c r="G538" s="14">
        <v>30</v>
      </c>
      <c r="H538" s="1">
        <v>0.08</v>
      </c>
      <c r="I538" s="14">
        <v>56414.400000000001</v>
      </c>
      <c r="J538" s="14">
        <v>28616</v>
      </c>
      <c r="K538" s="15">
        <f>Table5[[#This Row],[Selling Price]]*Table5[[#This Row],[Units Sold]]</f>
        <v>61320</v>
      </c>
      <c r="L538" t="str">
        <f t="shared" si="8"/>
        <v>2023-12</v>
      </c>
      <c r="M538" t="str">
        <f>VLOOKUP(Table5[[#This Row],[Store ID]],Table4[[Store ID]:[Store Location]],2)</f>
        <v>Leeds</v>
      </c>
      <c r="N538" t="str">
        <f>VLOOKUP(Table5[[#This Row],[Store ID]],Table4[[Store ID]:[Region]],3)</f>
        <v>North</v>
      </c>
      <c r="O538" t="str">
        <f>VLOOKUP(Table5[[#This Row],[Product ID]],'Product Master'!$A$2:$D$10,4)</f>
        <v>Supplier D</v>
      </c>
      <c r="P538" s="15">
        <f>Table5[[#This Row],[Total Revenue]]-Table5[[#This Row],[Net Sales Revenue]]</f>
        <v>4905.5999999999985</v>
      </c>
      <c r="Q538" s="15">
        <f>Table5[[#This Row],[Net Sales Revenue]]/Table5[[#This Row],[Units Sold]]</f>
        <v>27.6</v>
      </c>
      <c r="R538">
        <f>VLOOKUP(Table5[[#This Row],[Product ID]],'Product Master'!$A$1:$E$10,5,FALSE)</f>
        <v>14</v>
      </c>
      <c r="S538" s="15">
        <f>Table5[[#This Row],[standard product cost per unit]]*Table5[[#This Row],[Units Sold]]</f>
        <v>28616</v>
      </c>
      <c r="T538" s="15">
        <f>Table5[[#This Row],[Cost of Sales]]-Table5[[#This Row],[Standard cost]]</f>
        <v>0</v>
      </c>
      <c r="U538" s="15">
        <f>Table5[[#This Row],[Net Sales Revenue]]-Table5[[#This Row],[Cost of Sales]]</f>
        <v>27798.400000000001</v>
      </c>
      <c r="V538" s="17">
        <f>Table5[[#This Row],[GrossProfit]]/Table5[[#This Row],[Net Sales Revenue]]</f>
        <v>0.49275362318840582</v>
      </c>
    </row>
    <row r="539" spans="1:22" ht="14.25" customHeight="1" x14ac:dyDescent="0.25">
      <c r="A539" s="1" t="s">
        <v>616</v>
      </c>
      <c r="B539" s="1" t="s">
        <v>574</v>
      </c>
      <c r="C539" s="1" t="s">
        <v>56</v>
      </c>
      <c r="D539" s="1" t="s">
        <v>25</v>
      </c>
      <c r="E539" s="1" t="s">
        <v>27</v>
      </c>
      <c r="F539" s="1">
        <v>2672</v>
      </c>
      <c r="G539" s="14">
        <v>40</v>
      </c>
      <c r="H539" s="1">
        <v>0.1</v>
      </c>
      <c r="I539" s="14">
        <v>96192</v>
      </c>
      <c r="J539" s="14">
        <v>53440</v>
      </c>
      <c r="K539" s="15">
        <f>Table5[[#This Row],[Selling Price]]*Table5[[#This Row],[Units Sold]]</f>
        <v>106880</v>
      </c>
      <c r="L539" t="str">
        <f t="shared" si="8"/>
        <v>2023-12</v>
      </c>
      <c r="M539" t="str">
        <f>VLOOKUP(Table5[[#This Row],[Store ID]],Table4[[Store ID]:[Store Location]],2)</f>
        <v>Leeds</v>
      </c>
      <c r="N539" t="str">
        <f>VLOOKUP(Table5[[#This Row],[Store ID]],Table4[[Store ID]:[Region]],3)</f>
        <v>North</v>
      </c>
      <c r="O539" t="str">
        <f>VLOOKUP(Table5[[#This Row],[Product ID]],'Product Master'!$A$2:$D$10,4)</f>
        <v>Supplier E</v>
      </c>
      <c r="P539" s="15">
        <f>Table5[[#This Row],[Total Revenue]]-Table5[[#This Row],[Net Sales Revenue]]</f>
        <v>10688</v>
      </c>
      <c r="Q539" s="15">
        <f>Table5[[#This Row],[Net Sales Revenue]]/Table5[[#This Row],[Units Sold]]</f>
        <v>36</v>
      </c>
      <c r="R539">
        <f>VLOOKUP(Table5[[#This Row],[Product ID]],'Product Master'!$A$1:$E$10,5,FALSE)</f>
        <v>20</v>
      </c>
      <c r="S539" s="15">
        <f>Table5[[#This Row],[standard product cost per unit]]*Table5[[#This Row],[Units Sold]]</f>
        <v>53440</v>
      </c>
      <c r="T539" s="15">
        <f>Table5[[#This Row],[Cost of Sales]]-Table5[[#This Row],[Standard cost]]</f>
        <v>0</v>
      </c>
      <c r="U539" s="15">
        <f>Table5[[#This Row],[Net Sales Revenue]]-Table5[[#This Row],[Cost of Sales]]</f>
        <v>42752</v>
      </c>
      <c r="V539" s="17">
        <f>Table5[[#This Row],[GrossProfit]]/Table5[[#This Row],[Net Sales Revenue]]</f>
        <v>0.44444444444444442</v>
      </c>
    </row>
    <row r="540" spans="1:22" ht="14.25" customHeight="1" x14ac:dyDescent="0.25">
      <c r="A540" s="1" t="s">
        <v>617</v>
      </c>
      <c r="B540" s="1" t="s">
        <v>574</v>
      </c>
      <c r="C540" s="1" t="s">
        <v>56</v>
      </c>
      <c r="D540" s="1" t="s">
        <v>29</v>
      </c>
      <c r="E540" s="1" t="s">
        <v>31</v>
      </c>
      <c r="F540" s="1">
        <v>1532</v>
      </c>
      <c r="G540" s="14">
        <v>10</v>
      </c>
      <c r="H540" s="1">
        <v>7.0000000000000007E-2</v>
      </c>
      <c r="I540" s="14">
        <v>14247.6</v>
      </c>
      <c r="J540" s="14">
        <v>6128</v>
      </c>
      <c r="K540" s="15">
        <f>Table5[[#This Row],[Selling Price]]*Table5[[#This Row],[Units Sold]]</f>
        <v>15320</v>
      </c>
      <c r="L540" t="str">
        <f t="shared" si="8"/>
        <v>2023-12</v>
      </c>
      <c r="M540" t="str">
        <f>VLOOKUP(Table5[[#This Row],[Store ID]],Table4[[Store ID]:[Store Location]],2)</f>
        <v>Leeds</v>
      </c>
      <c r="N540" t="str">
        <f>VLOOKUP(Table5[[#This Row],[Store ID]],Table4[[Store ID]:[Region]],3)</f>
        <v>North</v>
      </c>
      <c r="O540" t="str">
        <f>VLOOKUP(Table5[[#This Row],[Product ID]],'Product Master'!$A$2:$D$10,4)</f>
        <v>Supplier F</v>
      </c>
      <c r="P540" s="15">
        <f>Table5[[#This Row],[Total Revenue]]-Table5[[#This Row],[Net Sales Revenue]]</f>
        <v>1072.3999999999996</v>
      </c>
      <c r="Q540" s="15">
        <f>Table5[[#This Row],[Net Sales Revenue]]/Table5[[#This Row],[Units Sold]]</f>
        <v>9.3000000000000007</v>
      </c>
      <c r="R540">
        <f>VLOOKUP(Table5[[#This Row],[Product ID]],'Product Master'!$A$1:$E$10,5,FALSE)</f>
        <v>4</v>
      </c>
      <c r="S540" s="15">
        <f>Table5[[#This Row],[standard product cost per unit]]*Table5[[#This Row],[Units Sold]]</f>
        <v>6128</v>
      </c>
      <c r="T540" s="15">
        <f>Table5[[#This Row],[Cost of Sales]]-Table5[[#This Row],[Standard cost]]</f>
        <v>0</v>
      </c>
      <c r="U540" s="15">
        <f>Table5[[#This Row],[Net Sales Revenue]]-Table5[[#This Row],[Cost of Sales]]</f>
        <v>8119.6</v>
      </c>
      <c r="V540" s="17">
        <f>Table5[[#This Row],[GrossProfit]]/Table5[[#This Row],[Net Sales Revenue]]</f>
        <v>0.56989247311827962</v>
      </c>
    </row>
    <row r="541" spans="1:22" ht="14.25" customHeight="1" x14ac:dyDescent="0.25">
      <c r="A541" s="1" t="s">
        <v>618</v>
      </c>
      <c r="B541" s="1" t="s">
        <v>574</v>
      </c>
      <c r="C541" s="1" t="s">
        <v>56</v>
      </c>
      <c r="D541" s="1" t="s">
        <v>33</v>
      </c>
      <c r="E541" s="1" t="s">
        <v>31</v>
      </c>
      <c r="F541" s="1">
        <v>1920</v>
      </c>
      <c r="G541" s="14">
        <v>22</v>
      </c>
      <c r="H541" s="1">
        <v>0.05</v>
      </c>
      <c r="I541" s="14">
        <v>40128</v>
      </c>
      <c r="J541" s="14">
        <v>19200</v>
      </c>
      <c r="K541" s="15">
        <f>Table5[[#This Row],[Selling Price]]*Table5[[#This Row],[Units Sold]]</f>
        <v>42240</v>
      </c>
      <c r="L541" t="str">
        <f t="shared" si="8"/>
        <v>2023-12</v>
      </c>
      <c r="M541" t="str">
        <f>VLOOKUP(Table5[[#This Row],[Store ID]],Table4[[Store ID]:[Store Location]],2)</f>
        <v>Leeds</v>
      </c>
      <c r="N541" t="str">
        <f>VLOOKUP(Table5[[#This Row],[Store ID]],Table4[[Store ID]:[Region]],3)</f>
        <v>North</v>
      </c>
      <c r="O541" t="str">
        <f>VLOOKUP(Table5[[#This Row],[Product ID]],'Product Master'!$A$2:$D$10,4)</f>
        <v>Supplier F</v>
      </c>
      <c r="P541" s="15">
        <f>Table5[[#This Row],[Total Revenue]]-Table5[[#This Row],[Net Sales Revenue]]</f>
        <v>2112</v>
      </c>
      <c r="Q541" s="15">
        <f>Table5[[#This Row],[Net Sales Revenue]]/Table5[[#This Row],[Units Sold]]</f>
        <v>20.9</v>
      </c>
      <c r="R541">
        <f>VLOOKUP(Table5[[#This Row],[Product ID]],'Product Master'!$A$1:$E$10,5,FALSE)</f>
        <v>10</v>
      </c>
      <c r="S541" s="15">
        <f>Table5[[#This Row],[standard product cost per unit]]*Table5[[#This Row],[Units Sold]]</f>
        <v>19200</v>
      </c>
      <c r="T541" s="15">
        <f>Table5[[#This Row],[Cost of Sales]]-Table5[[#This Row],[Standard cost]]</f>
        <v>0</v>
      </c>
      <c r="U541" s="15">
        <f>Table5[[#This Row],[Net Sales Revenue]]-Table5[[#This Row],[Cost of Sales]]</f>
        <v>20928</v>
      </c>
      <c r="V541" s="17">
        <f>Table5[[#This Row],[GrossProfit]]/Table5[[#This Row],[Net Sales Revenue]]</f>
        <v>0.52153110047846885</v>
      </c>
    </row>
    <row r="542" spans="1:22" ht="14.25" customHeight="1" x14ac:dyDescent="0.25">
      <c r="A542" s="1" t="s">
        <v>619</v>
      </c>
      <c r="B542" s="1" t="s">
        <v>620</v>
      </c>
      <c r="C542" s="1" t="s">
        <v>40</v>
      </c>
      <c r="D542" s="1" t="s">
        <v>6</v>
      </c>
      <c r="E542" s="1" t="s">
        <v>8</v>
      </c>
      <c r="F542" s="1">
        <v>2376</v>
      </c>
      <c r="G542" s="14">
        <v>24</v>
      </c>
      <c r="H542" s="1">
        <v>0.16</v>
      </c>
      <c r="I542" s="14">
        <v>47900.160000000003</v>
      </c>
      <c r="J542" s="14">
        <v>30792.959999999999</v>
      </c>
      <c r="K542" s="15">
        <f>Table5[[#This Row],[Selling Price]]*Table5[[#This Row],[Units Sold]]</f>
        <v>57024</v>
      </c>
      <c r="L542" t="str">
        <f t="shared" si="8"/>
        <v>2024-01</v>
      </c>
      <c r="M542" t="str">
        <f>VLOOKUP(Table5[[#This Row],[Store ID]],Table4[[Store ID]:[Store Location]],2)</f>
        <v>Manchester</v>
      </c>
      <c r="N542" t="str">
        <f>VLOOKUP(Table5[[#This Row],[Store ID]],Table4[[Store ID]:[Region]],3)</f>
        <v>North</v>
      </c>
      <c r="O542" t="str">
        <f>VLOOKUP(Table5[[#This Row],[Product ID]],'Product Master'!$A$2:$D$10,4)</f>
        <v>Supplier A</v>
      </c>
      <c r="P542" s="15">
        <f>Table5[[#This Row],[Total Revenue]]-Table5[[#This Row],[Net Sales Revenue]]</f>
        <v>9123.8399999999965</v>
      </c>
      <c r="Q542" s="15">
        <f>Table5[[#This Row],[Net Sales Revenue]]/Table5[[#This Row],[Units Sold]]</f>
        <v>20.16</v>
      </c>
      <c r="R542">
        <f>VLOOKUP(Table5[[#This Row],[Product ID]],'Product Master'!$A$1:$E$10,5,FALSE)</f>
        <v>12</v>
      </c>
      <c r="S542" s="15">
        <f>Table5[[#This Row],[standard product cost per unit]]*Table5[[#This Row],[Units Sold]]</f>
        <v>28512</v>
      </c>
      <c r="T542" s="15">
        <f>Table5[[#This Row],[Cost of Sales]]-Table5[[#This Row],[Standard cost]]</f>
        <v>2280.9599999999991</v>
      </c>
      <c r="U542" s="15">
        <f>Table5[[#This Row],[Net Sales Revenue]]-Table5[[#This Row],[Cost of Sales]]</f>
        <v>17107.200000000004</v>
      </c>
      <c r="V542" s="17">
        <f>Table5[[#This Row],[GrossProfit]]/Table5[[#This Row],[Net Sales Revenue]]</f>
        <v>0.35714285714285721</v>
      </c>
    </row>
    <row r="543" spans="1:22" ht="14.25" customHeight="1" x14ac:dyDescent="0.25">
      <c r="A543" s="1" t="s">
        <v>621</v>
      </c>
      <c r="B543" s="1" t="s">
        <v>620</v>
      </c>
      <c r="C543" s="1" t="s">
        <v>40</v>
      </c>
      <c r="D543" s="1" t="s">
        <v>10</v>
      </c>
      <c r="E543" s="1" t="s">
        <v>8</v>
      </c>
      <c r="F543" s="1">
        <v>3040</v>
      </c>
      <c r="G543" s="14">
        <v>50</v>
      </c>
      <c r="H543" s="1">
        <v>0.16</v>
      </c>
      <c r="I543" s="14">
        <v>127680</v>
      </c>
      <c r="J543" s="14">
        <v>91929.600000000006</v>
      </c>
      <c r="K543" s="15">
        <f>Table5[[#This Row],[Selling Price]]*Table5[[#This Row],[Units Sold]]</f>
        <v>152000</v>
      </c>
      <c r="L543" t="str">
        <f t="shared" si="8"/>
        <v>2024-01</v>
      </c>
      <c r="M543" t="str">
        <f>VLOOKUP(Table5[[#This Row],[Store ID]],Table4[[Store ID]:[Store Location]],2)</f>
        <v>Manchester</v>
      </c>
      <c r="N543" t="str">
        <f>VLOOKUP(Table5[[#This Row],[Store ID]],Table4[[Store ID]:[Region]],3)</f>
        <v>North</v>
      </c>
      <c r="O543" t="str">
        <f>VLOOKUP(Table5[[#This Row],[Product ID]],'Product Master'!$A$2:$D$10,4)</f>
        <v>Supplier B</v>
      </c>
      <c r="P543" s="15">
        <f>Table5[[#This Row],[Total Revenue]]-Table5[[#This Row],[Net Sales Revenue]]</f>
        <v>24320</v>
      </c>
      <c r="Q543" s="15">
        <f>Table5[[#This Row],[Net Sales Revenue]]/Table5[[#This Row],[Units Sold]]</f>
        <v>42</v>
      </c>
      <c r="R543">
        <f>VLOOKUP(Table5[[#This Row],[Product ID]],'Product Master'!$A$1:$E$10,5,FALSE)</f>
        <v>28</v>
      </c>
      <c r="S543" s="15">
        <f>Table5[[#This Row],[standard product cost per unit]]*Table5[[#This Row],[Units Sold]]</f>
        <v>85120</v>
      </c>
      <c r="T543" s="15">
        <f>Table5[[#This Row],[Cost of Sales]]-Table5[[#This Row],[Standard cost]]</f>
        <v>6809.6000000000058</v>
      </c>
      <c r="U543" s="15">
        <f>Table5[[#This Row],[Net Sales Revenue]]-Table5[[#This Row],[Cost of Sales]]</f>
        <v>35750.399999999994</v>
      </c>
      <c r="V543" s="17">
        <f>Table5[[#This Row],[GrossProfit]]/Table5[[#This Row],[Net Sales Revenue]]</f>
        <v>0.27999999999999997</v>
      </c>
    </row>
    <row r="544" spans="1:22" ht="14.25" customHeight="1" x14ac:dyDescent="0.25">
      <c r="A544" s="1" t="s">
        <v>622</v>
      </c>
      <c r="B544" s="1" t="s">
        <v>620</v>
      </c>
      <c r="C544" s="1" t="s">
        <v>40</v>
      </c>
      <c r="D544" s="1" t="s">
        <v>13</v>
      </c>
      <c r="E544" s="1" t="s">
        <v>15</v>
      </c>
      <c r="F544" s="1">
        <v>1425</v>
      </c>
      <c r="G544" s="14">
        <v>28</v>
      </c>
      <c r="H544" s="1">
        <v>0.17</v>
      </c>
      <c r="I544" s="14">
        <v>33117</v>
      </c>
      <c r="J544" s="14">
        <v>23085</v>
      </c>
      <c r="K544" s="15">
        <f>Table5[[#This Row],[Selling Price]]*Table5[[#This Row],[Units Sold]]</f>
        <v>39900</v>
      </c>
      <c r="L544" t="str">
        <f t="shared" si="8"/>
        <v>2024-01</v>
      </c>
      <c r="M544" t="str">
        <f>VLOOKUP(Table5[[#This Row],[Store ID]],Table4[[Store ID]:[Store Location]],2)</f>
        <v>Manchester</v>
      </c>
      <c r="N544" t="str">
        <f>VLOOKUP(Table5[[#This Row],[Store ID]],Table4[[Store ID]:[Region]],3)</f>
        <v>North</v>
      </c>
      <c r="O544" t="str">
        <f>VLOOKUP(Table5[[#This Row],[Product ID]],'Product Master'!$A$2:$D$10,4)</f>
        <v>Supplier C</v>
      </c>
      <c r="P544" s="15">
        <f>Table5[[#This Row],[Total Revenue]]-Table5[[#This Row],[Net Sales Revenue]]</f>
        <v>6783</v>
      </c>
      <c r="Q544" s="15">
        <f>Table5[[#This Row],[Net Sales Revenue]]/Table5[[#This Row],[Units Sold]]</f>
        <v>23.24</v>
      </c>
      <c r="R544">
        <f>VLOOKUP(Table5[[#This Row],[Product ID]],'Product Master'!$A$1:$E$10,5,FALSE)</f>
        <v>15</v>
      </c>
      <c r="S544" s="15">
        <f>Table5[[#This Row],[standard product cost per unit]]*Table5[[#This Row],[Units Sold]]</f>
        <v>21375</v>
      </c>
      <c r="T544" s="15">
        <f>Table5[[#This Row],[Cost of Sales]]-Table5[[#This Row],[Standard cost]]</f>
        <v>1710</v>
      </c>
      <c r="U544" s="15">
        <f>Table5[[#This Row],[Net Sales Revenue]]-Table5[[#This Row],[Cost of Sales]]</f>
        <v>10032</v>
      </c>
      <c r="V544" s="17">
        <f>Table5[[#This Row],[GrossProfit]]/Table5[[#This Row],[Net Sales Revenue]]</f>
        <v>0.30292598967297762</v>
      </c>
    </row>
    <row r="545" spans="1:22" ht="14.25" customHeight="1" x14ac:dyDescent="0.25">
      <c r="A545" s="1" t="s">
        <v>623</v>
      </c>
      <c r="B545" s="1" t="s">
        <v>620</v>
      </c>
      <c r="C545" s="1" t="s">
        <v>40</v>
      </c>
      <c r="D545" s="1" t="s">
        <v>17</v>
      </c>
      <c r="E545" s="1" t="s">
        <v>15</v>
      </c>
      <c r="F545" s="1">
        <v>1588</v>
      </c>
      <c r="G545" s="14">
        <v>35</v>
      </c>
      <c r="H545" s="1">
        <v>0.13</v>
      </c>
      <c r="I545" s="14">
        <v>48354.6</v>
      </c>
      <c r="J545" s="14">
        <v>30870.720000000001</v>
      </c>
      <c r="K545" s="15">
        <f>Table5[[#This Row],[Selling Price]]*Table5[[#This Row],[Units Sold]]</f>
        <v>55580</v>
      </c>
      <c r="L545" t="str">
        <f t="shared" si="8"/>
        <v>2024-01</v>
      </c>
      <c r="M545" t="str">
        <f>VLOOKUP(Table5[[#This Row],[Store ID]],Table4[[Store ID]:[Store Location]],2)</f>
        <v>Manchester</v>
      </c>
      <c r="N545" t="str">
        <f>VLOOKUP(Table5[[#This Row],[Store ID]],Table4[[Store ID]:[Region]],3)</f>
        <v>North</v>
      </c>
      <c r="O545" t="str">
        <f>VLOOKUP(Table5[[#This Row],[Product ID]],'Product Master'!$A$2:$D$10,4)</f>
        <v>Supplier C</v>
      </c>
      <c r="P545" s="15">
        <f>Table5[[#This Row],[Total Revenue]]-Table5[[#This Row],[Net Sales Revenue]]</f>
        <v>7225.4000000000015</v>
      </c>
      <c r="Q545" s="15">
        <f>Table5[[#This Row],[Net Sales Revenue]]/Table5[[#This Row],[Units Sold]]</f>
        <v>30.45</v>
      </c>
      <c r="R545">
        <f>VLOOKUP(Table5[[#This Row],[Product ID]],'Product Master'!$A$1:$E$10,5,FALSE)</f>
        <v>18</v>
      </c>
      <c r="S545" s="15">
        <f>Table5[[#This Row],[standard product cost per unit]]*Table5[[#This Row],[Units Sold]]</f>
        <v>28584</v>
      </c>
      <c r="T545" s="15">
        <f>Table5[[#This Row],[Cost of Sales]]-Table5[[#This Row],[Standard cost]]</f>
        <v>2286.7200000000012</v>
      </c>
      <c r="U545" s="15">
        <f>Table5[[#This Row],[Net Sales Revenue]]-Table5[[#This Row],[Cost of Sales]]</f>
        <v>17483.879999999997</v>
      </c>
      <c r="V545" s="17">
        <f>Table5[[#This Row],[GrossProfit]]/Table5[[#This Row],[Net Sales Revenue]]</f>
        <v>0.36157635467980292</v>
      </c>
    </row>
    <row r="546" spans="1:22" ht="14.25" customHeight="1" x14ac:dyDescent="0.25">
      <c r="A546" s="1" t="s">
        <v>624</v>
      </c>
      <c r="B546" s="1" t="s">
        <v>620</v>
      </c>
      <c r="C546" s="1" t="s">
        <v>40</v>
      </c>
      <c r="D546" s="1" t="s">
        <v>19</v>
      </c>
      <c r="E546" s="1" t="s">
        <v>21</v>
      </c>
      <c r="F546" s="1">
        <v>1702</v>
      </c>
      <c r="G546" s="14">
        <v>18</v>
      </c>
      <c r="H546" s="1">
        <v>0.12</v>
      </c>
      <c r="I546" s="14">
        <v>26959.68</v>
      </c>
      <c r="J546" s="14">
        <v>16543.439999999999</v>
      </c>
      <c r="K546" s="15">
        <f>Table5[[#This Row],[Selling Price]]*Table5[[#This Row],[Units Sold]]</f>
        <v>30636</v>
      </c>
      <c r="L546" t="str">
        <f t="shared" si="8"/>
        <v>2024-01</v>
      </c>
      <c r="M546" t="str">
        <f>VLOOKUP(Table5[[#This Row],[Store ID]],Table4[[Store ID]:[Store Location]],2)</f>
        <v>Manchester</v>
      </c>
      <c r="N546" t="str">
        <f>VLOOKUP(Table5[[#This Row],[Store ID]],Table4[[Store ID]:[Region]],3)</f>
        <v>North</v>
      </c>
      <c r="O546" t="str">
        <f>VLOOKUP(Table5[[#This Row],[Product ID]],'Product Master'!$A$2:$D$10,4)</f>
        <v>Supplier D</v>
      </c>
      <c r="P546" s="15">
        <f>Table5[[#This Row],[Total Revenue]]-Table5[[#This Row],[Net Sales Revenue]]</f>
        <v>3676.3199999999997</v>
      </c>
      <c r="Q546" s="15">
        <f>Table5[[#This Row],[Net Sales Revenue]]/Table5[[#This Row],[Units Sold]]</f>
        <v>15.84</v>
      </c>
      <c r="R546">
        <f>VLOOKUP(Table5[[#This Row],[Product ID]],'Product Master'!$A$1:$E$10,5,FALSE)</f>
        <v>9</v>
      </c>
      <c r="S546" s="15">
        <f>Table5[[#This Row],[standard product cost per unit]]*Table5[[#This Row],[Units Sold]]</f>
        <v>15318</v>
      </c>
      <c r="T546" s="15">
        <f>Table5[[#This Row],[Cost of Sales]]-Table5[[#This Row],[Standard cost]]</f>
        <v>1225.4399999999987</v>
      </c>
      <c r="U546" s="15">
        <f>Table5[[#This Row],[Net Sales Revenue]]-Table5[[#This Row],[Cost of Sales]]</f>
        <v>10416.240000000002</v>
      </c>
      <c r="V546" s="17">
        <f>Table5[[#This Row],[GrossProfit]]/Table5[[#This Row],[Net Sales Revenue]]</f>
        <v>0.38636363636363641</v>
      </c>
    </row>
    <row r="547" spans="1:22" ht="14.25" customHeight="1" x14ac:dyDescent="0.25">
      <c r="A547" s="1" t="s">
        <v>625</v>
      </c>
      <c r="B547" s="1" t="s">
        <v>620</v>
      </c>
      <c r="C547" s="1" t="s">
        <v>40</v>
      </c>
      <c r="D547" s="1" t="s">
        <v>23</v>
      </c>
      <c r="E547" s="1" t="s">
        <v>21</v>
      </c>
      <c r="F547" s="1">
        <v>2983</v>
      </c>
      <c r="G547" s="14">
        <v>30</v>
      </c>
      <c r="H547" s="1">
        <v>0.14000000000000001</v>
      </c>
      <c r="I547" s="14">
        <v>76961.399999999994</v>
      </c>
      <c r="J547" s="14">
        <v>45102.96</v>
      </c>
      <c r="K547" s="15">
        <f>Table5[[#This Row],[Selling Price]]*Table5[[#This Row],[Units Sold]]</f>
        <v>89490</v>
      </c>
      <c r="L547" t="str">
        <f t="shared" si="8"/>
        <v>2024-01</v>
      </c>
      <c r="M547" t="str">
        <f>VLOOKUP(Table5[[#This Row],[Store ID]],Table4[[Store ID]:[Store Location]],2)</f>
        <v>Manchester</v>
      </c>
      <c r="N547" t="str">
        <f>VLOOKUP(Table5[[#This Row],[Store ID]],Table4[[Store ID]:[Region]],3)</f>
        <v>North</v>
      </c>
      <c r="O547" t="str">
        <f>VLOOKUP(Table5[[#This Row],[Product ID]],'Product Master'!$A$2:$D$10,4)</f>
        <v>Supplier D</v>
      </c>
      <c r="P547" s="15">
        <f>Table5[[#This Row],[Total Revenue]]-Table5[[#This Row],[Net Sales Revenue]]</f>
        <v>12528.600000000006</v>
      </c>
      <c r="Q547" s="15">
        <f>Table5[[#This Row],[Net Sales Revenue]]/Table5[[#This Row],[Units Sold]]</f>
        <v>25.799999999999997</v>
      </c>
      <c r="R547">
        <f>VLOOKUP(Table5[[#This Row],[Product ID]],'Product Master'!$A$1:$E$10,5,FALSE)</f>
        <v>14</v>
      </c>
      <c r="S547" s="15">
        <f>Table5[[#This Row],[standard product cost per unit]]*Table5[[#This Row],[Units Sold]]</f>
        <v>41762</v>
      </c>
      <c r="T547" s="15">
        <f>Table5[[#This Row],[Cost of Sales]]-Table5[[#This Row],[Standard cost]]</f>
        <v>3340.9599999999991</v>
      </c>
      <c r="U547" s="15">
        <f>Table5[[#This Row],[Net Sales Revenue]]-Table5[[#This Row],[Cost of Sales]]</f>
        <v>31858.439999999995</v>
      </c>
      <c r="V547" s="17">
        <f>Table5[[#This Row],[GrossProfit]]/Table5[[#This Row],[Net Sales Revenue]]</f>
        <v>0.413953488372093</v>
      </c>
    </row>
    <row r="548" spans="1:22" ht="14.25" customHeight="1" x14ac:dyDescent="0.25">
      <c r="A548" s="1" t="s">
        <v>626</v>
      </c>
      <c r="B548" s="1" t="s">
        <v>620</v>
      </c>
      <c r="C548" s="1" t="s">
        <v>40</v>
      </c>
      <c r="D548" s="1" t="s">
        <v>25</v>
      </c>
      <c r="E548" s="1" t="s">
        <v>27</v>
      </c>
      <c r="F548" s="1">
        <v>1922</v>
      </c>
      <c r="G548" s="14">
        <v>40</v>
      </c>
      <c r="H548" s="1">
        <v>0.14000000000000001</v>
      </c>
      <c r="I548" s="14">
        <v>66116.800000000003</v>
      </c>
      <c r="J548" s="14">
        <v>41515.199999999997</v>
      </c>
      <c r="K548" s="15">
        <f>Table5[[#This Row],[Selling Price]]*Table5[[#This Row],[Units Sold]]</f>
        <v>76880</v>
      </c>
      <c r="L548" t="str">
        <f t="shared" si="8"/>
        <v>2024-01</v>
      </c>
      <c r="M548" t="str">
        <f>VLOOKUP(Table5[[#This Row],[Store ID]],Table4[[Store ID]:[Store Location]],2)</f>
        <v>Manchester</v>
      </c>
      <c r="N548" t="str">
        <f>VLOOKUP(Table5[[#This Row],[Store ID]],Table4[[Store ID]:[Region]],3)</f>
        <v>North</v>
      </c>
      <c r="O548" t="str">
        <f>VLOOKUP(Table5[[#This Row],[Product ID]],'Product Master'!$A$2:$D$10,4)</f>
        <v>Supplier E</v>
      </c>
      <c r="P548" s="15">
        <f>Table5[[#This Row],[Total Revenue]]-Table5[[#This Row],[Net Sales Revenue]]</f>
        <v>10763.199999999997</v>
      </c>
      <c r="Q548" s="15">
        <f>Table5[[#This Row],[Net Sales Revenue]]/Table5[[#This Row],[Units Sold]]</f>
        <v>34.4</v>
      </c>
      <c r="R548">
        <f>VLOOKUP(Table5[[#This Row],[Product ID]],'Product Master'!$A$1:$E$10,5,FALSE)</f>
        <v>20</v>
      </c>
      <c r="S548" s="15">
        <f>Table5[[#This Row],[standard product cost per unit]]*Table5[[#This Row],[Units Sold]]</f>
        <v>38440</v>
      </c>
      <c r="T548" s="15">
        <f>Table5[[#This Row],[Cost of Sales]]-Table5[[#This Row],[Standard cost]]</f>
        <v>3075.1999999999971</v>
      </c>
      <c r="U548" s="15">
        <f>Table5[[#This Row],[Net Sales Revenue]]-Table5[[#This Row],[Cost of Sales]]</f>
        <v>24601.600000000006</v>
      </c>
      <c r="V548" s="17">
        <f>Table5[[#This Row],[GrossProfit]]/Table5[[#This Row],[Net Sales Revenue]]</f>
        <v>0.372093023255814</v>
      </c>
    </row>
    <row r="549" spans="1:22" ht="14.25" customHeight="1" x14ac:dyDescent="0.25">
      <c r="A549" s="1" t="s">
        <v>627</v>
      </c>
      <c r="B549" s="1" t="s">
        <v>620</v>
      </c>
      <c r="C549" s="1" t="s">
        <v>40</v>
      </c>
      <c r="D549" s="1" t="s">
        <v>29</v>
      </c>
      <c r="E549" s="1" t="s">
        <v>31</v>
      </c>
      <c r="F549" s="1">
        <v>1663</v>
      </c>
      <c r="G549" s="14">
        <v>10</v>
      </c>
      <c r="H549" s="1">
        <v>0.15</v>
      </c>
      <c r="I549" s="14">
        <v>14135.5</v>
      </c>
      <c r="J549" s="14">
        <v>7184.16</v>
      </c>
      <c r="K549" s="15">
        <f>Table5[[#This Row],[Selling Price]]*Table5[[#This Row],[Units Sold]]</f>
        <v>16630</v>
      </c>
      <c r="L549" t="str">
        <f t="shared" si="8"/>
        <v>2024-01</v>
      </c>
      <c r="M549" t="str">
        <f>VLOOKUP(Table5[[#This Row],[Store ID]],Table4[[Store ID]:[Store Location]],2)</f>
        <v>Manchester</v>
      </c>
      <c r="N549" t="str">
        <f>VLOOKUP(Table5[[#This Row],[Store ID]],Table4[[Store ID]:[Region]],3)</f>
        <v>North</v>
      </c>
      <c r="O549" t="str">
        <f>VLOOKUP(Table5[[#This Row],[Product ID]],'Product Master'!$A$2:$D$10,4)</f>
        <v>Supplier F</v>
      </c>
      <c r="P549" s="15">
        <f>Table5[[#This Row],[Total Revenue]]-Table5[[#This Row],[Net Sales Revenue]]</f>
        <v>2494.5</v>
      </c>
      <c r="Q549" s="15">
        <f>Table5[[#This Row],[Net Sales Revenue]]/Table5[[#This Row],[Units Sold]]</f>
        <v>8.5</v>
      </c>
      <c r="R549">
        <f>VLOOKUP(Table5[[#This Row],[Product ID]],'Product Master'!$A$1:$E$10,5,FALSE)</f>
        <v>4</v>
      </c>
      <c r="S549" s="15">
        <f>Table5[[#This Row],[standard product cost per unit]]*Table5[[#This Row],[Units Sold]]</f>
        <v>6652</v>
      </c>
      <c r="T549" s="15">
        <f>Table5[[#This Row],[Cost of Sales]]-Table5[[#This Row],[Standard cost]]</f>
        <v>532.15999999999985</v>
      </c>
      <c r="U549" s="15">
        <f>Table5[[#This Row],[Net Sales Revenue]]-Table5[[#This Row],[Cost of Sales]]</f>
        <v>6951.34</v>
      </c>
      <c r="V549" s="17">
        <f>Table5[[#This Row],[GrossProfit]]/Table5[[#This Row],[Net Sales Revenue]]</f>
        <v>0.49176470588235294</v>
      </c>
    </row>
    <row r="550" spans="1:22" ht="14.25" customHeight="1" x14ac:dyDescent="0.25">
      <c r="A550" s="1" t="s">
        <v>628</v>
      </c>
      <c r="B550" s="1" t="s">
        <v>620</v>
      </c>
      <c r="C550" s="1" t="s">
        <v>40</v>
      </c>
      <c r="D550" s="1" t="s">
        <v>33</v>
      </c>
      <c r="E550" s="1" t="s">
        <v>31</v>
      </c>
      <c r="F550" s="1">
        <v>2609</v>
      </c>
      <c r="G550" s="14">
        <v>22</v>
      </c>
      <c r="H550" s="1">
        <v>0.13</v>
      </c>
      <c r="I550" s="14">
        <v>49936.26</v>
      </c>
      <c r="J550" s="14">
        <v>28177.200000000001</v>
      </c>
      <c r="K550" s="15">
        <f>Table5[[#This Row],[Selling Price]]*Table5[[#This Row],[Units Sold]]</f>
        <v>57398</v>
      </c>
      <c r="L550" t="str">
        <f t="shared" si="8"/>
        <v>2024-01</v>
      </c>
      <c r="M550" t="str">
        <f>VLOOKUP(Table5[[#This Row],[Store ID]],Table4[[Store ID]:[Store Location]],2)</f>
        <v>Manchester</v>
      </c>
      <c r="N550" t="str">
        <f>VLOOKUP(Table5[[#This Row],[Store ID]],Table4[[Store ID]:[Region]],3)</f>
        <v>North</v>
      </c>
      <c r="O550" t="str">
        <f>VLOOKUP(Table5[[#This Row],[Product ID]],'Product Master'!$A$2:$D$10,4)</f>
        <v>Supplier F</v>
      </c>
      <c r="P550" s="15">
        <f>Table5[[#This Row],[Total Revenue]]-Table5[[#This Row],[Net Sales Revenue]]</f>
        <v>7461.739999999998</v>
      </c>
      <c r="Q550" s="15">
        <f>Table5[[#This Row],[Net Sales Revenue]]/Table5[[#This Row],[Units Sold]]</f>
        <v>19.14</v>
      </c>
      <c r="R550">
        <f>VLOOKUP(Table5[[#This Row],[Product ID]],'Product Master'!$A$1:$E$10,5,FALSE)</f>
        <v>10</v>
      </c>
      <c r="S550" s="15">
        <f>Table5[[#This Row],[standard product cost per unit]]*Table5[[#This Row],[Units Sold]]</f>
        <v>26090</v>
      </c>
      <c r="T550" s="15">
        <f>Table5[[#This Row],[Cost of Sales]]-Table5[[#This Row],[Standard cost]]</f>
        <v>2087.2000000000007</v>
      </c>
      <c r="U550" s="15">
        <f>Table5[[#This Row],[Net Sales Revenue]]-Table5[[#This Row],[Cost of Sales]]</f>
        <v>21759.06</v>
      </c>
      <c r="V550" s="17">
        <f>Table5[[#This Row],[GrossProfit]]/Table5[[#This Row],[Net Sales Revenue]]</f>
        <v>0.43573667711598746</v>
      </c>
    </row>
    <row r="551" spans="1:22" ht="14.25" customHeight="1" x14ac:dyDescent="0.25">
      <c r="A551" s="1" t="s">
        <v>629</v>
      </c>
      <c r="B551" s="1" t="s">
        <v>620</v>
      </c>
      <c r="C551" s="1" t="s">
        <v>44</v>
      </c>
      <c r="D551" s="1" t="s">
        <v>6</v>
      </c>
      <c r="E551" s="1" t="s">
        <v>8</v>
      </c>
      <c r="F551" s="1">
        <v>1694</v>
      </c>
      <c r="G551" s="14">
        <v>24</v>
      </c>
      <c r="H551" s="1">
        <v>0.17</v>
      </c>
      <c r="I551" s="14">
        <v>33744.480000000003</v>
      </c>
      <c r="J551" s="14">
        <v>21954.240000000002</v>
      </c>
      <c r="K551" s="15">
        <f>Table5[[#This Row],[Selling Price]]*Table5[[#This Row],[Units Sold]]</f>
        <v>40656</v>
      </c>
      <c r="L551" t="str">
        <f t="shared" si="8"/>
        <v>2024-01</v>
      </c>
      <c r="M551" t="str">
        <f>VLOOKUP(Table5[[#This Row],[Store ID]],Table4[[Store ID]:[Store Location]],2)</f>
        <v>Birmingham</v>
      </c>
      <c r="N551" t="str">
        <f>VLOOKUP(Table5[[#This Row],[Store ID]],Table4[[Store ID]:[Region]],3)</f>
        <v>Midlands</v>
      </c>
      <c r="O551" t="str">
        <f>VLOOKUP(Table5[[#This Row],[Product ID]],'Product Master'!$A$2:$D$10,4)</f>
        <v>Supplier A</v>
      </c>
      <c r="P551" s="15">
        <f>Table5[[#This Row],[Total Revenue]]-Table5[[#This Row],[Net Sales Revenue]]</f>
        <v>6911.5199999999968</v>
      </c>
      <c r="Q551" s="15">
        <f>Table5[[#This Row],[Net Sales Revenue]]/Table5[[#This Row],[Units Sold]]</f>
        <v>19.920000000000002</v>
      </c>
      <c r="R551">
        <f>VLOOKUP(Table5[[#This Row],[Product ID]],'Product Master'!$A$1:$E$10,5,FALSE)</f>
        <v>12</v>
      </c>
      <c r="S551" s="15">
        <f>Table5[[#This Row],[standard product cost per unit]]*Table5[[#This Row],[Units Sold]]</f>
        <v>20328</v>
      </c>
      <c r="T551" s="15">
        <f>Table5[[#This Row],[Cost of Sales]]-Table5[[#This Row],[Standard cost]]</f>
        <v>1626.2400000000016</v>
      </c>
      <c r="U551" s="15">
        <f>Table5[[#This Row],[Net Sales Revenue]]-Table5[[#This Row],[Cost of Sales]]</f>
        <v>11790.240000000002</v>
      </c>
      <c r="V551" s="17">
        <f>Table5[[#This Row],[GrossProfit]]/Table5[[#This Row],[Net Sales Revenue]]</f>
        <v>0.3493975903614458</v>
      </c>
    </row>
    <row r="552" spans="1:22" ht="14.25" customHeight="1" x14ac:dyDescent="0.25">
      <c r="A552" s="1" t="s">
        <v>630</v>
      </c>
      <c r="B552" s="1" t="s">
        <v>620</v>
      </c>
      <c r="C552" s="1" t="s">
        <v>44</v>
      </c>
      <c r="D552" s="1" t="s">
        <v>10</v>
      </c>
      <c r="E552" s="1" t="s">
        <v>8</v>
      </c>
      <c r="F552" s="1">
        <v>2050</v>
      </c>
      <c r="G552" s="14">
        <v>50</v>
      </c>
      <c r="H552" s="1">
        <v>0.16</v>
      </c>
      <c r="I552" s="14">
        <v>86100</v>
      </c>
      <c r="J552" s="14">
        <v>61992</v>
      </c>
      <c r="K552" s="15">
        <f>Table5[[#This Row],[Selling Price]]*Table5[[#This Row],[Units Sold]]</f>
        <v>102500</v>
      </c>
      <c r="L552" t="str">
        <f t="shared" si="8"/>
        <v>2024-01</v>
      </c>
      <c r="M552" t="str">
        <f>VLOOKUP(Table5[[#This Row],[Store ID]],Table4[[Store ID]:[Store Location]],2)</f>
        <v>Birmingham</v>
      </c>
      <c r="N552" t="str">
        <f>VLOOKUP(Table5[[#This Row],[Store ID]],Table4[[Store ID]:[Region]],3)</f>
        <v>Midlands</v>
      </c>
      <c r="O552" t="str">
        <f>VLOOKUP(Table5[[#This Row],[Product ID]],'Product Master'!$A$2:$D$10,4)</f>
        <v>Supplier B</v>
      </c>
      <c r="P552" s="15">
        <f>Table5[[#This Row],[Total Revenue]]-Table5[[#This Row],[Net Sales Revenue]]</f>
        <v>16400</v>
      </c>
      <c r="Q552" s="15">
        <f>Table5[[#This Row],[Net Sales Revenue]]/Table5[[#This Row],[Units Sold]]</f>
        <v>42</v>
      </c>
      <c r="R552">
        <f>VLOOKUP(Table5[[#This Row],[Product ID]],'Product Master'!$A$1:$E$10,5,FALSE)</f>
        <v>28</v>
      </c>
      <c r="S552" s="15">
        <f>Table5[[#This Row],[standard product cost per unit]]*Table5[[#This Row],[Units Sold]]</f>
        <v>57400</v>
      </c>
      <c r="T552" s="15">
        <f>Table5[[#This Row],[Cost of Sales]]-Table5[[#This Row],[Standard cost]]</f>
        <v>4592</v>
      </c>
      <c r="U552" s="15">
        <f>Table5[[#This Row],[Net Sales Revenue]]-Table5[[#This Row],[Cost of Sales]]</f>
        <v>24108</v>
      </c>
      <c r="V552" s="17">
        <f>Table5[[#This Row],[GrossProfit]]/Table5[[#This Row],[Net Sales Revenue]]</f>
        <v>0.28000000000000003</v>
      </c>
    </row>
    <row r="553" spans="1:22" ht="14.25" customHeight="1" x14ac:dyDescent="0.25">
      <c r="A553" s="1" t="s">
        <v>631</v>
      </c>
      <c r="B553" s="1" t="s">
        <v>620</v>
      </c>
      <c r="C553" s="1" t="s">
        <v>44</v>
      </c>
      <c r="D553" s="1" t="s">
        <v>13</v>
      </c>
      <c r="E553" s="1" t="s">
        <v>15</v>
      </c>
      <c r="F553" s="1">
        <v>3058</v>
      </c>
      <c r="G553" s="14">
        <v>28</v>
      </c>
      <c r="H553" s="1">
        <v>0.15</v>
      </c>
      <c r="I553" s="14">
        <v>72780.399999999994</v>
      </c>
      <c r="J553" s="14">
        <v>49539.6</v>
      </c>
      <c r="K553" s="15">
        <f>Table5[[#This Row],[Selling Price]]*Table5[[#This Row],[Units Sold]]</f>
        <v>85624</v>
      </c>
      <c r="L553" t="str">
        <f t="shared" si="8"/>
        <v>2024-01</v>
      </c>
      <c r="M553" t="str">
        <f>VLOOKUP(Table5[[#This Row],[Store ID]],Table4[[Store ID]:[Store Location]],2)</f>
        <v>Birmingham</v>
      </c>
      <c r="N553" t="str">
        <f>VLOOKUP(Table5[[#This Row],[Store ID]],Table4[[Store ID]:[Region]],3)</f>
        <v>Midlands</v>
      </c>
      <c r="O553" t="str">
        <f>VLOOKUP(Table5[[#This Row],[Product ID]],'Product Master'!$A$2:$D$10,4)</f>
        <v>Supplier C</v>
      </c>
      <c r="P553" s="15">
        <f>Table5[[#This Row],[Total Revenue]]-Table5[[#This Row],[Net Sales Revenue]]</f>
        <v>12843.600000000006</v>
      </c>
      <c r="Q553" s="15">
        <f>Table5[[#This Row],[Net Sales Revenue]]/Table5[[#This Row],[Units Sold]]</f>
        <v>23.799999999999997</v>
      </c>
      <c r="R553">
        <f>VLOOKUP(Table5[[#This Row],[Product ID]],'Product Master'!$A$1:$E$10,5,FALSE)</f>
        <v>15</v>
      </c>
      <c r="S553" s="15">
        <f>Table5[[#This Row],[standard product cost per unit]]*Table5[[#This Row],[Units Sold]]</f>
        <v>45870</v>
      </c>
      <c r="T553" s="15">
        <f>Table5[[#This Row],[Cost of Sales]]-Table5[[#This Row],[Standard cost]]</f>
        <v>3669.5999999999985</v>
      </c>
      <c r="U553" s="15">
        <f>Table5[[#This Row],[Net Sales Revenue]]-Table5[[#This Row],[Cost of Sales]]</f>
        <v>23240.799999999996</v>
      </c>
      <c r="V553" s="17">
        <f>Table5[[#This Row],[GrossProfit]]/Table5[[#This Row],[Net Sales Revenue]]</f>
        <v>0.31932773109243695</v>
      </c>
    </row>
    <row r="554" spans="1:22" ht="14.25" customHeight="1" x14ac:dyDescent="0.25">
      <c r="A554" s="1" t="s">
        <v>632</v>
      </c>
      <c r="B554" s="1" t="s">
        <v>620</v>
      </c>
      <c r="C554" s="1" t="s">
        <v>44</v>
      </c>
      <c r="D554" s="1" t="s">
        <v>17</v>
      </c>
      <c r="E554" s="1" t="s">
        <v>15</v>
      </c>
      <c r="F554" s="1">
        <v>2310</v>
      </c>
      <c r="G554" s="14">
        <v>35</v>
      </c>
      <c r="H554" s="1">
        <v>0.15</v>
      </c>
      <c r="I554" s="14">
        <v>68722.5</v>
      </c>
      <c r="J554" s="14">
        <v>44906.400000000001</v>
      </c>
      <c r="K554" s="15">
        <f>Table5[[#This Row],[Selling Price]]*Table5[[#This Row],[Units Sold]]</f>
        <v>80850</v>
      </c>
      <c r="L554" t="str">
        <f t="shared" si="8"/>
        <v>2024-01</v>
      </c>
      <c r="M554" t="str">
        <f>VLOOKUP(Table5[[#This Row],[Store ID]],Table4[[Store ID]:[Store Location]],2)</f>
        <v>Birmingham</v>
      </c>
      <c r="N554" t="str">
        <f>VLOOKUP(Table5[[#This Row],[Store ID]],Table4[[Store ID]:[Region]],3)</f>
        <v>Midlands</v>
      </c>
      <c r="O554" t="str">
        <f>VLOOKUP(Table5[[#This Row],[Product ID]],'Product Master'!$A$2:$D$10,4)</f>
        <v>Supplier C</v>
      </c>
      <c r="P554" s="15">
        <f>Table5[[#This Row],[Total Revenue]]-Table5[[#This Row],[Net Sales Revenue]]</f>
        <v>12127.5</v>
      </c>
      <c r="Q554" s="15">
        <f>Table5[[#This Row],[Net Sales Revenue]]/Table5[[#This Row],[Units Sold]]</f>
        <v>29.75</v>
      </c>
      <c r="R554">
        <f>VLOOKUP(Table5[[#This Row],[Product ID]],'Product Master'!$A$1:$E$10,5,FALSE)</f>
        <v>18</v>
      </c>
      <c r="S554" s="15">
        <f>Table5[[#This Row],[standard product cost per unit]]*Table5[[#This Row],[Units Sold]]</f>
        <v>41580</v>
      </c>
      <c r="T554" s="15">
        <f>Table5[[#This Row],[Cost of Sales]]-Table5[[#This Row],[Standard cost]]</f>
        <v>3326.4000000000015</v>
      </c>
      <c r="U554" s="15">
        <f>Table5[[#This Row],[Net Sales Revenue]]-Table5[[#This Row],[Cost of Sales]]</f>
        <v>23816.1</v>
      </c>
      <c r="V554" s="17">
        <f>Table5[[#This Row],[GrossProfit]]/Table5[[#This Row],[Net Sales Revenue]]</f>
        <v>0.34655462184873947</v>
      </c>
    </row>
    <row r="555" spans="1:22" ht="14.25" customHeight="1" x14ac:dyDescent="0.25">
      <c r="A555" s="1" t="s">
        <v>633</v>
      </c>
      <c r="B555" s="1" t="s">
        <v>620</v>
      </c>
      <c r="C555" s="1" t="s">
        <v>44</v>
      </c>
      <c r="D555" s="1" t="s">
        <v>19</v>
      </c>
      <c r="E555" s="1" t="s">
        <v>21</v>
      </c>
      <c r="F555" s="1">
        <v>1504</v>
      </c>
      <c r="G555" s="14">
        <v>18</v>
      </c>
      <c r="H555" s="1">
        <v>0.13</v>
      </c>
      <c r="I555" s="14">
        <v>23552.639999999999</v>
      </c>
      <c r="J555" s="14">
        <v>14618.88</v>
      </c>
      <c r="K555" s="15">
        <f>Table5[[#This Row],[Selling Price]]*Table5[[#This Row],[Units Sold]]</f>
        <v>27072</v>
      </c>
      <c r="L555" t="str">
        <f t="shared" si="8"/>
        <v>2024-01</v>
      </c>
      <c r="M555" t="str">
        <f>VLOOKUP(Table5[[#This Row],[Store ID]],Table4[[Store ID]:[Store Location]],2)</f>
        <v>Birmingham</v>
      </c>
      <c r="N555" t="str">
        <f>VLOOKUP(Table5[[#This Row],[Store ID]],Table4[[Store ID]:[Region]],3)</f>
        <v>Midlands</v>
      </c>
      <c r="O555" t="str">
        <f>VLOOKUP(Table5[[#This Row],[Product ID]],'Product Master'!$A$2:$D$10,4)</f>
        <v>Supplier D</v>
      </c>
      <c r="P555" s="15">
        <f>Table5[[#This Row],[Total Revenue]]-Table5[[#This Row],[Net Sales Revenue]]</f>
        <v>3519.3600000000006</v>
      </c>
      <c r="Q555" s="15">
        <f>Table5[[#This Row],[Net Sales Revenue]]/Table5[[#This Row],[Units Sold]]</f>
        <v>15.66</v>
      </c>
      <c r="R555">
        <f>VLOOKUP(Table5[[#This Row],[Product ID]],'Product Master'!$A$1:$E$10,5,FALSE)</f>
        <v>9</v>
      </c>
      <c r="S555" s="15">
        <f>Table5[[#This Row],[standard product cost per unit]]*Table5[[#This Row],[Units Sold]]</f>
        <v>13536</v>
      </c>
      <c r="T555" s="15">
        <f>Table5[[#This Row],[Cost of Sales]]-Table5[[#This Row],[Standard cost]]</f>
        <v>1082.8799999999992</v>
      </c>
      <c r="U555" s="15">
        <f>Table5[[#This Row],[Net Sales Revenue]]-Table5[[#This Row],[Cost of Sales]]</f>
        <v>8933.76</v>
      </c>
      <c r="V555" s="17">
        <f>Table5[[#This Row],[GrossProfit]]/Table5[[#This Row],[Net Sales Revenue]]</f>
        <v>0.37931034482758624</v>
      </c>
    </row>
    <row r="556" spans="1:22" ht="14.25" customHeight="1" x14ac:dyDescent="0.25">
      <c r="A556" s="1" t="s">
        <v>634</v>
      </c>
      <c r="B556" s="1" t="s">
        <v>620</v>
      </c>
      <c r="C556" s="1" t="s">
        <v>44</v>
      </c>
      <c r="D556" s="1" t="s">
        <v>23</v>
      </c>
      <c r="E556" s="1" t="s">
        <v>21</v>
      </c>
      <c r="F556" s="1">
        <v>3009</v>
      </c>
      <c r="G556" s="14">
        <v>30</v>
      </c>
      <c r="H556" s="1">
        <v>0.15</v>
      </c>
      <c r="I556" s="14">
        <v>76729.5</v>
      </c>
      <c r="J556" s="14">
        <v>45496.08</v>
      </c>
      <c r="K556" s="15">
        <f>Table5[[#This Row],[Selling Price]]*Table5[[#This Row],[Units Sold]]</f>
        <v>90270</v>
      </c>
      <c r="L556" t="str">
        <f t="shared" si="8"/>
        <v>2024-01</v>
      </c>
      <c r="M556" t="str">
        <f>VLOOKUP(Table5[[#This Row],[Store ID]],Table4[[Store ID]:[Store Location]],2)</f>
        <v>Birmingham</v>
      </c>
      <c r="N556" t="str">
        <f>VLOOKUP(Table5[[#This Row],[Store ID]],Table4[[Store ID]:[Region]],3)</f>
        <v>Midlands</v>
      </c>
      <c r="O556" t="str">
        <f>VLOOKUP(Table5[[#This Row],[Product ID]],'Product Master'!$A$2:$D$10,4)</f>
        <v>Supplier D</v>
      </c>
      <c r="P556" s="15">
        <f>Table5[[#This Row],[Total Revenue]]-Table5[[#This Row],[Net Sales Revenue]]</f>
        <v>13540.5</v>
      </c>
      <c r="Q556" s="15">
        <f>Table5[[#This Row],[Net Sales Revenue]]/Table5[[#This Row],[Units Sold]]</f>
        <v>25.5</v>
      </c>
      <c r="R556">
        <f>VLOOKUP(Table5[[#This Row],[Product ID]],'Product Master'!$A$1:$E$10,5,FALSE)</f>
        <v>14</v>
      </c>
      <c r="S556" s="15">
        <f>Table5[[#This Row],[standard product cost per unit]]*Table5[[#This Row],[Units Sold]]</f>
        <v>42126</v>
      </c>
      <c r="T556" s="15">
        <f>Table5[[#This Row],[Cost of Sales]]-Table5[[#This Row],[Standard cost]]</f>
        <v>3370.0800000000017</v>
      </c>
      <c r="U556" s="15">
        <f>Table5[[#This Row],[Net Sales Revenue]]-Table5[[#This Row],[Cost of Sales]]</f>
        <v>31233.42</v>
      </c>
      <c r="V556" s="17">
        <f>Table5[[#This Row],[GrossProfit]]/Table5[[#This Row],[Net Sales Revenue]]</f>
        <v>0.40705882352941175</v>
      </c>
    </row>
    <row r="557" spans="1:22" ht="14.25" customHeight="1" x14ac:dyDescent="0.25">
      <c r="A557" s="1" t="s">
        <v>635</v>
      </c>
      <c r="B557" s="1" t="s">
        <v>620</v>
      </c>
      <c r="C557" s="1" t="s">
        <v>44</v>
      </c>
      <c r="D557" s="1" t="s">
        <v>25</v>
      </c>
      <c r="E557" s="1" t="s">
        <v>27</v>
      </c>
      <c r="F557" s="1">
        <v>2393</v>
      </c>
      <c r="G557" s="14">
        <v>40</v>
      </c>
      <c r="H557" s="1">
        <v>0.12</v>
      </c>
      <c r="I557" s="14">
        <v>84233.600000000006</v>
      </c>
      <c r="J557" s="14">
        <v>51688.800000000003</v>
      </c>
      <c r="K557" s="15">
        <f>Table5[[#This Row],[Selling Price]]*Table5[[#This Row],[Units Sold]]</f>
        <v>95720</v>
      </c>
      <c r="L557" t="str">
        <f t="shared" si="8"/>
        <v>2024-01</v>
      </c>
      <c r="M557" t="str">
        <f>VLOOKUP(Table5[[#This Row],[Store ID]],Table4[[Store ID]:[Store Location]],2)</f>
        <v>Birmingham</v>
      </c>
      <c r="N557" t="str">
        <f>VLOOKUP(Table5[[#This Row],[Store ID]],Table4[[Store ID]:[Region]],3)</f>
        <v>Midlands</v>
      </c>
      <c r="O557" t="str">
        <f>VLOOKUP(Table5[[#This Row],[Product ID]],'Product Master'!$A$2:$D$10,4)</f>
        <v>Supplier E</v>
      </c>
      <c r="P557" s="15">
        <f>Table5[[#This Row],[Total Revenue]]-Table5[[#This Row],[Net Sales Revenue]]</f>
        <v>11486.399999999994</v>
      </c>
      <c r="Q557" s="15">
        <f>Table5[[#This Row],[Net Sales Revenue]]/Table5[[#This Row],[Units Sold]]</f>
        <v>35.200000000000003</v>
      </c>
      <c r="R557">
        <f>VLOOKUP(Table5[[#This Row],[Product ID]],'Product Master'!$A$1:$E$10,5,FALSE)</f>
        <v>20</v>
      </c>
      <c r="S557" s="15">
        <f>Table5[[#This Row],[standard product cost per unit]]*Table5[[#This Row],[Units Sold]]</f>
        <v>47860</v>
      </c>
      <c r="T557" s="15">
        <f>Table5[[#This Row],[Cost of Sales]]-Table5[[#This Row],[Standard cost]]</f>
        <v>3828.8000000000029</v>
      </c>
      <c r="U557" s="15">
        <f>Table5[[#This Row],[Net Sales Revenue]]-Table5[[#This Row],[Cost of Sales]]</f>
        <v>32544.800000000003</v>
      </c>
      <c r="V557" s="17">
        <f>Table5[[#This Row],[GrossProfit]]/Table5[[#This Row],[Net Sales Revenue]]</f>
        <v>0.38636363636363635</v>
      </c>
    </row>
    <row r="558" spans="1:22" ht="14.25" customHeight="1" x14ac:dyDescent="0.25">
      <c r="A558" s="1" t="s">
        <v>636</v>
      </c>
      <c r="B558" s="1" t="s">
        <v>620</v>
      </c>
      <c r="C558" s="1" t="s">
        <v>44</v>
      </c>
      <c r="D558" s="1" t="s">
        <v>29</v>
      </c>
      <c r="E558" s="1" t="s">
        <v>31</v>
      </c>
      <c r="F558" s="1">
        <v>1984</v>
      </c>
      <c r="G558" s="14">
        <v>10</v>
      </c>
      <c r="H558" s="1">
        <v>0.15</v>
      </c>
      <c r="I558" s="14">
        <v>16864</v>
      </c>
      <c r="J558" s="14">
        <v>8570.8799999999992</v>
      </c>
      <c r="K558" s="15">
        <f>Table5[[#This Row],[Selling Price]]*Table5[[#This Row],[Units Sold]]</f>
        <v>19840</v>
      </c>
      <c r="L558" t="str">
        <f t="shared" si="8"/>
        <v>2024-01</v>
      </c>
      <c r="M558" t="str">
        <f>VLOOKUP(Table5[[#This Row],[Store ID]],Table4[[Store ID]:[Store Location]],2)</f>
        <v>Birmingham</v>
      </c>
      <c r="N558" t="str">
        <f>VLOOKUP(Table5[[#This Row],[Store ID]],Table4[[Store ID]:[Region]],3)</f>
        <v>Midlands</v>
      </c>
      <c r="O558" t="str">
        <f>VLOOKUP(Table5[[#This Row],[Product ID]],'Product Master'!$A$2:$D$10,4)</f>
        <v>Supplier F</v>
      </c>
      <c r="P558" s="15">
        <f>Table5[[#This Row],[Total Revenue]]-Table5[[#This Row],[Net Sales Revenue]]</f>
        <v>2976</v>
      </c>
      <c r="Q558" s="15">
        <f>Table5[[#This Row],[Net Sales Revenue]]/Table5[[#This Row],[Units Sold]]</f>
        <v>8.5</v>
      </c>
      <c r="R558">
        <f>VLOOKUP(Table5[[#This Row],[Product ID]],'Product Master'!$A$1:$E$10,5,FALSE)</f>
        <v>4</v>
      </c>
      <c r="S558" s="15">
        <f>Table5[[#This Row],[standard product cost per unit]]*Table5[[#This Row],[Units Sold]]</f>
        <v>7936</v>
      </c>
      <c r="T558" s="15">
        <f>Table5[[#This Row],[Cost of Sales]]-Table5[[#This Row],[Standard cost]]</f>
        <v>634.8799999999992</v>
      </c>
      <c r="U558" s="15">
        <f>Table5[[#This Row],[Net Sales Revenue]]-Table5[[#This Row],[Cost of Sales]]</f>
        <v>8293.1200000000008</v>
      </c>
      <c r="V558" s="17">
        <f>Table5[[#This Row],[GrossProfit]]/Table5[[#This Row],[Net Sales Revenue]]</f>
        <v>0.49176470588235299</v>
      </c>
    </row>
    <row r="559" spans="1:22" ht="14.25" customHeight="1" x14ac:dyDescent="0.25">
      <c r="A559" s="1" t="s">
        <v>637</v>
      </c>
      <c r="B559" s="1" t="s">
        <v>620</v>
      </c>
      <c r="C559" s="1" t="s">
        <v>44</v>
      </c>
      <c r="D559" s="1" t="s">
        <v>33</v>
      </c>
      <c r="E559" s="1" t="s">
        <v>31</v>
      </c>
      <c r="F559" s="1">
        <v>1579</v>
      </c>
      <c r="G559" s="14">
        <v>22</v>
      </c>
      <c r="H559" s="1">
        <v>0.13</v>
      </c>
      <c r="I559" s="14">
        <v>30222.06</v>
      </c>
      <c r="J559" s="14">
        <v>17053.2</v>
      </c>
      <c r="K559" s="15">
        <f>Table5[[#This Row],[Selling Price]]*Table5[[#This Row],[Units Sold]]</f>
        <v>34738</v>
      </c>
      <c r="L559" t="str">
        <f t="shared" si="8"/>
        <v>2024-01</v>
      </c>
      <c r="M559" t="str">
        <f>VLOOKUP(Table5[[#This Row],[Store ID]],Table4[[Store ID]:[Store Location]],2)</f>
        <v>Birmingham</v>
      </c>
      <c r="N559" t="str">
        <f>VLOOKUP(Table5[[#This Row],[Store ID]],Table4[[Store ID]:[Region]],3)</f>
        <v>Midlands</v>
      </c>
      <c r="O559" t="str">
        <f>VLOOKUP(Table5[[#This Row],[Product ID]],'Product Master'!$A$2:$D$10,4)</f>
        <v>Supplier F</v>
      </c>
      <c r="P559" s="15">
        <f>Table5[[#This Row],[Total Revenue]]-Table5[[#This Row],[Net Sales Revenue]]</f>
        <v>4515.9399999999987</v>
      </c>
      <c r="Q559" s="15">
        <f>Table5[[#This Row],[Net Sales Revenue]]/Table5[[#This Row],[Units Sold]]</f>
        <v>19.14</v>
      </c>
      <c r="R559">
        <f>VLOOKUP(Table5[[#This Row],[Product ID]],'Product Master'!$A$1:$E$10,5,FALSE)</f>
        <v>10</v>
      </c>
      <c r="S559" s="15">
        <f>Table5[[#This Row],[standard product cost per unit]]*Table5[[#This Row],[Units Sold]]</f>
        <v>15790</v>
      </c>
      <c r="T559" s="15">
        <f>Table5[[#This Row],[Cost of Sales]]-Table5[[#This Row],[Standard cost]]</f>
        <v>1263.2000000000007</v>
      </c>
      <c r="U559" s="15">
        <f>Table5[[#This Row],[Net Sales Revenue]]-Table5[[#This Row],[Cost of Sales]]</f>
        <v>13168.86</v>
      </c>
      <c r="V559" s="17">
        <f>Table5[[#This Row],[GrossProfit]]/Table5[[#This Row],[Net Sales Revenue]]</f>
        <v>0.43573667711598746</v>
      </c>
    </row>
    <row r="560" spans="1:22" ht="14.25" customHeight="1" x14ac:dyDescent="0.25">
      <c r="A560" s="1" t="s">
        <v>638</v>
      </c>
      <c r="B560" s="1" t="s">
        <v>620</v>
      </c>
      <c r="C560" s="1" t="s">
        <v>48</v>
      </c>
      <c r="D560" s="1" t="s">
        <v>6</v>
      </c>
      <c r="E560" s="1" t="s">
        <v>8</v>
      </c>
      <c r="F560" s="1">
        <v>2833</v>
      </c>
      <c r="G560" s="14">
        <v>24</v>
      </c>
      <c r="H560" s="1">
        <v>0.16</v>
      </c>
      <c r="I560" s="14">
        <v>57113.279999999999</v>
      </c>
      <c r="J560" s="14">
        <v>36715.68</v>
      </c>
      <c r="K560" s="15">
        <f>Table5[[#This Row],[Selling Price]]*Table5[[#This Row],[Units Sold]]</f>
        <v>67992</v>
      </c>
      <c r="L560" t="str">
        <f t="shared" si="8"/>
        <v>2024-01</v>
      </c>
      <c r="M560" t="str">
        <f>VLOOKUP(Table5[[#This Row],[Store ID]],Table4[[Store ID]:[Store Location]],2)</f>
        <v>London Stratford</v>
      </c>
      <c r="N560" t="str">
        <f>VLOOKUP(Table5[[#This Row],[Store ID]],Table4[[Store ID]:[Region]],3)</f>
        <v>South</v>
      </c>
      <c r="O560" t="str">
        <f>VLOOKUP(Table5[[#This Row],[Product ID]],'Product Master'!$A$2:$D$10,4)</f>
        <v>Supplier A</v>
      </c>
      <c r="P560" s="15">
        <f>Table5[[#This Row],[Total Revenue]]-Table5[[#This Row],[Net Sales Revenue]]</f>
        <v>10878.720000000001</v>
      </c>
      <c r="Q560" s="15">
        <f>Table5[[#This Row],[Net Sales Revenue]]/Table5[[#This Row],[Units Sold]]</f>
        <v>20.16</v>
      </c>
      <c r="R560">
        <f>VLOOKUP(Table5[[#This Row],[Product ID]],'Product Master'!$A$1:$E$10,5,FALSE)</f>
        <v>12</v>
      </c>
      <c r="S560" s="15">
        <f>Table5[[#This Row],[standard product cost per unit]]*Table5[[#This Row],[Units Sold]]</f>
        <v>33996</v>
      </c>
      <c r="T560" s="15">
        <f>Table5[[#This Row],[Cost of Sales]]-Table5[[#This Row],[Standard cost]]</f>
        <v>2719.6800000000003</v>
      </c>
      <c r="U560" s="15">
        <f>Table5[[#This Row],[Net Sales Revenue]]-Table5[[#This Row],[Cost of Sales]]</f>
        <v>20397.599999999999</v>
      </c>
      <c r="V560" s="17">
        <f>Table5[[#This Row],[GrossProfit]]/Table5[[#This Row],[Net Sales Revenue]]</f>
        <v>0.35714285714285715</v>
      </c>
    </row>
    <row r="561" spans="1:22" ht="14.25" customHeight="1" x14ac:dyDescent="0.25">
      <c r="A561" s="1" t="s">
        <v>639</v>
      </c>
      <c r="B561" s="1" t="s">
        <v>620</v>
      </c>
      <c r="C561" s="1" t="s">
        <v>48</v>
      </c>
      <c r="D561" s="1" t="s">
        <v>10</v>
      </c>
      <c r="E561" s="1" t="s">
        <v>8</v>
      </c>
      <c r="F561" s="1">
        <v>1861</v>
      </c>
      <c r="G561" s="14">
        <v>50</v>
      </c>
      <c r="H561" s="1">
        <v>0.14000000000000001</v>
      </c>
      <c r="I561" s="14">
        <v>80023</v>
      </c>
      <c r="J561" s="14">
        <v>56276.639999999999</v>
      </c>
      <c r="K561" s="15">
        <f>Table5[[#This Row],[Selling Price]]*Table5[[#This Row],[Units Sold]]</f>
        <v>93050</v>
      </c>
      <c r="L561" t="str">
        <f t="shared" si="8"/>
        <v>2024-01</v>
      </c>
      <c r="M561" t="str">
        <f>VLOOKUP(Table5[[#This Row],[Store ID]],Table4[[Store ID]:[Store Location]],2)</f>
        <v>London Stratford</v>
      </c>
      <c r="N561" t="str">
        <f>VLOOKUP(Table5[[#This Row],[Store ID]],Table4[[Store ID]:[Region]],3)</f>
        <v>South</v>
      </c>
      <c r="O561" t="str">
        <f>VLOOKUP(Table5[[#This Row],[Product ID]],'Product Master'!$A$2:$D$10,4)</f>
        <v>Supplier B</v>
      </c>
      <c r="P561" s="15">
        <f>Table5[[#This Row],[Total Revenue]]-Table5[[#This Row],[Net Sales Revenue]]</f>
        <v>13027</v>
      </c>
      <c r="Q561" s="15">
        <f>Table5[[#This Row],[Net Sales Revenue]]/Table5[[#This Row],[Units Sold]]</f>
        <v>43</v>
      </c>
      <c r="R561">
        <f>VLOOKUP(Table5[[#This Row],[Product ID]],'Product Master'!$A$1:$E$10,5,FALSE)</f>
        <v>28</v>
      </c>
      <c r="S561" s="15">
        <f>Table5[[#This Row],[standard product cost per unit]]*Table5[[#This Row],[Units Sold]]</f>
        <v>52108</v>
      </c>
      <c r="T561" s="15">
        <f>Table5[[#This Row],[Cost of Sales]]-Table5[[#This Row],[Standard cost]]</f>
        <v>4168.6399999999994</v>
      </c>
      <c r="U561" s="15">
        <f>Table5[[#This Row],[Net Sales Revenue]]-Table5[[#This Row],[Cost of Sales]]</f>
        <v>23746.36</v>
      </c>
      <c r="V561" s="17">
        <f>Table5[[#This Row],[GrossProfit]]/Table5[[#This Row],[Net Sales Revenue]]</f>
        <v>0.29674418604651165</v>
      </c>
    </row>
    <row r="562" spans="1:22" ht="14.25" customHeight="1" x14ac:dyDescent="0.25">
      <c r="A562" s="1" t="s">
        <v>640</v>
      </c>
      <c r="B562" s="1" t="s">
        <v>620</v>
      </c>
      <c r="C562" s="1" t="s">
        <v>48</v>
      </c>
      <c r="D562" s="1" t="s">
        <v>13</v>
      </c>
      <c r="E562" s="1" t="s">
        <v>15</v>
      </c>
      <c r="F562" s="1">
        <v>2362</v>
      </c>
      <c r="G562" s="14">
        <v>28</v>
      </c>
      <c r="H562" s="1">
        <v>0.17</v>
      </c>
      <c r="I562" s="14">
        <v>54892.88</v>
      </c>
      <c r="J562" s="14">
        <v>38264.400000000001</v>
      </c>
      <c r="K562" s="15">
        <f>Table5[[#This Row],[Selling Price]]*Table5[[#This Row],[Units Sold]]</f>
        <v>66136</v>
      </c>
      <c r="L562" t="str">
        <f t="shared" si="8"/>
        <v>2024-01</v>
      </c>
      <c r="M562" t="str">
        <f>VLOOKUP(Table5[[#This Row],[Store ID]],Table4[[Store ID]:[Store Location]],2)</f>
        <v>London Stratford</v>
      </c>
      <c r="N562" t="str">
        <f>VLOOKUP(Table5[[#This Row],[Store ID]],Table4[[Store ID]:[Region]],3)</f>
        <v>South</v>
      </c>
      <c r="O562" t="str">
        <f>VLOOKUP(Table5[[#This Row],[Product ID]],'Product Master'!$A$2:$D$10,4)</f>
        <v>Supplier C</v>
      </c>
      <c r="P562" s="15">
        <f>Table5[[#This Row],[Total Revenue]]-Table5[[#This Row],[Net Sales Revenue]]</f>
        <v>11243.120000000003</v>
      </c>
      <c r="Q562" s="15">
        <f>Table5[[#This Row],[Net Sales Revenue]]/Table5[[#This Row],[Units Sold]]</f>
        <v>23.24</v>
      </c>
      <c r="R562">
        <f>VLOOKUP(Table5[[#This Row],[Product ID]],'Product Master'!$A$1:$E$10,5,FALSE)</f>
        <v>15</v>
      </c>
      <c r="S562" s="15">
        <f>Table5[[#This Row],[standard product cost per unit]]*Table5[[#This Row],[Units Sold]]</f>
        <v>35430</v>
      </c>
      <c r="T562" s="15">
        <f>Table5[[#This Row],[Cost of Sales]]-Table5[[#This Row],[Standard cost]]</f>
        <v>2834.4000000000015</v>
      </c>
      <c r="U562" s="15">
        <f>Table5[[#This Row],[Net Sales Revenue]]-Table5[[#This Row],[Cost of Sales]]</f>
        <v>16628.479999999996</v>
      </c>
      <c r="V562" s="17">
        <f>Table5[[#This Row],[GrossProfit]]/Table5[[#This Row],[Net Sales Revenue]]</f>
        <v>0.30292598967297757</v>
      </c>
    </row>
    <row r="563" spans="1:22" ht="14.25" customHeight="1" x14ac:dyDescent="0.25">
      <c r="A563" s="1" t="s">
        <v>641</v>
      </c>
      <c r="B563" s="1" t="s">
        <v>620</v>
      </c>
      <c r="C563" s="1" t="s">
        <v>48</v>
      </c>
      <c r="D563" s="1" t="s">
        <v>17</v>
      </c>
      <c r="E563" s="1" t="s">
        <v>15</v>
      </c>
      <c r="F563" s="1">
        <v>2547</v>
      </c>
      <c r="G563" s="14">
        <v>35</v>
      </c>
      <c r="H563" s="1">
        <v>0.14000000000000001</v>
      </c>
      <c r="I563" s="14">
        <v>76664.7</v>
      </c>
      <c r="J563" s="14">
        <v>49513.68</v>
      </c>
      <c r="K563" s="15">
        <f>Table5[[#This Row],[Selling Price]]*Table5[[#This Row],[Units Sold]]</f>
        <v>89145</v>
      </c>
      <c r="L563" t="str">
        <f t="shared" si="8"/>
        <v>2024-01</v>
      </c>
      <c r="M563" t="str">
        <f>VLOOKUP(Table5[[#This Row],[Store ID]],Table4[[Store ID]:[Store Location]],2)</f>
        <v>London Stratford</v>
      </c>
      <c r="N563" t="str">
        <f>VLOOKUP(Table5[[#This Row],[Store ID]],Table4[[Store ID]:[Region]],3)</f>
        <v>South</v>
      </c>
      <c r="O563" t="str">
        <f>VLOOKUP(Table5[[#This Row],[Product ID]],'Product Master'!$A$2:$D$10,4)</f>
        <v>Supplier C</v>
      </c>
      <c r="P563" s="15">
        <f>Table5[[#This Row],[Total Revenue]]-Table5[[#This Row],[Net Sales Revenue]]</f>
        <v>12480.300000000003</v>
      </c>
      <c r="Q563" s="15">
        <f>Table5[[#This Row],[Net Sales Revenue]]/Table5[[#This Row],[Units Sold]]</f>
        <v>30.099999999999998</v>
      </c>
      <c r="R563">
        <f>VLOOKUP(Table5[[#This Row],[Product ID]],'Product Master'!$A$1:$E$10,5,FALSE)</f>
        <v>18</v>
      </c>
      <c r="S563" s="15">
        <f>Table5[[#This Row],[standard product cost per unit]]*Table5[[#This Row],[Units Sold]]</f>
        <v>45846</v>
      </c>
      <c r="T563" s="15">
        <f>Table5[[#This Row],[Cost of Sales]]-Table5[[#This Row],[Standard cost]]</f>
        <v>3667.6800000000003</v>
      </c>
      <c r="U563" s="15">
        <f>Table5[[#This Row],[Net Sales Revenue]]-Table5[[#This Row],[Cost of Sales]]</f>
        <v>27151.019999999997</v>
      </c>
      <c r="V563" s="17">
        <f>Table5[[#This Row],[GrossProfit]]/Table5[[#This Row],[Net Sales Revenue]]</f>
        <v>0.35415282392026576</v>
      </c>
    </row>
    <row r="564" spans="1:22" ht="14.25" customHeight="1" x14ac:dyDescent="0.25">
      <c r="A564" s="1" t="s">
        <v>642</v>
      </c>
      <c r="B564" s="1" t="s">
        <v>620</v>
      </c>
      <c r="C564" s="1" t="s">
        <v>48</v>
      </c>
      <c r="D564" s="1" t="s">
        <v>19</v>
      </c>
      <c r="E564" s="1" t="s">
        <v>21</v>
      </c>
      <c r="F564" s="1">
        <v>3014</v>
      </c>
      <c r="G564" s="14">
        <v>18</v>
      </c>
      <c r="H564" s="1">
        <v>0.16</v>
      </c>
      <c r="I564" s="14">
        <v>45571.68</v>
      </c>
      <c r="J564" s="14">
        <v>29296.080000000002</v>
      </c>
      <c r="K564" s="15">
        <f>Table5[[#This Row],[Selling Price]]*Table5[[#This Row],[Units Sold]]</f>
        <v>54252</v>
      </c>
      <c r="L564" t="str">
        <f t="shared" si="8"/>
        <v>2024-01</v>
      </c>
      <c r="M564" t="str">
        <f>VLOOKUP(Table5[[#This Row],[Store ID]],Table4[[Store ID]:[Store Location]],2)</f>
        <v>London Stratford</v>
      </c>
      <c r="N564" t="str">
        <f>VLOOKUP(Table5[[#This Row],[Store ID]],Table4[[Store ID]:[Region]],3)</f>
        <v>South</v>
      </c>
      <c r="O564" t="str">
        <f>VLOOKUP(Table5[[#This Row],[Product ID]],'Product Master'!$A$2:$D$10,4)</f>
        <v>Supplier D</v>
      </c>
      <c r="P564" s="15">
        <f>Table5[[#This Row],[Total Revenue]]-Table5[[#This Row],[Net Sales Revenue]]</f>
        <v>8680.32</v>
      </c>
      <c r="Q564" s="15">
        <f>Table5[[#This Row],[Net Sales Revenue]]/Table5[[#This Row],[Units Sold]]</f>
        <v>15.12</v>
      </c>
      <c r="R564">
        <f>VLOOKUP(Table5[[#This Row],[Product ID]],'Product Master'!$A$1:$E$10,5,FALSE)</f>
        <v>9</v>
      </c>
      <c r="S564" s="15">
        <f>Table5[[#This Row],[standard product cost per unit]]*Table5[[#This Row],[Units Sold]]</f>
        <v>27126</v>
      </c>
      <c r="T564" s="15">
        <f>Table5[[#This Row],[Cost of Sales]]-Table5[[#This Row],[Standard cost]]</f>
        <v>2170.0800000000017</v>
      </c>
      <c r="U564" s="15">
        <f>Table5[[#This Row],[Net Sales Revenue]]-Table5[[#This Row],[Cost of Sales]]</f>
        <v>16275.599999999999</v>
      </c>
      <c r="V564" s="17">
        <f>Table5[[#This Row],[GrossProfit]]/Table5[[#This Row],[Net Sales Revenue]]</f>
        <v>0.3571428571428571</v>
      </c>
    </row>
    <row r="565" spans="1:22" ht="14.25" customHeight="1" x14ac:dyDescent="0.25">
      <c r="A565" s="1" t="s">
        <v>643</v>
      </c>
      <c r="B565" s="1" t="s">
        <v>620</v>
      </c>
      <c r="C565" s="1" t="s">
        <v>48</v>
      </c>
      <c r="D565" s="1" t="s">
        <v>23</v>
      </c>
      <c r="E565" s="1" t="s">
        <v>21</v>
      </c>
      <c r="F565" s="1">
        <v>2358</v>
      </c>
      <c r="G565" s="14">
        <v>30</v>
      </c>
      <c r="H565" s="1">
        <v>0.13</v>
      </c>
      <c r="I565" s="14">
        <v>61543.8</v>
      </c>
      <c r="J565" s="14">
        <v>35652.959999999999</v>
      </c>
      <c r="K565" s="15">
        <f>Table5[[#This Row],[Selling Price]]*Table5[[#This Row],[Units Sold]]</f>
        <v>70740</v>
      </c>
      <c r="L565" t="str">
        <f t="shared" si="8"/>
        <v>2024-01</v>
      </c>
      <c r="M565" t="str">
        <f>VLOOKUP(Table5[[#This Row],[Store ID]],Table4[[Store ID]:[Store Location]],2)</f>
        <v>London Stratford</v>
      </c>
      <c r="N565" t="str">
        <f>VLOOKUP(Table5[[#This Row],[Store ID]],Table4[[Store ID]:[Region]],3)</f>
        <v>South</v>
      </c>
      <c r="O565" t="str">
        <f>VLOOKUP(Table5[[#This Row],[Product ID]],'Product Master'!$A$2:$D$10,4)</f>
        <v>Supplier D</v>
      </c>
      <c r="P565" s="15">
        <f>Table5[[#This Row],[Total Revenue]]-Table5[[#This Row],[Net Sales Revenue]]</f>
        <v>9196.1999999999971</v>
      </c>
      <c r="Q565" s="15">
        <f>Table5[[#This Row],[Net Sales Revenue]]/Table5[[#This Row],[Units Sold]]</f>
        <v>26.1</v>
      </c>
      <c r="R565">
        <f>VLOOKUP(Table5[[#This Row],[Product ID]],'Product Master'!$A$1:$E$10,5,FALSE)</f>
        <v>14</v>
      </c>
      <c r="S565" s="15">
        <f>Table5[[#This Row],[standard product cost per unit]]*Table5[[#This Row],[Units Sold]]</f>
        <v>33012</v>
      </c>
      <c r="T565" s="15">
        <f>Table5[[#This Row],[Cost of Sales]]-Table5[[#This Row],[Standard cost]]</f>
        <v>2640.9599999999991</v>
      </c>
      <c r="U565" s="15">
        <f>Table5[[#This Row],[Net Sales Revenue]]-Table5[[#This Row],[Cost of Sales]]</f>
        <v>25890.840000000004</v>
      </c>
      <c r="V565" s="17">
        <f>Table5[[#This Row],[GrossProfit]]/Table5[[#This Row],[Net Sales Revenue]]</f>
        <v>0.42068965517241386</v>
      </c>
    </row>
    <row r="566" spans="1:22" ht="14.25" customHeight="1" x14ac:dyDescent="0.25">
      <c r="A566" s="1" t="s">
        <v>644</v>
      </c>
      <c r="B566" s="1" t="s">
        <v>620</v>
      </c>
      <c r="C566" s="1" t="s">
        <v>48</v>
      </c>
      <c r="D566" s="1" t="s">
        <v>25</v>
      </c>
      <c r="E566" s="1" t="s">
        <v>27</v>
      </c>
      <c r="F566" s="1">
        <v>1672</v>
      </c>
      <c r="G566" s="14">
        <v>40</v>
      </c>
      <c r="H566" s="1">
        <v>0.17</v>
      </c>
      <c r="I566" s="14">
        <v>55510.400000000001</v>
      </c>
      <c r="J566" s="14">
        <v>36115.199999999997</v>
      </c>
      <c r="K566" s="15">
        <f>Table5[[#This Row],[Selling Price]]*Table5[[#This Row],[Units Sold]]</f>
        <v>66880</v>
      </c>
      <c r="L566" t="str">
        <f t="shared" si="8"/>
        <v>2024-01</v>
      </c>
      <c r="M566" t="str">
        <f>VLOOKUP(Table5[[#This Row],[Store ID]],Table4[[Store ID]:[Store Location]],2)</f>
        <v>London Stratford</v>
      </c>
      <c r="N566" t="str">
        <f>VLOOKUP(Table5[[#This Row],[Store ID]],Table4[[Store ID]:[Region]],3)</f>
        <v>South</v>
      </c>
      <c r="O566" t="str">
        <f>VLOOKUP(Table5[[#This Row],[Product ID]],'Product Master'!$A$2:$D$10,4)</f>
        <v>Supplier E</v>
      </c>
      <c r="P566" s="15">
        <f>Table5[[#This Row],[Total Revenue]]-Table5[[#This Row],[Net Sales Revenue]]</f>
        <v>11369.599999999999</v>
      </c>
      <c r="Q566" s="15">
        <f>Table5[[#This Row],[Net Sales Revenue]]/Table5[[#This Row],[Units Sold]]</f>
        <v>33.200000000000003</v>
      </c>
      <c r="R566">
        <f>VLOOKUP(Table5[[#This Row],[Product ID]],'Product Master'!$A$1:$E$10,5,FALSE)</f>
        <v>20</v>
      </c>
      <c r="S566" s="15">
        <f>Table5[[#This Row],[standard product cost per unit]]*Table5[[#This Row],[Units Sold]]</f>
        <v>33440</v>
      </c>
      <c r="T566" s="15">
        <f>Table5[[#This Row],[Cost of Sales]]-Table5[[#This Row],[Standard cost]]</f>
        <v>2675.1999999999971</v>
      </c>
      <c r="U566" s="15">
        <f>Table5[[#This Row],[Net Sales Revenue]]-Table5[[#This Row],[Cost of Sales]]</f>
        <v>19395.200000000004</v>
      </c>
      <c r="V566" s="17">
        <f>Table5[[#This Row],[GrossProfit]]/Table5[[#This Row],[Net Sales Revenue]]</f>
        <v>0.34939759036144585</v>
      </c>
    </row>
    <row r="567" spans="1:22" ht="14.25" customHeight="1" x14ac:dyDescent="0.25">
      <c r="A567" s="1" t="s">
        <v>645</v>
      </c>
      <c r="B567" s="1" t="s">
        <v>620</v>
      </c>
      <c r="C567" s="1" t="s">
        <v>48</v>
      </c>
      <c r="D567" s="1" t="s">
        <v>29</v>
      </c>
      <c r="E567" s="1" t="s">
        <v>31</v>
      </c>
      <c r="F567" s="1">
        <v>2217</v>
      </c>
      <c r="G567" s="14">
        <v>10</v>
      </c>
      <c r="H567" s="1">
        <v>0.13</v>
      </c>
      <c r="I567" s="14">
        <v>19287.900000000001</v>
      </c>
      <c r="J567" s="14">
        <v>9577.44</v>
      </c>
      <c r="K567" s="15">
        <f>Table5[[#This Row],[Selling Price]]*Table5[[#This Row],[Units Sold]]</f>
        <v>22170</v>
      </c>
      <c r="L567" t="str">
        <f t="shared" si="8"/>
        <v>2024-01</v>
      </c>
      <c r="M567" t="str">
        <f>VLOOKUP(Table5[[#This Row],[Store ID]],Table4[[Store ID]:[Store Location]],2)</f>
        <v>London Stratford</v>
      </c>
      <c r="N567" t="str">
        <f>VLOOKUP(Table5[[#This Row],[Store ID]],Table4[[Store ID]:[Region]],3)</f>
        <v>South</v>
      </c>
      <c r="O567" t="str">
        <f>VLOOKUP(Table5[[#This Row],[Product ID]],'Product Master'!$A$2:$D$10,4)</f>
        <v>Supplier F</v>
      </c>
      <c r="P567" s="15">
        <f>Table5[[#This Row],[Total Revenue]]-Table5[[#This Row],[Net Sales Revenue]]</f>
        <v>2882.0999999999985</v>
      </c>
      <c r="Q567" s="15">
        <f>Table5[[#This Row],[Net Sales Revenue]]/Table5[[#This Row],[Units Sold]]</f>
        <v>8.7000000000000011</v>
      </c>
      <c r="R567">
        <f>VLOOKUP(Table5[[#This Row],[Product ID]],'Product Master'!$A$1:$E$10,5,FALSE)</f>
        <v>4</v>
      </c>
      <c r="S567" s="15">
        <f>Table5[[#This Row],[standard product cost per unit]]*Table5[[#This Row],[Units Sold]]</f>
        <v>8868</v>
      </c>
      <c r="T567" s="15">
        <f>Table5[[#This Row],[Cost of Sales]]-Table5[[#This Row],[Standard cost]]</f>
        <v>709.44000000000051</v>
      </c>
      <c r="U567" s="15">
        <f>Table5[[#This Row],[Net Sales Revenue]]-Table5[[#This Row],[Cost of Sales]]</f>
        <v>9710.4600000000009</v>
      </c>
      <c r="V567" s="17">
        <f>Table5[[#This Row],[GrossProfit]]/Table5[[#This Row],[Net Sales Revenue]]</f>
        <v>0.50344827586206897</v>
      </c>
    </row>
    <row r="568" spans="1:22" ht="14.25" customHeight="1" x14ac:dyDescent="0.25">
      <c r="A568" s="1" t="s">
        <v>646</v>
      </c>
      <c r="B568" s="1" t="s">
        <v>620</v>
      </c>
      <c r="C568" s="1" t="s">
        <v>48</v>
      </c>
      <c r="D568" s="1" t="s">
        <v>33</v>
      </c>
      <c r="E568" s="1" t="s">
        <v>31</v>
      </c>
      <c r="F568" s="1">
        <v>1848</v>
      </c>
      <c r="G568" s="14">
        <v>22</v>
      </c>
      <c r="H568" s="1">
        <v>0.17</v>
      </c>
      <c r="I568" s="14">
        <v>33744.480000000003</v>
      </c>
      <c r="J568" s="14">
        <v>19958.400000000001</v>
      </c>
      <c r="K568" s="15">
        <f>Table5[[#This Row],[Selling Price]]*Table5[[#This Row],[Units Sold]]</f>
        <v>40656</v>
      </c>
      <c r="L568" t="str">
        <f t="shared" si="8"/>
        <v>2024-01</v>
      </c>
      <c r="M568" t="str">
        <f>VLOOKUP(Table5[[#This Row],[Store ID]],Table4[[Store ID]:[Store Location]],2)</f>
        <v>London Stratford</v>
      </c>
      <c r="N568" t="str">
        <f>VLOOKUP(Table5[[#This Row],[Store ID]],Table4[[Store ID]:[Region]],3)</f>
        <v>South</v>
      </c>
      <c r="O568" t="str">
        <f>VLOOKUP(Table5[[#This Row],[Product ID]],'Product Master'!$A$2:$D$10,4)</f>
        <v>Supplier F</v>
      </c>
      <c r="P568" s="15">
        <f>Table5[[#This Row],[Total Revenue]]-Table5[[#This Row],[Net Sales Revenue]]</f>
        <v>6911.5199999999968</v>
      </c>
      <c r="Q568" s="15">
        <f>Table5[[#This Row],[Net Sales Revenue]]/Table5[[#This Row],[Units Sold]]</f>
        <v>18.260000000000002</v>
      </c>
      <c r="R568">
        <f>VLOOKUP(Table5[[#This Row],[Product ID]],'Product Master'!$A$1:$E$10,5,FALSE)</f>
        <v>10</v>
      </c>
      <c r="S568" s="15">
        <f>Table5[[#This Row],[standard product cost per unit]]*Table5[[#This Row],[Units Sold]]</f>
        <v>18480</v>
      </c>
      <c r="T568" s="15">
        <f>Table5[[#This Row],[Cost of Sales]]-Table5[[#This Row],[Standard cost]]</f>
        <v>1478.4000000000015</v>
      </c>
      <c r="U568" s="15">
        <f>Table5[[#This Row],[Net Sales Revenue]]-Table5[[#This Row],[Cost of Sales]]</f>
        <v>13786.080000000002</v>
      </c>
      <c r="V568" s="17">
        <f>Table5[[#This Row],[GrossProfit]]/Table5[[#This Row],[Net Sales Revenue]]</f>
        <v>0.40854326396495072</v>
      </c>
    </row>
    <row r="569" spans="1:22" ht="14.25" customHeight="1" x14ac:dyDescent="0.25">
      <c r="A569" s="1" t="s">
        <v>647</v>
      </c>
      <c r="B569" s="1" t="s">
        <v>620</v>
      </c>
      <c r="C569" s="1" t="s">
        <v>52</v>
      </c>
      <c r="D569" s="1" t="s">
        <v>6</v>
      </c>
      <c r="E569" s="1" t="s">
        <v>8</v>
      </c>
      <c r="F569" s="1">
        <v>1975</v>
      </c>
      <c r="G569" s="14">
        <v>24</v>
      </c>
      <c r="H569" s="1">
        <v>0.17</v>
      </c>
      <c r="I569" s="14">
        <v>39342</v>
      </c>
      <c r="J569" s="14">
        <v>25596</v>
      </c>
      <c r="K569" s="15">
        <f>Table5[[#This Row],[Selling Price]]*Table5[[#This Row],[Units Sold]]</f>
        <v>47400</v>
      </c>
      <c r="L569" t="str">
        <f t="shared" si="8"/>
        <v>2024-01</v>
      </c>
      <c r="M569" t="str">
        <f>VLOOKUP(Table5[[#This Row],[Store ID]],Table4[[Store ID]:[Store Location]],2)</f>
        <v>Glasgow</v>
      </c>
      <c r="N569" t="str">
        <f>VLOOKUP(Table5[[#This Row],[Store ID]],Table4[[Store ID]:[Region]],3)</f>
        <v>Scotland</v>
      </c>
      <c r="O569" t="str">
        <f>VLOOKUP(Table5[[#This Row],[Product ID]],'Product Master'!$A$2:$D$10,4)</f>
        <v>Supplier A</v>
      </c>
      <c r="P569" s="15">
        <f>Table5[[#This Row],[Total Revenue]]-Table5[[#This Row],[Net Sales Revenue]]</f>
        <v>8058</v>
      </c>
      <c r="Q569" s="15">
        <f>Table5[[#This Row],[Net Sales Revenue]]/Table5[[#This Row],[Units Sold]]</f>
        <v>19.920000000000002</v>
      </c>
      <c r="R569">
        <f>VLOOKUP(Table5[[#This Row],[Product ID]],'Product Master'!$A$1:$E$10,5,FALSE)</f>
        <v>12</v>
      </c>
      <c r="S569" s="15">
        <f>Table5[[#This Row],[standard product cost per unit]]*Table5[[#This Row],[Units Sold]]</f>
        <v>23700</v>
      </c>
      <c r="T569" s="15">
        <f>Table5[[#This Row],[Cost of Sales]]-Table5[[#This Row],[Standard cost]]</f>
        <v>1896</v>
      </c>
      <c r="U569" s="15">
        <f>Table5[[#This Row],[Net Sales Revenue]]-Table5[[#This Row],[Cost of Sales]]</f>
        <v>13746</v>
      </c>
      <c r="V569" s="17">
        <f>Table5[[#This Row],[GrossProfit]]/Table5[[#This Row],[Net Sales Revenue]]</f>
        <v>0.3493975903614458</v>
      </c>
    </row>
    <row r="570" spans="1:22" ht="14.25" customHeight="1" x14ac:dyDescent="0.25">
      <c r="A570" s="1" t="s">
        <v>648</v>
      </c>
      <c r="B570" s="1" t="s">
        <v>620</v>
      </c>
      <c r="C570" s="1" t="s">
        <v>52</v>
      </c>
      <c r="D570" s="1" t="s">
        <v>10</v>
      </c>
      <c r="E570" s="1" t="s">
        <v>8</v>
      </c>
      <c r="F570" s="1">
        <v>2195</v>
      </c>
      <c r="G570" s="14">
        <v>50</v>
      </c>
      <c r="H570" s="1">
        <v>0.16</v>
      </c>
      <c r="I570" s="14">
        <v>92190</v>
      </c>
      <c r="J570" s="14">
        <v>66376.800000000003</v>
      </c>
      <c r="K570" s="15">
        <f>Table5[[#This Row],[Selling Price]]*Table5[[#This Row],[Units Sold]]</f>
        <v>109750</v>
      </c>
      <c r="L570" t="str">
        <f t="shared" si="8"/>
        <v>2024-01</v>
      </c>
      <c r="M570" t="str">
        <f>VLOOKUP(Table5[[#This Row],[Store ID]],Table4[[Store ID]:[Store Location]],2)</f>
        <v>Glasgow</v>
      </c>
      <c r="N570" t="str">
        <f>VLOOKUP(Table5[[#This Row],[Store ID]],Table4[[Store ID]:[Region]],3)</f>
        <v>Scotland</v>
      </c>
      <c r="O570" t="str">
        <f>VLOOKUP(Table5[[#This Row],[Product ID]],'Product Master'!$A$2:$D$10,4)</f>
        <v>Supplier B</v>
      </c>
      <c r="P570" s="15">
        <f>Table5[[#This Row],[Total Revenue]]-Table5[[#This Row],[Net Sales Revenue]]</f>
        <v>17560</v>
      </c>
      <c r="Q570" s="15">
        <f>Table5[[#This Row],[Net Sales Revenue]]/Table5[[#This Row],[Units Sold]]</f>
        <v>42</v>
      </c>
      <c r="R570">
        <f>VLOOKUP(Table5[[#This Row],[Product ID]],'Product Master'!$A$1:$E$10,5,FALSE)</f>
        <v>28</v>
      </c>
      <c r="S570" s="15">
        <f>Table5[[#This Row],[standard product cost per unit]]*Table5[[#This Row],[Units Sold]]</f>
        <v>61460</v>
      </c>
      <c r="T570" s="15">
        <f>Table5[[#This Row],[Cost of Sales]]-Table5[[#This Row],[Standard cost]]</f>
        <v>4916.8000000000029</v>
      </c>
      <c r="U570" s="15">
        <f>Table5[[#This Row],[Net Sales Revenue]]-Table5[[#This Row],[Cost of Sales]]</f>
        <v>25813.199999999997</v>
      </c>
      <c r="V570" s="17">
        <f>Table5[[#This Row],[GrossProfit]]/Table5[[#This Row],[Net Sales Revenue]]</f>
        <v>0.27999999999999997</v>
      </c>
    </row>
    <row r="571" spans="1:22" ht="14.25" customHeight="1" x14ac:dyDescent="0.25">
      <c r="A571" s="1" t="s">
        <v>649</v>
      </c>
      <c r="B571" s="1" t="s">
        <v>620</v>
      </c>
      <c r="C571" s="1" t="s">
        <v>52</v>
      </c>
      <c r="D571" s="1" t="s">
        <v>13</v>
      </c>
      <c r="E571" s="1" t="s">
        <v>15</v>
      </c>
      <c r="F571" s="1">
        <v>2081</v>
      </c>
      <c r="G571" s="14">
        <v>28</v>
      </c>
      <c r="H571" s="1">
        <v>0.13</v>
      </c>
      <c r="I571" s="14">
        <v>50693.16</v>
      </c>
      <c r="J571" s="14">
        <v>33712.199999999997</v>
      </c>
      <c r="K571" s="15">
        <f>Table5[[#This Row],[Selling Price]]*Table5[[#This Row],[Units Sold]]</f>
        <v>58268</v>
      </c>
      <c r="L571" t="str">
        <f t="shared" si="8"/>
        <v>2024-01</v>
      </c>
      <c r="M571" t="str">
        <f>VLOOKUP(Table5[[#This Row],[Store ID]],Table4[[Store ID]:[Store Location]],2)</f>
        <v>Glasgow</v>
      </c>
      <c r="N571" t="str">
        <f>VLOOKUP(Table5[[#This Row],[Store ID]],Table4[[Store ID]:[Region]],3)</f>
        <v>Scotland</v>
      </c>
      <c r="O571" t="str">
        <f>VLOOKUP(Table5[[#This Row],[Product ID]],'Product Master'!$A$2:$D$10,4)</f>
        <v>Supplier C</v>
      </c>
      <c r="P571" s="15">
        <f>Table5[[#This Row],[Total Revenue]]-Table5[[#This Row],[Net Sales Revenue]]</f>
        <v>7574.8399999999965</v>
      </c>
      <c r="Q571" s="15">
        <f>Table5[[#This Row],[Net Sales Revenue]]/Table5[[#This Row],[Units Sold]]</f>
        <v>24.360000000000003</v>
      </c>
      <c r="R571">
        <f>VLOOKUP(Table5[[#This Row],[Product ID]],'Product Master'!$A$1:$E$10,5,FALSE)</f>
        <v>15</v>
      </c>
      <c r="S571" s="15">
        <f>Table5[[#This Row],[standard product cost per unit]]*Table5[[#This Row],[Units Sold]]</f>
        <v>31215</v>
      </c>
      <c r="T571" s="15">
        <f>Table5[[#This Row],[Cost of Sales]]-Table5[[#This Row],[Standard cost]]</f>
        <v>2497.1999999999971</v>
      </c>
      <c r="U571" s="15">
        <f>Table5[[#This Row],[Net Sales Revenue]]-Table5[[#This Row],[Cost of Sales]]</f>
        <v>16980.960000000006</v>
      </c>
      <c r="V571" s="17">
        <f>Table5[[#This Row],[GrossProfit]]/Table5[[#This Row],[Net Sales Revenue]]</f>
        <v>0.33497536945812817</v>
      </c>
    </row>
    <row r="572" spans="1:22" ht="14.25" customHeight="1" x14ac:dyDescent="0.25">
      <c r="A572" s="1" t="s">
        <v>650</v>
      </c>
      <c r="B572" s="1" t="s">
        <v>620</v>
      </c>
      <c r="C572" s="1" t="s">
        <v>52</v>
      </c>
      <c r="D572" s="1" t="s">
        <v>17</v>
      </c>
      <c r="E572" s="1" t="s">
        <v>15</v>
      </c>
      <c r="F572" s="1">
        <v>3066</v>
      </c>
      <c r="G572" s="14">
        <v>35</v>
      </c>
      <c r="H572" s="1">
        <v>0.16</v>
      </c>
      <c r="I572" s="14">
        <v>90140.4</v>
      </c>
      <c r="J572" s="14">
        <v>59603.040000000001</v>
      </c>
      <c r="K572" s="15">
        <f>Table5[[#This Row],[Selling Price]]*Table5[[#This Row],[Units Sold]]</f>
        <v>107310</v>
      </c>
      <c r="L572" t="str">
        <f t="shared" si="8"/>
        <v>2024-01</v>
      </c>
      <c r="M572" t="str">
        <f>VLOOKUP(Table5[[#This Row],[Store ID]],Table4[[Store ID]:[Store Location]],2)</f>
        <v>Glasgow</v>
      </c>
      <c r="N572" t="str">
        <f>VLOOKUP(Table5[[#This Row],[Store ID]],Table4[[Store ID]:[Region]],3)</f>
        <v>Scotland</v>
      </c>
      <c r="O572" t="str">
        <f>VLOOKUP(Table5[[#This Row],[Product ID]],'Product Master'!$A$2:$D$10,4)</f>
        <v>Supplier C</v>
      </c>
      <c r="P572" s="15">
        <f>Table5[[#This Row],[Total Revenue]]-Table5[[#This Row],[Net Sales Revenue]]</f>
        <v>17169.600000000006</v>
      </c>
      <c r="Q572" s="15">
        <f>Table5[[#This Row],[Net Sales Revenue]]/Table5[[#This Row],[Units Sold]]</f>
        <v>29.4</v>
      </c>
      <c r="R572">
        <f>VLOOKUP(Table5[[#This Row],[Product ID]],'Product Master'!$A$1:$E$10,5,FALSE)</f>
        <v>18</v>
      </c>
      <c r="S572" s="15">
        <f>Table5[[#This Row],[standard product cost per unit]]*Table5[[#This Row],[Units Sold]]</f>
        <v>55188</v>
      </c>
      <c r="T572" s="15">
        <f>Table5[[#This Row],[Cost of Sales]]-Table5[[#This Row],[Standard cost]]</f>
        <v>4415.0400000000009</v>
      </c>
      <c r="U572" s="15">
        <f>Table5[[#This Row],[Net Sales Revenue]]-Table5[[#This Row],[Cost of Sales]]</f>
        <v>30537.359999999993</v>
      </c>
      <c r="V572" s="17">
        <f>Table5[[#This Row],[GrossProfit]]/Table5[[#This Row],[Net Sales Revenue]]</f>
        <v>0.33877551020408159</v>
      </c>
    </row>
    <row r="573" spans="1:22" ht="14.25" customHeight="1" x14ac:dyDescent="0.25">
      <c r="A573" s="1" t="s">
        <v>651</v>
      </c>
      <c r="B573" s="1" t="s">
        <v>620</v>
      </c>
      <c r="C573" s="1" t="s">
        <v>52</v>
      </c>
      <c r="D573" s="1" t="s">
        <v>19</v>
      </c>
      <c r="E573" s="1" t="s">
        <v>21</v>
      </c>
      <c r="F573" s="1">
        <v>1548</v>
      </c>
      <c r="G573" s="14">
        <v>18</v>
      </c>
      <c r="H573" s="1">
        <v>0.17</v>
      </c>
      <c r="I573" s="14">
        <v>23127.119999999999</v>
      </c>
      <c r="J573" s="14">
        <v>15046.56</v>
      </c>
      <c r="K573" s="15">
        <f>Table5[[#This Row],[Selling Price]]*Table5[[#This Row],[Units Sold]]</f>
        <v>27864</v>
      </c>
      <c r="L573" t="str">
        <f t="shared" si="8"/>
        <v>2024-01</v>
      </c>
      <c r="M573" t="str">
        <f>VLOOKUP(Table5[[#This Row],[Store ID]],Table4[[Store ID]:[Store Location]],2)</f>
        <v>Glasgow</v>
      </c>
      <c r="N573" t="str">
        <f>VLOOKUP(Table5[[#This Row],[Store ID]],Table4[[Store ID]:[Region]],3)</f>
        <v>Scotland</v>
      </c>
      <c r="O573" t="str">
        <f>VLOOKUP(Table5[[#This Row],[Product ID]],'Product Master'!$A$2:$D$10,4)</f>
        <v>Supplier D</v>
      </c>
      <c r="P573" s="15">
        <f>Table5[[#This Row],[Total Revenue]]-Table5[[#This Row],[Net Sales Revenue]]</f>
        <v>4736.880000000001</v>
      </c>
      <c r="Q573" s="15">
        <f>Table5[[#This Row],[Net Sales Revenue]]/Table5[[#This Row],[Units Sold]]</f>
        <v>14.94</v>
      </c>
      <c r="R573">
        <f>VLOOKUP(Table5[[#This Row],[Product ID]],'Product Master'!$A$1:$E$10,5,FALSE)</f>
        <v>9</v>
      </c>
      <c r="S573" s="15">
        <f>Table5[[#This Row],[standard product cost per unit]]*Table5[[#This Row],[Units Sold]]</f>
        <v>13932</v>
      </c>
      <c r="T573" s="15">
        <f>Table5[[#This Row],[Cost of Sales]]-Table5[[#This Row],[Standard cost]]</f>
        <v>1114.5599999999995</v>
      </c>
      <c r="U573" s="15">
        <f>Table5[[#This Row],[Net Sales Revenue]]-Table5[[#This Row],[Cost of Sales]]</f>
        <v>8080.5599999999995</v>
      </c>
      <c r="V573" s="17">
        <f>Table5[[#This Row],[GrossProfit]]/Table5[[#This Row],[Net Sales Revenue]]</f>
        <v>0.3493975903614458</v>
      </c>
    </row>
    <row r="574" spans="1:22" ht="14.25" customHeight="1" x14ac:dyDescent="0.25">
      <c r="A574" s="1" t="s">
        <v>652</v>
      </c>
      <c r="B574" s="1" t="s">
        <v>620</v>
      </c>
      <c r="C574" s="1" t="s">
        <v>52</v>
      </c>
      <c r="D574" s="1" t="s">
        <v>23</v>
      </c>
      <c r="E574" s="1" t="s">
        <v>21</v>
      </c>
      <c r="F574" s="1">
        <v>2186</v>
      </c>
      <c r="G574" s="14">
        <v>30</v>
      </c>
      <c r="H574" s="1">
        <v>0.13</v>
      </c>
      <c r="I574" s="14">
        <v>57054.6</v>
      </c>
      <c r="J574" s="14">
        <v>33052.32</v>
      </c>
      <c r="K574" s="15">
        <f>Table5[[#This Row],[Selling Price]]*Table5[[#This Row],[Units Sold]]</f>
        <v>65580</v>
      </c>
      <c r="L574" t="str">
        <f t="shared" si="8"/>
        <v>2024-01</v>
      </c>
      <c r="M574" t="str">
        <f>VLOOKUP(Table5[[#This Row],[Store ID]],Table4[[Store ID]:[Store Location]],2)</f>
        <v>Glasgow</v>
      </c>
      <c r="N574" t="str">
        <f>VLOOKUP(Table5[[#This Row],[Store ID]],Table4[[Store ID]:[Region]],3)</f>
        <v>Scotland</v>
      </c>
      <c r="O574" t="str">
        <f>VLOOKUP(Table5[[#This Row],[Product ID]],'Product Master'!$A$2:$D$10,4)</f>
        <v>Supplier D</v>
      </c>
      <c r="P574" s="15">
        <f>Table5[[#This Row],[Total Revenue]]-Table5[[#This Row],[Net Sales Revenue]]</f>
        <v>8525.4000000000015</v>
      </c>
      <c r="Q574" s="15">
        <f>Table5[[#This Row],[Net Sales Revenue]]/Table5[[#This Row],[Units Sold]]</f>
        <v>26.099999999999998</v>
      </c>
      <c r="R574">
        <f>VLOOKUP(Table5[[#This Row],[Product ID]],'Product Master'!$A$1:$E$10,5,FALSE)</f>
        <v>14</v>
      </c>
      <c r="S574" s="15">
        <f>Table5[[#This Row],[standard product cost per unit]]*Table5[[#This Row],[Units Sold]]</f>
        <v>30604</v>
      </c>
      <c r="T574" s="15">
        <f>Table5[[#This Row],[Cost of Sales]]-Table5[[#This Row],[Standard cost]]</f>
        <v>2448.3199999999997</v>
      </c>
      <c r="U574" s="15">
        <f>Table5[[#This Row],[Net Sales Revenue]]-Table5[[#This Row],[Cost of Sales]]</f>
        <v>24002.28</v>
      </c>
      <c r="V574" s="17">
        <f>Table5[[#This Row],[GrossProfit]]/Table5[[#This Row],[Net Sales Revenue]]</f>
        <v>0.4206896551724138</v>
      </c>
    </row>
    <row r="575" spans="1:22" ht="14.25" customHeight="1" x14ac:dyDescent="0.25">
      <c r="A575" s="1" t="s">
        <v>653</v>
      </c>
      <c r="B575" s="1" t="s">
        <v>620</v>
      </c>
      <c r="C575" s="1" t="s">
        <v>52</v>
      </c>
      <c r="D575" s="1" t="s">
        <v>25</v>
      </c>
      <c r="E575" s="1" t="s">
        <v>27</v>
      </c>
      <c r="F575" s="1">
        <v>2107</v>
      </c>
      <c r="G575" s="14">
        <v>40</v>
      </c>
      <c r="H575" s="1">
        <v>0.14000000000000001</v>
      </c>
      <c r="I575" s="14">
        <v>72480.800000000003</v>
      </c>
      <c r="J575" s="14">
        <v>45511.199999999997</v>
      </c>
      <c r="K575" s="15">
        <f>Table5[[#This Row],[Selling Price]]*Table5[[#This Row],[Units Sold]]</f>
        <v>84280</v>
      </c>
      <c r="L575" t="str">
        <f t="shared" si="8"/>
        <v>2024-01</v>
      </c>
      <c r="M575" t="str">
        <f>VLOOKUP(Table5[[#This Row],[Store ID]],Table4[[Store ID]:[Store Location]],2)</f>
        <v>Glasgow</v>
      </c>
      <c r="N575" t="str">
        <f>VLOOKUP(Table5[[#This Row],[Store ID]],Table4[[Store ID]:[Region]],3)</f>
        <v>Scotland</v>
      </c>
      <c r="O575" t="str">
        <f>VLOOKUP(Table5[[#This Row],[Product ID]],'Product Master'!$A$2:$D$10,4)</f>
        <v>Supplier E</v>
      </c>
      <c r="P575" s="15">
        <f>Table5[[#This Row],[Total Revenue]]-Table5[[#This Row],[Net Sales Revenue]]</f>
        <v>11799.199999999997</v>
      </c>
      <c r="Q575" s="15">
        <f>Table5[[#This Row],[Net Sales Revenue]]/Table5[[#This Row],[Units Sold]]</f>
        <v>34.4</v>
      </c>
      <c r="R575">
        <f>VLOOKUP(Table5[[#This Row],[Product ID]],'Product Master'!$A$1:$E$10,5,FALSE)</f>
        <v>20</v>
      </c>
      <c r="S575" s="15">
        <f>Table5[[#This Row],[standard product cost per unit]]*Table5[[#This Row],[Units Sold]]</f>
        <v>42140</v>
      </c>
      <c r="T575" s="15">
        <f>Table5[[#This Row],[Cost of Sales]]-Table5[[#This Row],[Standard cost]]</f>
        <v>3371.1999999999971</v>
      </c>
      <c r="U575" s="15">
        <f>Table5[[#This Row],[Net Sales Revenue]]-Table5[[#This Row],[Cost of Sales]]</f>
        <v>26969.600000000006</v>
      </c>
      <c r="V575" s="17">
        <f>Table5[[#This Row],[GrossProfit]]/Table5[[#This Row],[Net Sales Revenue]]</f>
        <v>0.372093023255814</v>
      </c>
    </row>
    <row r="576" spans="1:22" ht="14.25" customHeight="1" x14ac:dyDescent="0.25">
      <c r="A576" s="1" t="s">
        <v>654</v>
      </c>
      <c r="B576" s="1" t="s">
        <v>620</v>
      </c>
      <c r="C576" s="1" t="s">
        <v>52</v>
      </c>
      <c r="D576" s="1" t="s">
        <v>29</v>
      </c>
      <c r="E576" s="1" t="s">
        <v>31</v>
      </c>
      <c r="F576" s="1">
        <v>2076</v>
      </c>
      <c r="G576" s="14">
        <v>10</v>
      </c>
      <c r="H576" s="1">
        <v>0.13</v>
      </c>
      <c r="I576" s="14">
        <v>18061.2</v>
      </c>
      <c r="J576" s="14">
        <v>8968.32</v>
      </c>
      <c r="K576" s="15">
        <f>Table5[[#This Row],[Selling Price]]*Table5[[#This Row],[Units Sold]]</f>
        <v>20760</v>
      </c>
      <c r="L576" t="str">
        <f t="shared" si="8"/>
        <v>2024-01</v>
      </c>
      <c r="M576" t="str">
        <f>VLOOKUP(Table5[[#This Row],[Store ID]],Table4[[Store ID]:[Store Location]],2)</f>
        <v>Glasgow</v>
      </c>
      <c r="N576" t="str">
        <f>VLOOKUP(Table5[[#This Row],[Store ID]],Table4[[Store ID]:[Region]],3)</f>
        <v>Scotland</v>
      </c>
      <c r="O576" t="str">
        <f>VLOOKUP(Table5[[#This Row],[Product ID]],'Product Master'!$A$2:$D$10,4)</f>
        <v>Supplier F</v>
      </c>
      <c r="P576" s="15">
        <f>Table5[[#This Row],[Total Revenue]]-Table5[[#This Row],[Net Sales Revenue]]</f>
        <v>2698.7999999999993</v>
      </c>
      <c r="Q576" s="15">
        <f>Table5[[#This Row],[Net Sales Revenue]]/Table5[[#This Row],[Units Sold]]</f>
        <v>8.7000000000000011</v>
      </c>
      <c r="R576">
        <f>VLOOKUP(Table5[[#This Row],[Product ID]],'Product Master'!$A$1:$E$10,5,FALSE)</f>
        <v>4</v>
      </c>
      <c r="S576" s="15">
        <f>Table5[[#This Row],[standard product cost per unit]]*Table5[[#This Row],[Units Sold]]</f>
        <v>8304</v>
      </c>
      <c r="T576" s="15">
        <f>Table5[[#This Row],[Cost of Sales]]-Table5[[#This Row],[Standard cost]]</f>
        <v>664.31999999999971</v>
      </c>
      <c r="U576" s="15">
        <f>Table5[[#This Row],[Net Sales Revenue]]-Table5[[#This Row],[Cost of Sales]]</f>
        <v>9092.880000000001</v>
      </c>
      <c r="V576" s="17">
        <f>Table5[[#This Row],[GrossProfit]]/Table5[[#This Row],[Net Sales Revenue]]</f>
        <v>0.50344827586206897</v>
      </c>
    </row>
    <row r="577" spans="1:22" ht="14.25" customHeight="1" x14ac:dyDescent="0.25">
      <c r="A577" s="1" t="s">
        <v>655</v>
      </c>
      <c r="B577" s="1" t="s">
        <v>620</v>
      </c>
      <c r="C577" s="1" t="s">
        <v>52</v>
      </c>
      <c r="D577" s="1" t="s">
        <v>33</v>
      </c>
      <c r="E577" s="1" t="s">
        <v>31</v>
      </c>
      <c r="F577" s="1">
        <v>2547</v>
      </c>
      <c r="G577" s="14">
        <v>22</v>
      </c>
      <c r="H577" s="1">
        <v>0.15</v>
      </c>
      <c r="I577" s="14">
        <v>47628.9</v>
      </c>
      <c r="J577" s="14">
        <v>27507.599999999999</v>
      </c>
      <c r="K577" s="15">
        <f>Table5[[#This Row],[Selling Price]]*Table5[[#This Row],[Units Sold]]</f>
        <v>56034</v>
      </c>
      <c r="L577" t="str">
        <f t="shared" si="8"/>
        <v>2024-01</v>
      </c>
      <c r="M577" t="str">
        <f>VLOOKUP(Table5[[#This Row],[Store ID]],Table4[[Store ID]:[Store Location]],2)</f>
        <v>Glasgow</v>
      </c>
      <c r="N577" t="str">
        <f>VLOOKUP(Table5[[#This Row],[Store ID]],Table4[[Store ID]:[Region]],3)</f>
        <v>Scotland</v>
      </c>
      <c r="O577" t="str">
        <f>VLOOKUP(Table5[[#This Row],[Product ID]],'Product Master'!$A$2:$D$10,4)</f>
        <v>Supplier F</v>
      </c>
      <c r="P577" s="15">
        <f>Table5[[#This Row],[Total Revenue]]-Table5[[#This Row],[Net Sales Revenue]]</f>
        <v>8405.0999999999985</v>
      </c>
      <c r="Q577" s="15">
        <f>Table5[[#This Row],[Net Sales Revenue]]/Table5[[#This Row],[Units Sold]]</f>
        <v>18.7</v>
      </c>
      <c r="R577">
        <f>VLOOKUP(Table5[[#This Row],[Product ID]],'Product Master'!$A$1:$E$10,5,FALSE)</f>
        <v>10</v>
      </c>
      <c r="S577" s="15">
        <f>Table5[[#This Row],[standard product cost per unit]]*Table5[[#This Row],[Units Sold]]</f>
        <v>25470</v>
      </c>
      <c r="T577" s="15">
        <f>Table5[[#This Row],[Cost of Sales]]-Table5[[#This Row],[Standard cost]]</f>
        <v>2037.5999999999985</v>
      </c>
      <c r="U577" s="15">
        <f>Table5[[#This Row],[Net Sales Revenue]]-Table5[[#This Row],[Cost of Sales]]</f>
        <v>20121.300000000003</v>
      </c>
      <c r="V577" s="17">
        <f>Table5[[#This Row],[GrossProfit]]/Table5[[#This Row],[Net Sales Revenue]]</f>
        <v>0.42245989304812837</v>
      </c>
    </row>
    <row r="578" spans="1:22" ht="14.25" customHeight="1" x14ac:dyDescent="0.25">
      <c r="A578" s="1" t="s">
        <v>656</v>
      </c>
      <c r="B578" s="1" t="s">
        <v>620</v>
      </c>
      <c r="C578" s="1" t="s">
        <v>56</v>
      </c>
      <c r="D578" s="1" t="s">
        <v>6</v>
      </c>
      <c r="E578" s="1" t="s">
        <v>8</v>
      </c>
      <c r="F578" s="1">
        <v>1663</v>
      </c>
      <c r="G578" s="14">
        <v>24</v>
      </c>
      <c r="H578" s="1">
        <v>0.16</v>
      </c>
      <c r="I578" s="14">
        <v>33526.080000000002</v>
      </c>
      <c r="J578" s="14">
        <v>21552.48</v>
      </c>
      <c r="K578" s="15">
        <f>Table5[[#This Row],[Selling Price]]*Table5[[#This Row],[Units Sold]]</f>
        <v>39912</v>
      </c>
      <c r="L578" t="str">
        <f t="shared" ref="L578:L641" si="9">TEXT(B578,"yyyy-mm")</f>
        <v>2024-01</v>
      </c>
      <c r="M578" t="str">
        <f>VLOOKUP(Table5[[#This Row],[Store ID]],Table4[[Store ID]:[Store Location]],2)</f>
        <v>Leeds</v>
      </c>
      <c r="N578" t="str">
        <f>VLOOKUP(Table5[[#This Row],[Store ID]],Table4[[Store ID]:[Region]],3)</f>
        <v>North</v>
      </c>
      <c r="O578" t="str">
        <f>VLOOKUP(Table5[[#This Row],[Product ID]],'Product Master'!$A$2:$D$10,4)</f>
        <v>Supplier A</v>
      </c>
      <c r="P578" s="15">
        <f>Table5[[#This Row],[Total Revenue]]-Table5[[#This Row],[Net Sales Revenue]]</f>
        <v>6385.9199999999983</v>
      </c>
      <c r="Q578" s="15">
        <f>Table5[[#This Row],[Net Sales Revenue]]/Table5[[#This Row],[Units Sold]]</f>
        <v>20.16</v>
      </c>
      <c r="R578">
        <f>VLOOKUP(Table5[[#This Row],[Product ID]],'Product Master'!$A$1:$E$10,5,FALSE)</f>
        <v>12</v>
      </c>
      <c r="S578" s="15">
        <f>Table5[[#This Row],[standard product cost per unit]]*Table5[[#This Row],[Units Sold]]</f>
        <v>19956</v>
      </c>
      <c r="T578" s="15">
        <f>Table5[[#This Row],[Cost of Sales]]-Table5[[#This Row],[Standard cost]]</f>
        <v>1596.4799999999996</v>
      </c>
      <c r="U578" s="15">
        <f>Table5[[#This Row],[Net Sales Revenue]]-Table5[[#This Row],[Cost of Sales]]</f>
        <v>11973.600000000002</v>
      </c>
      <c r="V578" s="17">
        <f>Table5[[#This Row],[GrossProfit]]/Table5[[#This Row],[Net Sales Revenue]]</f>
        <v>0.35714285714285721</v>
      </c>
    </row>
    <row r="579" spans="1:22" ht="14.25" customHeight="1" x14ac:dyDescent="0.25">
      <c r="A579" s="1" t="s">
        <v>657</v>
      </c>
      <c r="B579" s="1" t="s">
        <v>620</v>
      </c>
      <c r="C579" s="1" t="s">
        <v>56</v>
      </c>
      <c r="D579" s="1" t="s">
        <v>10</v>
      </c>
      <c r="E579" s="1" t="s">
        <v>8</v>
      </c>
      <c r="F579" s="1">
        <v>2116</v>
      </c>
      <c r="G579" s="14">
        <v>50</v>
      </c>
      <c r="H579" s="1">
        <v>0.14000000000000001</v>
      </c>
      <c r="I579" s="14">
        <v>90988</v>
      </c>
      <c r="J579" s="14">
        <v>63987.839999999997</v>
      </c>
      <c r="K579" s="15">
        <f>Table5[[#This Row],[Selling Price]]*Table5[[#This Row],[Units Sold]]</f>
        <v>105800</v>
      </c>
      <c r="L579" t="str">
        <f t="shared" si="9"/>
        <v>2024-01</v>
      </c>
      <c r="M579" t="str">
        <f>VLOOKUP(Table5[[#This Row],[Store ID]],Table4[[Store ID]:[Store Location]],2)</f>
        <v>Leeds</v>
      </c>
      <c r="N579" t="str">
        <f>VLOOKUP(Table5[[#This Row],[Store ID]],Table4[[Store ID]:[Region]],3)</f>
        <v>North</v>
      </c>
      <c r="O579" t="str">
        <f>VLOOKUP(Table5[[#This Row],[Product ID]],'Product Master'!$A$2:$D$10,4)</f>
        <v>Supplier B</v>
      </c>
      <c r="P579" s="15">
        <f>Table5[[#This Row],[Total Revenue]]-Table5[[#This Row],[Net Sales Revenue]]</f>
        <v>14812</v>
      </c>
      <c r="Q579" s="15">
        <f>Table5[[#This Row],[Net Sales Revenue]]/Table5[[#This Row],[Units Sold]]</f>
        <v>43</v>
      </c>
      <c r="R579">
        <f>VLOOKUP(Table5[[#This Row],[Product ID]],'Product Master'!$A$1:$E$10,5,FALSE)</f>
        <v>28</v>
      </c>
      <c r="S579" s="15">
        <f>Table5[[#This Row],[standard product cost per unit]]*Table5[[#This Row],[Units Sold]]</f>
        <v>59248</v>
      </c>
      <c r="T579" s="15">
        <f>Table5[[#This Row],[Cost of Sales]]-Table5[[#This Row],[Standard cost]]</f>
        <v>4739.8399999999965</v>
      </c>
      <c r="U579" s="15">
        <f>Table5[[#This Row],[Net Sales Revenue]]-Table5[[#This Row],[Cost of Sales]]</f>
        <v>27000.160000000003</v>
      </c>
      <c r="V579" s="17">
        <f>Table5[[#This Row],[GrossProfit]]/Table5[[#This Row],[Net Sales Revenue]]</f>
        <v>0.29674418604651165</v>
      </c>
    </row>
    <row r="580" spans="1:22" ht="14.25" customHeight="1" x14ac:dyDescent="0.25">
      <c r="A580" s="1" t="s">
        <v>658</v>
      </c>
      <c r="B580" s="1" t="s">
        <v>620</v>
      </c>
      <c r="C580" s="1" t="s">
        <v>56</v>
      </c>
      <c r="D580" s="1" t="s">
        <v>13</v>
      </c>
      <c r="E580" s="1" t="s">
        <v>15</v>
      </c>
      <c r="F580" s="1">
        <v>2446</v>
      </c>
      <c r="G580" s="14">
        <v>28</v>
      </c>
      <c r="H580" s="1">
        <v>0.17</v>
      </c>
      <c r="I580" s="14">
        <v>56845.04</v>
      </c>
      <c r="J580" s="14">
        <v>39625.199999999997</v>
      </c>
      <c r="K580" s="15">
        <f>Table5[[#This Row],[Selling Price]]*Table5[[#This Row],[Units Sold]]</f>
        <v>68488</v>
      </c>
      <c r="L580" t="str">
        <f t="shared" si="9"/>
        <v>2024-01</v>
      </c>
      <c r="M580" t="str">
        <f>VLOOKUP(Table5[[#This Row],[Store ID]],Table4[[Store ID]:[Store Location]],2)</f>
        <v>Leeds</v>
      </c>
      <c r="N580" t="str">
        <f>VLOOKUP(Table5[[#This Row],[Store ID]],Table4[[Store ID]:[Region]],3)</f>
        <v>North</v>
      </c>
      <c r="O580" t="str">
        <f>VLOOKUP(Table5[[#This Row],[Product ID]],'Product Master'!$A$2:$D$10,4)</f>
        <v>Supplier C</v>
      </c>
      <c r="P580" s="15">
        <f>Table5[[#This Row],[Total Revenue]]-Table5[[#This Row],[Net Sales Revenue]]</f>
        <v>11642.96</v>
      </c>
      <c r="Q580" s="15">
        <f>Table5[[#This Row],[Net Sales Revenue]]/Table5[[#This Row],[Units Sold]]</f>
        <v>23.240000000000002</v>
      </c>
      <c r="R580">
        <f>VLOOKUP(Table5[[#This Row],[Product ID]],'Product Master'!$A$1:$E$10,5,FALSE)</f>
        <v>15</v>
      </c>
      <c r="S580" s="15">
        <f>Table5[[#This Row],[standard product cost per unit]]*Table5[[#This Row],[Units Sold]]</f>
        <v>36690</v>
      </c>
      <c r="T580" s="15">
        <f>Table5[[#This Row],[Cost of Sales]]-Table5[[#This Row],[Standard cost]]</f>
        <v>2935.1999999999971</v>
      </c>
      <c r="U580" s="15">
        <f>Table5[[#This Row],[Net Sales Revenue]]-Table5[[#This Row],[Cost of Sales]]</f>
        <v>17219.840000000004</v>
      </c>
      <c r="V580" s="17">
        <f>Table5[[#This Row],[GrossProfit]]/Table5[[#This Row],[Net Sales Revenue]]</f>
        <v>0.30292598967297768</v>
      </c>
    </row>
    <row r="581" spans="1:22" ht="14.25" customHeight="1" x14ac:dyDescent="0.25">
      <c r="A581" s="1" t="s">
        <v>659</v>
      </c>
      <c r="B581" s="1" t="s">
        <v>620</v>
      </c>
      <c r="C581" s="1" t="s">
        <v>56</v>
      </c>
      <c r="D581" s="1" t="s">
        <v>17</v>
      </c>
      <c r="E581" s="1" t="s">
        <v>15</v>
      </c>
      <c r="F581" s="1">
        <v>2279</v>
      </c>
      <c r="G581" s="14">
        <v>35</v>
      </c>
      <c r="H581" s="1">
        <v>0.14000000000000001</v>
      </c>
      <c r="I581" s="14">
        <v>68597.899999999994</v>
      </c>
      <c r="J581" s="14">
        <v>44303.76</v>
      </c>
      <c r="K581" s="15">
        <f>Table5[[#This Row],[Selling Price]]*Table5[[#This Row],[Units Sold]]</f>
        <v>79765</v>
      </c>
      <c r="L581" t="str">
        <f t="shared" si="9"/>
        <v>2024-01</v>
      </c>
      <c r="M581" t="str">
        <f>VLOOKUP(Table5[[#This Row],[Store ID]],Table4[[Store ID]:[Store Location]],2)</f>
        <v>Leeds</v>
      </c>
      <c r="N581" t="str">
        <f>VLOOKUP(Table5[[#This Row],[Store ID]],Table4[[Store ID]:[Region]],3)</f>
        <v>North</v>
      </c>
      <c r="O581" t="str">
        <f>VLOOKUP(Table5[[#This Row],[Product ID]],'Product Master'!$A$2:$D$10,4)</f>
        <v>Supplier C</v>
      </c>
      <c r="P581" s="15">
        <f>Table5[[#This Row],[Total Revenue]]-Table5[[#This Row],[Net Sales Revenue]]</f>
        <v>11167.100000000006</v>
      </c>
      <c r="Q581" s="15">
        <f>Table5[[#This Row],[Net Sales Revenue]]/Table5[[#This Row],[Units Sold]]</f>
        <v>30.099999999999998</v>
      </c>
      <c r="R581">
        <f>VLOOKUP(Table5[[#This Row],[Product ID]],'Product Master'!$A$1:$E$10,5,FALSE)</f>
        <v>18</v>
      </c>
      <c r="S581" s="15">
        <f>Table5[[#This Row],[standard product cost per unit]]*Table5[[#This Row],[Units Sold]]</f>
        <v>41022</v>
      </c>
      <c r="T581" s="15">
        <f>Table5[[#This Row],[Cost of Sales]]-Table5[[#This Row],[Standard cost]]</f>
        <v>3281.760000000002</v>
      </c>
      <c r="U581" s="15">
        <f>Table5[[#This Row],[Net Sales Revenue]]-Table5[[#This Row],[Cost of Sales]]</f>
        <v>24294.139999999992</v>
      </c>
      <c r="V581" s="17">
        <f>Table5[[#This Row],[GrossProfit]]/Table5[[#This Row],[Net Sales Revenue]]</f>
        <v>0.3541528239202657</v>
      </c>
    </row>
    <row r="582" spans="1:22" ht="14.25" customHeight="1" x14ac:dyDescent="0.25">
      <c r="A582" s="1" t="s">
        <v>660</v>
      </c>
      <c r="B582" s="1" t="s">
        <v>620</v>
      </c>
      <c r="C582" s="1" t="s">
        <v>56</v>
      </c>
      <c r="D582" s="1" t="s">
        <v>19</v>
      </c>
      <c r="E582" s="1" t="s">
        <v>21</v>
      </c>
      <c r="F582" s="1">
        <v>2956</v>
      </c>
      <c r="G582" s="14">
        <v>18</v>
      </c>
      <c r="H582" s="1">
        <v>0.13</v>
      </c>
      <c r="I582" s="14">
        <v>46290.96</v>
      </c>
      <c r="J582" s="14">
        <v>28732.32</v>
      </c>
      <c r="K582" s="15">
        <f>Table5[[#This Row],[Selling Price]]*Table5[[#This Row],[Units Sold]]</f>
        <v>53208</v>
      </c>
      <c r="L582" t="str">
        <f t="shared" si="9"/>
        <v>2024-01</v>
      </c>
      <c r="M582" t="str">
        <f>VLOOKUP(Table5[[#This Row],[Store ID]],Table4[[Store ID]:[Store Location]],2)</f>
        <v>Leeds</v>
      </c>
      <c r="N582" t="str">
        <f>VLOOKUP(Table5[[#This Row],[Store ID]],Table4[[Store ID]:[Region]],3)</f>
        <v>North</v>
      </c>
      <c r="O582" t="str">
        <f>VLOOKUP(Table5[[#This Row],[Product ID]],'Product Master'!$A$2:$D$10,4)</f>
        <v>Supplier D</v>
      </c>
      <c r="P582" s="15">
        <f>Table5[[#This Row],[Total Revenue]]-Table5[[#This Row],[Net Sales Revenue]]</f>
        <v>6917.0400000000009</v>
      </c>
      <c r="Q582" s="15">
        <f>Table5[[#This Row],[Net Sales Revenue]]/Table5[[#This Row],[Units Sold]]</f>
        <v>15.66</v>
      </c>
      <c r="R582">
        <f>VLOOKUP(Table5[[#This Row],[Product ID]],'Product Master'!$A$1:$E$10,5,FALSE)</f>
        <v>9</v>
      </c>
      <c r="S582" s="15">
        <f>Table5[[#This Row],[standard product cost per unit]]*Table5[[#This Row],[Units Sold]]</f>
        <v>26604</v>
      </c>
      <c r="T582" s="15">
        <f>Table5[[#This Row],[Cost of Sales]]-Table5[[#This Row],[Standard cost]]</f>
        <v>2128.3199999999997</v>
      </c>
      <c r="U582" s="15">
        <f>Table5[[#This Row],[Net Sales Revenue]]-Table5[[#This Row],[Cost of Sales]]</f>
        <v>17558.64</v>
      </c>
      <c r="V582" s="17">
        <f>Table5[[#This Row],[GrossProfit]]/Table5[[#This Row],[Net Sales Revenue]]</f>
        <v>0.37931034482758619</v>
      </c>
    </row>
    <row r="583" spans="1:22" ht="14.25" customHeight="1" x14ac:dyDescent="0.25">
      <c r="A583" s="1" t="s">
        <v>661</v>
      </c>
      <c r="B583" s="1" t="s">
        <v>620</v>
      </c>
      <c r="C583" s="1" t="s">
        <v>56</v>
      </c>
      <c r="D583" s="1" t="s">
        <v>23</v>
      </c>
      <c r="E583" s="1" t="s">
        <v>21</v>
      </c>
      <c r="F583" s="1">
        <v>1821</v>
      </c>
      <c r="G583" s="14">
        <v>30</v>
      </c>
      <c r="H583" s="1">
        <v>0.15</v>
      </c>
      <c r="I583" s="14">
        <v>46435.5</v>
      </c>
      <c r="J583" s="14">
        <v>27533.52</v>
      </c>
      <c r="K583" s="15">
        <f>Table5[[#This Row],[Selling Price]]*Table5[[#This Row],[Units Sold]]</f>
        <v>54630</v>
      </c>
      <c r="L583" t="str">
        <f t="shared" si="9"/>
        <v>2024-01</v>
      </c>
      <c r="M583" t="str">
        <f>VLOOKUP(Table5[[#This Row],[Store ID]],Table4[[Store ID]:[Store Location]],2)</f>
        <v>Leeds</v>
      </c>
      <c r="N583" t="str">
        <f>VLOOKUP(Table5[[#This Row],[Store ID]],Table4[[Store ID]:[Region]],3)</f>
        <v>North</v>
      </c>
      <c r="O583" t="str">
        <f>VLOOKUP(Table5[[#This Row],[Product ID]],'Product Master'!$A$2:$D$10,4)</f>
        <v>Supplier D</v>
      </c>
      <c r="P583" s="15">
        <f>Table5[[#This Row],[Total Revenue]]-Table5[[#This Row],[Net Sales Revenue]]</f>
        <v>8194.5</v>
      </c>
      <c r="Q583" s="15">
        <f>Table5[[#This Row],[Net Sales Revenue]]/Table5[[#This Row],[Units Sold]]</f>
        <v>25.5</v>
      </c>
      <c r="R583">
        <f>VLOOKUP(Table5[[#This Row],[Product ID]],'Product Master'!$A$1:$E$10,5,FALSE)</f>
        <v>14</v>
      </c>
      <c r="S583" s="15">
        <f>Table5[[#This Row],[standard product cost per unit]]*Table5[[#This Row],[Units Sold]]</f>
        <v>25494</v>
      </c>
      <c r="T583" s="15">
        <f>Table5[[#This Row],[Cost of Sales]]-Table5[[#This Row],[Standard cost]]</f>
        <v>2039.5200000000004</v>
      </c>
      <c r="U583" s="15">
        <f>Table5[[#This Row],[Net Sales Revenue]]-Table5[[#This Row],[Cost of Sales]]</f>
        <v>18901.98</v>
      </c>
      <c r="V583" s="17">
        <f>Table5[[#This Row],[GrossProfit]]/Table5[[#This Row],[Net Sales Revenue]]</f>
        <v>0.40705882352941175</v>
      </c>
    </row>
    <row r="584" spans="1:22" ht="14.25" customHeight="1" x14ac:dyDescent="0.25">
      <c r="A584" s="1" t="s">
        <v>662</v>
      </c>
      <c r="B584" s="1" t="s">
        <v>620</v>
      </c>
      <c r="C584" s="1" t="s">
        <v>56</v>
      </c>
      <c r="D584" s="1" t="s">
        <v>25</v>
      </c>
      <c r="E584" s="1" t="s">
        <v>27</v>
      </c>
      <c r="F584" s="1">
        <v>2389</v>
      </c>
      <c r="G584" s="14">
        <v>40</v>
      </c>
      <c r="H584" s="1">
        <v>0.16</v>
      </c>
      <c r="I584" s="14">
        <v>80270.399999999994</v>
      </c>
      <c r="J584" s="14">
        <v>51602.400000000001</v>
      </c>
      <c r="K584" s="15">
        <f>Table5[[#This Row],[Selling Price]]*Table5[[#This Row],[Units Sold]]</f>
        <v>95560</v>
      </c>
      <c r="L584" t="str">
        <f t="shared" si="9"/>
        <v>2024-01</v>
      </c>
      <c r="M584" t="str">
        <f>VLOOKUP(Table5[[#This Row],[Store ID]],Table4[[Store ID]:[Store Location]],2)</f>
        <v>Leeds</v>
      </c>
      <c r="N584" t="str">
        <f>VLOOKUP(Table5[[#This Row],[Store ID]],Table4[[Store ID]:[Region]],3)</f>
        <v>North</v>
      </c>
      <c r="O584" t="str">
        <f>VLOOKUP(Table5[[#This Row],[Product ID]],'Product Master'!$A$2:$D$10,4)</f>
        <v>Supplier E</v>
      </c>
      <c r="P584" s="15">
        <f>Table5[[#This Row],[Total Revenue]]-Table5[[#This Row],[Net Sales Revenue]]</f>
        <v>15289.600000000006</v>
      </c>
      <c r="Q584" s="15">
        <f>Table5[[#This Row],[Net Sales Revenue]]/Table5[[#This Row],[Units Sold]]</f>
        <v>33.599999999999994</v>
      </c>
      <c r="R584">
        <f>VLOOKUP(Table5[[#This Row],[Product ID]],'Product Master'!$A$1:$E$10,5,FALSE)</f>
        <v>20</v>
      </c>
      <c r="S584" s="15">
        <f>Table5[[#This Row],[standard product cost per unit]]*Table5[[#This Row],[Units Sold]]</f>
        <v>47780</v>
      </c>
      <c r="T584" s="15">
        <f>Table5[[#This Row],[Cost of Sales]]-Table5[[#This Row],[Standard cost]]</f>
        <v>3822.4000000000015</v>
      </c>
      <c r="U584" s="15">
        <f>Table5[[#This Row],[Net Sales Revenue]]-Table5[[#This Row],[Cost of Sales]]</f>
        <v>28667.999999999993</v>
      </c>
      <c r="V584" s="17">
        <f>Table5[[#This Row],[GrossProfit]]/Table5[[#This Row],[Net Sales Revenue]]</f>
        <v>0.3571428571428571</v>
      </c>
    </row>
    <row r="585" spans="1:22" ht="14.25" customHeight="1" x14ac:dyDescent="0.25">
      <c r="A585" s="1" t="s">
        <v>663</v>
      </c>
      <c r="B585" s="1" t="s">
        <v>620</v>
      </c>
      <c r="C585" s="1" t="s">
        <v>56</v>
      </c>
      <c r="D585" s="1" t="s">
        <v>29</v>
      </c>
      <c r="E585" s="1" t="s">
        <v>31</v>
      </c>
      <c r="F585" s="1">
        <v>1553</v>
      </c>
      <c r="G585" s="14">
        <v>10</v>
      </c>
      <c r="H585" s="1">
        <v>0.13</v>
      </c>
      <c r="I585" s="14">
        <v>13511.1</v>
      </c>
      <c r="J585" s="14">
        <v>6708.96</v>
      </c>
      <c r="K585" s="15">
        <f>Table5[[#This Row],[Selling Price]]*Table5[[#This Row],[Units Sold]]</f>
        <v>15530</v>
      </c>
      <c r="L585" t="str">
        <f t="shared" si="9"/>
        <v>2024-01</v>
      </c>
      <c r="M585" t="str">
        <f>VLOOKUP(Table5[[#This Row],[Store ID]],Table4[[Store ID]:[Store Location]],2)</f>
        <v>Leeds</v>
      </c>
      <c r="N585" t="str">
        <f>VLOOKUP(Table5[[#This Row],[Store ID]],Table4[[Store ID]:[Region]],3)</f>
        <v>North</v>
      </c>
      <c r="O585" t="str">
        <f>VLOOKUP(Table5[[#This Row],[Product ID]],'Product Master'!$A$2:$D$10,4)</f>
        <v>Supplier F</v>
      </c>
      <c r="P585" s="15">
        <f>Table5[[#This Row],[Total Revenue]]-Table5[[#This Row],[Net Sales Revenue]]</f>
        <v>2018.8999999999996</v>
      </c>
      <c r="Q585" s="15">
        <f>Table5[[#This Row],[Net Sales Revenue]]/Table5[[#This Row],[Units Sold]]</f>
        <v>8.7000000000000011</v>
      </c>
      <c r="R585">
        <f>VLOOKUP(Table5[[#This Row],[Product ID]],'Product Master'!$A$1:$E$10,5,FALSE)</f>
        <v>4</v>
      </c>
      <c r="S585" s="15">
        <f>Table5[[#This Row],[standard product cost per unit]]*Table5[[#This Row],[Units Sold]]</f>
        <v>6212</v>
      </c>
      <c r="T585" s="15">
        <f>Table5[[#This Row],[Cost of Sales]]-Table5[[#This Row],[Standard cost]]</f>
        <v>496.96000000000004</v>
      </c>
      <c r="U585" s="15">
        <f>Table5[[#This Row],[Net Sales Revenue]]-Table5[[#This Row],[Cost of Sales]]</f>
        <v>6802.14</v>
      </c>
      <c r="V585" s="17">
        <f>Table5[[#This Row],[GrossProfit]]/Table5[[#This Row],[Net Sales Revenue]]</f>
        <v>0.50344827586206897</v>
      </c>
    </row>
    <row r="586" spans="1:22" ht="14.25" customHeight="1" x14ac:dyDescent="0.25">
      <c r="A586" s="1" t="s">
        <v>664</v>
      </c>
      <c r="B586" s="1" t="s">
        <v>620</v>
      </c>
      <c r="C586" s="1" t="s">
        <v>56</v>
      </c>
      <c r="D586" s="1" t="s">
        <v>33</v>
      </c>
      <c r="E586" s="1" t="s">
        <v>31</v>
      </c>
      <c r="F586" s="1">
        <v>1500</v>
      </c>
      <c r="G586" s="14">
        <v>22</v>
      </c>
      <c r="H586" s="1">
        <v>0.15</v>
      </c>
      <c r="I586" s="14">
        <v>28050</v>
      </c>
      <c r="J586" s="14">
        <v>16200</v>
      </c>
      <c r="K586" s="15">
        <f>Table5[[#This Row],[Selling Price]]*Table5[[#This Row],[Units Sold]]</f>
        <v>33000</v>
      </c>
      <c r="L586" t="str">
        <f t="shared" si="9"/>
        <v>2024-01</v>
      </c>
      <c r="M586" t="str">
        <f>VLOOKUP(Table5[[#This Row],[Store ID]],Table4[[Store ID]:[Store Location]],2)</f>
        <v>Leeds</v>
      </c>
      <c r="N586" t="str">
        <f>VLOOKUP(Table5[[#This Row],[Store ID]],Table4[[Store ID]:[Region]],3)</f>
        <v>North</v>
      </c>
      <c r="O586" t="str">
        <f>VLOOKUP(Table5[[#This Row],[Product ID]],'Product Master'!$A$2:$D$10,4)</f>
        <v>Supplier F</v>
      </c>
      <c r="P586" s="15">
        <f>Table5[[#This Row],[Total Revenue]]-Table5[[#This Row],[Net Sales Revenue]]</f>
        <v>4950</v>
      </c>
      <c r="Q586" s="15">
        <f>Table5[[#This Row],[Net Sales Revenue]]/Table5[[#This Row],[Units Sold]]</f>
        <v>18.7</v>
      </c>
      <c r="R586">
        <f>VLOOKUP(Table5[[#This Row],[Product ID]],'Product Master'!$A$1:$E$10,5,FALSE)</f>
        <v>10</v>
      </c>
      <c r="S586" s="15">
        <f>Table5[[#This Row],[standard product cost per unit]]*Table5[[#This Row],[Units Sold]]</f>
        <v>15000</v>
      </c>
      <c r="T586" s="15">
        <f>Table5[[#This Row],[Cost of Sales]]-Table5[[#This Row],[Standard cost]]</f>
        <v>1200</v>
      </c>
      <c r="U586" s="15">
        <f>Table5[[#This Row],[Net Sales Revenue]]-Table5[[#This Row],[Cost of Sales]]</f>
        <v>11850</v>
      </c>
      <c r="V586" s="17">
        <f>Table5[[#This Row],[GrossProfit]]/Table5[[#This Row],[Net Sales Revenue]]</f>
        <v>0.42245989304812837</v>
      </c>
    </row>
    <row r="587" spans="1:22" ht="14.25" customHeight="1" x14ac:dyDescent="0.25">
      <c r="A587" s="1" t="s">
        <v>665</v>
      </c>
      <c r="B587" s="1" t="s">
        <v>666</v>
      </c>
      <c r="C587" s="1" t="s">
        <v>40</v>
      </c>
      <c r="D587" s="1" t="s">
        <v>6</v>
      </c>
      <c r="E587" s="1" t="s">
        <v>8</v>
      </c>
      <c r="F587" s="1">
        <v>1896</v>
      </c>
      <c r="G587" s="14">
        <v>24</v>
      </c>
      <c r="H587" s="1">
        <v>0.16</v>
      </c>
      <c r="I587" s="14">
        <v>38223.360000000001</v>
      </c>
      <c r="J587" s="14">
        <v>24572.16</v>
      </c>
      <c r="K587" s="15">
        <f>Table5[[#This Row],[Selling Price]]*Table5[[#This Row],[Units Sold]]</f>
        <v>45504</v>
      </c>
      <c r="L587" t="str">
        <f t="shared" si="9"/>
        <v>2024-02</v>
      </c>
      <c r="M587" t="str">
        <f>VLOOKUP(Table5[[#This Row],[Store ID]],Table4[[Store ID]:[Store Location]],2)</f>
        <v>Manchester</v>
      </c>
      <c r="N587" t="str">
        <f>VLOOKUP(Table5[[#This Row],[Store ID]],Table4[[Store ID]:[Region]],3)</f>
        <v>North</v>
      </c>
      <c r="O587" t="str">
        <f>VLOOKUP(Table5[[#This Row],[Product ID]],'Product Master'!$A$2:$D$10,4)</f>
        <v>Supplier A</v>
      </c>
      <c r="P587" s="15">
        <f>Table5[[#This Row],[Total Revenue]]-Table5[[#This Row],[Net Sales Revenue]]</f>
        <v>7280.6399999999994</v>
      </c>
      <c r="Q587" s="15">
        <f>Table5[[#This Row],[Net Sales Revenue]]/Table5[[#This Row],[Units Sold]]</f>
        <v>20.16</v>
      </c>
      <c r="R587">
        <f>VLOOKUP(Table5[[#This Row],[Product ID]],'Product Master'!$A$1:$E$10,5,FALSE)</f>
        <v>12</v>
      </c>
      <c r="S587" s="15">
        <f>Table5[[#This Row],[standard product cost per unit]]*Table5[[#This Row],[Units Sold]]</f>
        <v>22752</v>
      </c>
      <c r="T587" s="15">
        <f>Table5[[#This Row],[Cost of Sales]]-Table5[[#This Row],[Standard cost]]</f>
        <v>1820.1599999999999</v>
      </c>
      <c r="U587" s="15">
        <f>Table5[[#This Row],[Net Sales Revenue]]-Table5[[#This Row],[Cost of Sales]]</f>
        <v>13651.2</v>
      </c>
      <c r="V587" s="17">
        <f>Table5[[#This Row],[GrossProfit]]/Table5[[#This Row],[Net Sales Revenue]]</f>
        <v>0.35714285714285715</v>
      </c>
    </row>
    <row r="588" spans="1:22" ht="14.25" customHeight="1" x14ac:dyDescent="0.25">
      <c r="A588" s="1" t="s">
        <v>667</v>
      </c>
      <c r="B588" s="1" t="s">
        <v>666</v>
      </c>
      <c r="C588" s="1" t="s">
        <v>40</v>
      </c>
      <c r="D588" s="1" t="s">
        <v>10</v>
      </c>
      <c r="E588" s="1" t="s">
        <v>8</v>
      </c>
      <c r="F588" s="1">
        <v>2846</v>
      </c>
      <c r="G588" s="14">
        <v>50</v>
      </c>
      <c r="H588" s="1">
        <v>0.16</v>
      </c>
      <c r="I588" s="14">
        <v>119532</v>
      </c>
      <c r="J588" s="14">
        <v>86063.039999999994</v>
      </c>
      <c r="K588" s="15">
        <f>Table5[[#This Row],[Selling Price]]*Table5[[#This Row],[Units Sold]]</f>
        <v>142300</v>
      </c>
      <c r="L588" t="str">
        <f t="shared" si="9"/>
        <v>2024-02</v>
      </c>
      <c r="M588" t="str">
        <f>VLOOKUP(Table5[[#This Row],[Store ID]],Table4[[Store ID]:[Store Location]],2)</f>
        <v>Manchester</v>
      </c>
      <c r="N588" t="str">
        <f>VLOOKUP(Table5[[#This Row],[Store ID]],Table4[[Store ID]:[Region]],3)</f>
        <v>North</v>
      </c>
      <c r="O588" t="str">
        <f>VLOOKUP(Table5[[#This Row],[Product ID]],'Product Master'!$A$2:$D$10,4)</f>
        <v>Supplier B</v>
      </c>
      <c r="P588" s="15">
        <f>Table5[[#This Row],[Total Revenue]]-Table5[[#This Row],[Net Sales Revenue]]</f>
        <v>22768</v>
      </c>
      <c r="Q588" s="15">
        <f>Table5[[#This Row],[Net Sales Revenue]]/Table5[[#This Row],[Units Sold]]</f>
        <v>42</v>
      </c>
      <c r="R588">
        <f>VLOOKUP(Table5[[#This Row],[Product ID]],'Product Master'!$A$1:$E$10,5,FALSE)</f>
        <v>28</v>
      </c>
      <c r="S588" s="15">
        <f>Table5[[#This Row],[standard product cost per unit]]*Table5[[#This Row],[Units Sold]]</f>
        <v>79688</v>
      </c>
      <c r="T588" s="15">
        <f>Table5[[#This Row],[Cost of Sales]]-Table5[[#This Row],[Standard cost]]</f>
        <v>6375.0399999999936</v>
      </c>
      <c r="U588" s="15">
        <f>Table5[[#This Row],[Net Sales Revenue]]-Table5[[#This Row],[Cost of Sales]]</f>
        <v>33468.960000000006</v>
      </c>
      <c r="V588" s="17">
        <f>Table5[[#This Row],[GrossProfit]]/Table5[[#This Row],[Net Sales Revenue]]</f>
        <v>0.28000000000000003</v>
      </c>
    </row>
    <row r="589" spans="1:22" ht="14.25" customHeight="1" x14ac:dyDescent="0.25">
      <c r="A589" s="1" t="s">
        <v>668</v>
      </c>
      <c r="B589" s="1" t="s">
        <v>666</v>
      </c>
      <c r="C589" s="1" t="s">
        <v>40</v>
      </c>
      <c r="D589" s="1" t="s">
        <v>13</v>
      </c>
      <c r="E589" s="1" t="s">
        <v>15</v>
      </c>
      <c r="F589" s="1">
        <v>2081</v>
      </c>
      <c r="G589" s="14">
        <v>28</v>
      </c>
      <c r="H589" s="1">
        <v>0.12</v>
      </c>
      <c r="I589" s="14">
        <v>51275.839999999997</v>
      </c>
      <c r="J589" s="14">
        <v>33712.199999999997</v>
      </c>
      <c r="K589" s="15">
        <f>Table5[[#This Row],[Selling Price]]*Table5[[#This Row],[Units Sold]]</f>
        <v>58268</v>
      </c>
      <c r="L589" t="str">
        <f t="shared" si="9"/>
        <v>2024-02</v>
      </c>
      <c r="M589" t="str">
        <f>VLOOKUP(Table5[[#This Row],[Store ID]],Table4[[Store ID]:[Store Location]],2)</f>
        <v>Manchester</v>
      </c>
      <c r="N589" t="str">
        <f>VLOOKUP(Table5[[#This Row],[Store ID]],Table4[[Store ID]:[Region]],3)</f>
        <v>North</v>
      </c>
      <c r="O589" t="str">
        <f>VLOOKUP(Table5[[#This Row],[Product ID]],'Product Master'!$A$2:$D$10,4)</f>
        <v>Supplier C</v>
      </c>
      <c r="P589" s="15">
        <f>Table5[[#This Row],[Total Revenue]]-Table5[[#This Row],[Net Sales Revenue]]</f>
        <v>6992.1600000000035</v>
      </c>
      <c r="Q589" s="15">
        <f>Table5[[#This Row],[Net Sales Revenue]]/Table5[[#This Row],[Units Sold]]</f>
        <v>24.639999999999997</v>
      </c>
      <c r="R589">
        <f>VLOOKUP(Table5[[#This Row],[Product ID]],'Product Master'!$A$1:$E$10,5,FALSE)</f>
        <v>15</v>
      </c>
      <c r="S589" s="15">
        <f>Table5[[#This Row],[standard product cost per unit]]*Table5[[#This Row],[Units Sold]]</f>
        <v>31215</v>
      </c>
      <c r="T589" s="15">
        <f>Table5[[#This Row],[Cost of Sales]]-Table5[[#This Row],[Standard cost]]</f>
        <v>2497.1999999999971</v>
      </c>
      <c r="U589" s="15">
        <f>Table5[[#This Row],[Net Sales Revenue]]-Table5[[#This Row],[Cost of Sales]]</f>
        <v>17563.64</v>
      </c>
      <c r="V589" s="17">
        <f>Table5[[#This Row],[GrossProfit]]/Table5[[#This Row],[Net Sales Revenue]]</f>
        <v>0.34253246753246752</v>
      </c>
    </row>
    <row r="590" spans="1:22" ht="14.25" customHeight="1" x14ac:dyDescent="0.25">
      <c r="A590" s="1" t="s">
        <v>669</v>
      </c>
      <c r="B590" s="1" t="s">
        <v>666</v>
      </c>
      <c r="C590" s="1" t="s">
        <v>40</v>
      </c>
      <c r="D590" s="1" t="s">
        <v>17</v>
      </c>
      <c r="E590" s="1" t="s">
        <v>15</v>
      </c>
      <c r="F590" s="1">
        <v>1584</v>
      </c>
      <c r="G590" s="14">
        <v>35</v>
      </c>
      <c r="H590" s="1">
        <v>0.13</v>
      </c>
      <c r="I590" s="14">
        <v>48232.800000000003</v>
      </c>
      <c r="J590" s="14">
        <v>30792.959999999999</v>
      </c>
      <c r="K590" s="15">
        <f>Table5[[#This Row],[Selling Price]]*Table5[[#This Row],[Units Sold]]</f>
        <v>55440</v>
      </c>
      <c r="L590" t="str">
        <f t="shared" si="9"/>
        <v>2024-02</v>
      </c>
      <c r="M590" t="str">
        <f>VLOOKUP(Table5[[#This Row],[Store ID]],Table4[[Store ID]:[Store Location]],2)</f>
        <v>Manchester</v>
      </c>
      <c r="N590" t="str">
        <f>VLOOKUP(Table5[[#This Row],[Store ID]],Table4[[Store ID]:[Region]],3)</f>
        <v>North</v>
      </c>
      <c r="O590" t="str">
        <f>VLOOKUP(Table5[[#This Row],[Product ID]],'Product Master'!$A$2:$D$10,4)</f>
        <v>Supplier C</v>
      </c>
      <c r="P590" s="15">
        <f>Table5[[#This Row],[Total Revenue]]-Table5[[#This Row],[Net Sales Revenue]]</f>
        <v>7207.1999999999971</v>
      </c>
      <c r="Q590" s="15">
        <f>Table5[[#This Row],[Net Sales Revenue]]/Table5[[#This Row],[Units Sold]]</f>
        <v>30.450000000000003</v>
      </c>
      <c r="R590">
        <f>VLOOKUP(Table5[[#This Row],[Product ID]],'Product Master'!$A$1:$E$10,5,FALSE)</f>
        <v>18</v>
      </c>
      <c r="S590" s="15">
        <f>Table5[[#This Row],[standard product cost per unit]]*Table5[[#This Row],[Units Sold]]</f>
        <v>28512</v>
      </c>
      <c r="T590" s="15">
        <f>Table5[[#This Row],[Cost of Sales]]-Table5[[#This Row],[Standard cost]]</f>
        <v>2280.9599999999991</v>
      </c>
      <c r="U590" s="15">
        <f>Table5[[#This Row],[Net Sales Revenue]]-Table5[[#This Row],[Cost of Sales]]</f>
        <v>17439.840000000004</v>
      </c>
      <c r="V590" s="17">
        <f>Table5[[#This Row],[GrossProfit]]/Table5[[#This Row],[Net Sales Revenue]]</f>
        <v>0.36157635467980304</v>
      </c>
    </row>
    <row r="591" spans="1:22" ht="14.25" customHeight="1" x14ac:dyDescent="0.25">
      <c r="A591" s="1" t="s">
        <v>670</v>
      </c>
      <c r="B591" s="1" t="s">
        <v>666</v>
      </c>
      <c r="C591" s="1" t="s">
        <v>40</v>
      </c>
      <c r="D591" s="1" t="s">
        <v>19</v>
      </c>
      <c r="E591" s="1" t="s">
        <v>21</v>
      </c>
      <c r="F591" s="1">
        <v>2873</v>
      </c>
      <c r="G591" s="14">
        <v>18</v>
      </c>
      <c r="H591" s="1">
        <v>0.13</v>
      </c>
      <c r="I591" s="14">
        <v>44991.18</v>
      </c>
      <c r="J591" s="14">
        <v>27925.56</v>
      </c>
      <c r="K591" s="15">
        <f>Table5[[#This Row],[Selling Price]]*Table5[[#This Row],[Units Sold]]</f>
        <v>51714</v>
      </c>
      <c r="L591" t="str">
        <f t="shared" si="9"/>
        <v>2024-02</v>
      </c>
      <c r="M591" t="str">
        <f>VLOOKUP(Table5[[#This Row],[Store ID]],Table4[[Store ID]:[Store Location]],2)</f>
        <v>Manchester</v>
      </c>
      <c r="N591" t="str">
        <f>VLOOKUP(Table5[[#This Row],[Store ID]],Table4[[Store ID]:[Region]],3)</f>
        <v>North</v>
      </c>
      <c r="O591" t="str">
        <f>VLOOKUP(Table5[[#This Row],[Product ID]],'Product Master'!$A$2:$D$10,4)</f>
        <v>Supplier D</v>
      </c>
      <c r="P591" s="15">
        <f>Table5[[#This Row],[Total Revenue]]-Table5[[#This Row],[Net Sales Revenue]]</f>
        <v>6722.82</v>
      </c>
      <c r="Q591" s="15">
        <f>Table5[[#This Row],[Net Sales Revenue]]/Table5[[#This Row],[Units Sold]]</f>
        <v>15.66</v>
      </c>
      <c r="R591">
        <f>VLOOKUP(Table5[[#This Row],[Product ID]],'Product Master'!$A$1:$E$10,5,FALSE)</f>
        <v>9</v>
      </c>
      <c r="S591" s="15">
        <f>Table5[[#This Row],[standard product cost per unit]]*Table5[[#This Row],[Units Sold]]</f>
        <v>25857</v>
      </c>
      <c r="T591" s="15">
        <f>Table5[[#This Row],[Cost of Sales]]-Table5[[#This Row],[Standard cost]]</f>
        <v>2068.5600000000013</v>
      </c>
      <c r="U591" s="15">
        <f>Table5[[#This Row],[Net Sales Revenue]]-Table5[[#This Row],[Cost of Sales]]</f>
        <v>17065.62</v>
      </c>
      <c r="V591" s="17">
        <f>Table5[[#This Row],[GrossProfit]]/Table5[[#This Row],[Net Sales Revenue]]</f>
        <v>0.37931034482758619</v>
      </c>
    </row>
    <row r="592" spans="1:22" ht="14.25" customHeight="1" x14ac:dyDescent="0.25">
      <c r="A592" s="1" t="s">
        <v>671</v>
      </c>
      <c r="B592" s="1" t="s">
        <v>666</v>
      </c>
      <c r="C592" s="1" t="s">
        <v>40</v>
      </c>
      <c r="D592" s="1" t="s">
        <v>23</v>
      </c>
      <c r="E592" s="1" t="s">
        <v>21</v>
      </c>
      <c r="F592" s="1">
        <v>2389</v>
      </c>
      <c r="G592" s="14">
        <v>30</v>
      </c>
      <c r="H592" s="1">
        <v>0.16</v>
      </c>
      <c r="I592" s="14">
        <v>60202.8</v>
      </c>
      <c r="J592" s="14">
        <v>36121.68</v>
      </c>
      <c r="K592" s="15">
        <f>Table5[[#This Row],[Selling Price]]*Table5[[#This Row],[Units Sold]]</f>
        <v>71670</v>
      </c>
      <c r="L592" t="str">
        <f t="shared" si="9"/>
        <v>2024-02</v>
      </c>
      <c r="M592" t="str">
        <f>VLOOKUP(Table5[[#This Row],[Store ID]],Table4[[Store ID]:[Store Location]],2)</f>
        <v>Manchester</v>
      </c>
      <c r="N592" t="str">
        <f>VLOOKUP(Table5[[#This Row],[Store ID]],Table4[[Store ID]:[Region]],3)</f>
        <v>North</v>
      </c>
      <c r="O592" t="str">
        <f>VLOOKUP(Table5[[#This Row],[Product ID]],'Product Master'!$A$2:$D$10,4)</f>
        <v>Supplier D</v>
      </c>
      <c r="P592" s="15">
        <f>Table5[[#This Row],[Total Revenue]]-Table5[[#This Row],[Net Sales Revenue]]</f>
        <v>11467.199999999997</v>
      </c>
      <c r="Q592" s="15">
        <f>Table5[[#This Row],[Net Sales Revenue]]/Table5[[#This Row],[Units Sold]]</f>
        <v>25.200000000000003</v>
      </c>
      <c r="R592">
        <f>VLOOKUP(Table5[[#This Row],[Product ID]],'Product Master'!$A$1:$E$10,5,FALSE)</f>
        <v>14</v>
      </c>
      <c r="S592" s="15">
        <f>Table5[[#This Row],[standard product cost per unit]]*Table5[[#This Row],[Units Sold]]</f>
        <v>33446</v>
      </c>
      <c r="T592" s="15">
        <f>Table5[[#This Row],[Cost of Sales]]-Table5[[#This Row],[Standard cost]]</f>
        <v>2675.6800000000003</v>
      </c>
      <c r="U592" s="15">
        <f>Table5[[#This Row],[Net Sales Revenue]]-Table5[[#This Row],[Cost of Sales]]</f>
        <v>24081.120000000003</v>
      </c>
      <c r="V592" s="17">
        <f>Table5[[#This Row],[GrossProfit]]/Table5[[#This Row],[Net Sales Revenue]]</f>
        <v>0.4</v>
      </c>
    </row>
    <row r="593" spans="1:22" ht="14.25" customHeight="1" x14ac:dyDescent="0.25">
      <c r="A593" s="1" t="s">
        <v>672</v>
      </c>
      <c r="B593" s="1" t="s">
        <v>666</v>
      </c>
      <c r="C593" s="1" t="s">
        <v>40</v>
      </c>
      <c r="D593" s="1" t="s">
        <v>25</v>
      </c>
      <c r="E593" s="1" t="s">
        <v>27</v>
      </c>
      <c r="F593" s="1">
        <v>2503</v>
      </c>
      <c r="G593" s="14">
        <v>40</v>
      </c>
      <c r="H593" s="1">
        <v>0.14000000000000001</v>
      </c>
      <c r="I593" s="14">
        <v>86103.2</v>
      </c>
      <c r="J593" s="14">
        <v>54064.800000000003</v>
      </c>
      <c r="K593" s="15">
        <f>Table5[[#This Row],[Selling Price]]*Table5[[#This Row],[Units Sold]]</f>
        <v>100120</v>
      </c>
      <c r="L593" t="str">
        <f t="shared" si="9"/>
        <v>2024-02</v>
      </c>
      <c r="M593" t="str">
        <f>VLOOKUP(Table5[[#This Row],[Store ID]],Table4[[Store ID]:[Store Location]],2)</f>
        <v>Manchester</v>
      </c>
      <c r="N593" t="str">
        <f>VLOOKUP(Table5[[#This Row],[Store ID]],Table4[[Store ID]:[Region]],3)</f>
        <v>North</v>
      </c>
      <c r="O593" t="str">
        <f>VLOOKUP(Table5[[#This Row],[Product ID]],'Product Master'!$A$2:$D$10,4)</f>
        <v>Supplier E</v>
      </c>
      <c r="P593" s="15">
        <f>Table5[[#This Row],[Total Revenue]]-Table5[[#This Row],[Net Sales Revenue]]</f>
        <v>14016.800000000003</v>
      </c>
      <c r="Q593" s="15">
        <f>Table5[[#This Row],[Net Sales Revenue]]/Table5[[#This Row],[Units Sold]]</f>
        <v>34.4</v>
      </c>
      <c r="R593">
        <f>VLOOKUP(Table5[[#This Row],[Product ID]],'Product Master'!$A$1:$E$10,5,FALSE)</f>
        <v>20</v>
      </c>
      <c r="S593" s="15">
        <f>Table5[[#This Row],[standard product cost per unit]]*Table5[[#This Row],[Units Sold]]</f>
        <v>50060</v>
      </c>
      <c r="T593" s="15">
        <f>Table5[[#This Row],[Cost of Sales]]-Table5[[#This Row],[Standard cost]]</f>
        <v>4004.8000000000029</v>
      </c>
      <c r="U593" s="15">
        <f>Table5[[#This Row],[Net Sales Revenue]]-Table5[[#This Row],[Cost of Sales]]</f>
        <v>32038.399999999994</v>
      </c>
      <c r="V593" s="17">
        <f>Table5[[#This Row],[GrossProfit]]/Table5[[#This Row],[Net Sales Revenue]]</f>
        <v>0.37209302325581389</v>
      </c>
    </row>
    <row r="594" spans="1:22" ht="14.25" customHeight="1" x14ac:dyDescent="0.25">
      <c r="A594" s="1" t="s">
        <v>673</v>
      </c>
      <c r="B594" s="1" t="s">
        <v>666</v>
      </c>
      <c r="C594" s="1" t="s">
        <v>40</v>
      </c>
      <c r="D594" s="1" t="s">
        <v>29</v>
      </c>
      <c r="E594" s="1" t="s">
        <v>31</v>
      </c>
      <c r="F594" s="1">
        <v>2565</v>
      </c>
      <c r="G594" s="14">
        <v>10</v>
      </c>
      <c r="H594" s="1">
        <v>0.14000000000000001</v>
      </c>
      <c r="I594" s="14">
        <v>22059</v>
      </c>
      <c r="J594" s="14">
        <v>11080.8</v>
      </c>
      <c r="K594" s="15">
        <f>Table5[[#This Row],[Selling Price]]*Table5[[#This Row],[Units Sold]]</f>
        <v>25650</v>
      </c>
      <c r="L594" t="str">
        <f t="shared" si="9"/>
        <v>2024-02</v>
      </c>
      <c r="M594" t="str">
        <f>VLOOKUP(Table5[[#This Row],[Store ID]],Table4[[Store ID]:[Store Location]],2)</f>
        <v>Manchester</v>
      </c>
      <c r="N594" t="str">
        <f>VLOOKUP(Table5[[#This Row],[Store ID]],Table4[[Store ID]:[Region]],3)</f>
        <v>North</v>
      </c>
      <c r="O594" t="str">
        <f>VLOOKUP(Table5[[#This Row],[Product ID]],'Product Master'!$A$2:$D$10,4)</f>
        <v>Supplier F</v>
      </c>
      <c r="P594" s="15">
        <f>Table5[[#This Row],[Total Revenue]]-Table5[[#This Row],[Net Sales Revenue]]</f>
        <v>3591</v>
      </c>
      <c r="Q594" s="15">
        <f>Table5[[#This Row],[Net Sales Revenue]]/Table5[[#This Row],[Units Sold]]</f>
        <v>8.6</v>
      </c>
      <c r="R594">
        <f>VLOOKUP(Table5[[#This Row],[Product ID]],'Product Master'!$A$1:$E$10,5,FALSE)</f>
        <v>4</v>
      </c>
      <c r="S594" s="15">
        <f>Table5[[#This Row],[standard product cost per unit]]*Table5[[#This Row],[Units Sold]]</f>
        <v>10260</v>
      </c>
      <c r="T594" s="15">
        <f>Table5[[#This Row],[Cost of Sales]]-Table5[[#This Row],[Standard cost]]</f>
        <v>820.79999999999927</v>
      </c>
      <c r="U594" s="15">
        <f>Table5[[#This Row],[Net Sales Revenue]]-Table5[[#This Row],[Cost of Sales]]</f>
        <v>10978.2</v>
      </c>
      <c r="V594" s="17">
        <f>Table5[[#This Row],[GrossProfit]]/Table5[[#This Row],[Net Sales Revenue]]</f>
        <v>0.49767441860465117</v>
      </c>
    </row>
    <row r="595" spans="1:22" ht="14.25" customHeight="1" x14ac:dyDescent="0.25">
      <c r="A595" s="1" t="s">
        <v>674</v>
      </c>
      <c r="B595" s="1" t="s">
        <v>666</v>
      </c>
      <c r="C595" s="1" t="s">
        <v>40</v>
      </c>
      <c r="D595" s="1" t="s">
        <v>33</v>
      </c>
      <c r="E595" s="1" t="s">
        <v>31</v>
      </c>
      <c r="F595" s="1">
        <v>1425</v>
      </c>
      <c r="G595" s="14">
        <v>22</v>
      </c>
      <c r="H595" s="1">
        <v>0.15</v>
      </c>
      <c r="I595" s="14">
        <v>26647.5</v>
      </c>
      <c r="J595" s="14">
        <v>15390</v>
      </c>
      <c r="K595" s="15">
        <f>Table5[[#This Row],[Selling Price]]*Table5[[#This Row],[Units Sold]]</f>
        <v>31350</v>
      </c>
      <c r="L595" t="str">
        <f t="shared" si="9"/>
        <v>2024-02</v>
      </c>
      <c r="M595" t="str">
        <f>VLOOKUP(Table5[[#This Row],[Store ID]],Table4[[Store ID]:[Store Location]],2)</f>
        <v>Manchester</v>
      </c>
      <c r="N595" t="str">
        <f>VLOOKUP(Table5[[#This Row],[Store ID]],Table4[[Store ID]:[Region]],3)</f>
        <v>North</v>
      </c>
      <c r="O595" t="str">
        <f>VLOOKUP(Table5[[#This Row],[Product ID]],'Product Master'!$A$2:$D$10,4)</f>
        <v>Supplier F</v>
      </c>
      <c r="P595" s="15">
        <f>Table5[[#This Row],[Total Revenue]]-Table5[[#This Row],[Net Sales Revenue]]</f>
        <v>4702.5</v>
      </c>
      <c r="Q595" s="15">
        <f>Table5[[#This Row],[Net Sales Revenue]]/Table5[[#This Row],[Units Sold]]</f>
        <v>18.7</v>
      </c>
      <c r="R595">
        <f>VLOOKUP(Table5[[#This Row],[Product ID]],'Product Master'!$A$1:$E$10,5,FALSE)</f>
        <v>10</v>
      </c>
      <c r="S595" s="15">
        <f>Table5[[#This Row],[standard product cost per unit]]*Table5[[#This Row],[Units Sold]]</f>
        <v>14250</v>
      </c>
      <c r="T595" s="15">
        <f>Table5[[#This Row],[Cost of Sales]]-Table5[[#This Row],[Standard cost]]</f>
        <v>1140</v>
      </c>
      <c r="U595" s="15">
        <f>Table5[[#This Row],[Net Sales Revenue]]-Table5[[#This Row],[Cost of Sales]]</f>
        <v>11257.5</v>
      </c>
      <c r="V595" s="17">
        <f>Table5[[#This Row],[GrossProfit]]/Table5[[#This Row],[Net Sales Revenue]]</f>
        <v>0.42245989304812837</v>
      </c>
    </row>
    <row r="596" spans="1:22" ht="14.25" customHeight="1" x14ac:dyDescent="0.25">
      <c r="A596" s="1" t="s">
        <v>675</v>
      </c>
      <c r="B596" s="1" t="s">
        <v>666</v>
      </c>
      <c r="C596" s="1" t="s">
        <v>44</v>
      </c>
      <c r="D596" s="1" t="s">
        <v>6</v>
      </c>
      <c r="E596" s="1" t="s">
        <v>8</v>
      </c>
      <c r="F596" s="1">
        <v>2314</v>
      </c>
      <c r="G596" s="14">
        <v>24</v>
      </c>
      <c r="H596" s="1">
        <v>0.14000000000000001</v>
      </c>
      <c r="I596" s="14">
        <v>47760.959999999999</v>
      </c>
      <c r="J596" s="14">
        <v>29989.439999999999</v>
      </c>
      <c r="K596" s="15">
        <f>Table5[[#This Row],[Selling Price]]*Table5[[#This Row],[Units Sold]]</f>
        <v>55536</v>
      </c>
      <c r="L596" t="str">
        <f t="shared" si="9"/>
        <v>2024-02</v>
      </c>
      <c r="M596" t="str">
        <f>VLOOKUP(Table5[[#This Row],[Store ID]],Table4[[Store ID]:[Store Location]],2)</f>
        <v>Birmingham</v>
      </c>
      <c r="N596" t="str">
        <f>VLOOKUP(Table5[[#This Row],[Store ID]],Table4[[Store ID]:[Region]],3)</f>
        <v>Midlands</v>
      </c>
      <c r="O596" t="str">
        <f>VLOOKUP(Table5[[#This Row],[Product ID]],'Product Master'!$A$2:$D$10,4)</f>
        <v>Supplier A</v>
      </c>
      <c r="P596" s="15">
        <f>Table5[[#This Row],[Total Revenue]]-Table5[[#This Row],[Net Sales Revenue]]</f>
        <v>7775.0400000000009</v>
      </c>
      <c r="Q596" s="15">
        <f>Table5[[#This Row],[Net Sales Revenue]]/Table5[[#This Row],[Units Sold]]</f>
        <v>20.64</v>
      </c>
      <c r="R596">
        <f>VLOOKUP(Table5[[#This Row],[Product ID]],'Product Master'!$A$1:$E$10,5,FALSE)</f>
        <v>12</v>
      </c>
      <c r="S596" s="15">
        <f>Table5[[#This Row],[standard product cost per unit]]*Table5[[#This Row],[Units Sold]]</f>
        <v>27768</v>
      </c>
      <c r="T596" s="15">
        <f>Table5[[#This Row],[Cost of Sales]]-Table5[[#This Row],[Standard cost]]</f>
        <v>2221.4399999999987</v>
      </c>
      <c r="U596" s="15">
        <f>Table5[[#This Row],[Net Sales Revenue]]-Table5[[#This Row],[Cost of Sales]]</f>
        <v>17771.52</v>
      </c>
      <c r="V596" s="17">
        <f>Table5[[#This Row],[GrossProfit]]/Table5[[#This Row],[Net Sales Revenue]]</f>
        <v>0.37209302325581395</v>
      </c>
    </row>
    <row r="597" spans="1:22" ht="14.25" customHeight="1" x14ac:dyDescent="0.25">
      <c r="A597" s="1" t="s">
        <v>676</v>
      </c>
      <c r="B597" s="1" t="s">
        <v>666</v>
      </c>
      <c r="C597" s="1" t="s">
        <v>44</v>
      </c>
      <c r="D597" s="1" t="s">
        <v>10</v>
      </c>
      <c r="E597" s="1" t="s">
        <v>8</v>
      </c>
      <c r="F597" s="1">
        <v>1680</v>
      </c>
      <c r="G597" s="14">
        <v>50</v>
      </c>
      <c r="H597" s="1">
        <v>0.15</v>
      </c>
      <c r="I597" s="14">
        <v>71400</v>
      </c>
      <c r="J597" s="14">
        <v>50803.199999999997</v>
      </c>
      <c r="K597" s="15">
        <f>Table5[[#This Row],[Selling Price]]*Table5[[#This Row],[Units Sold]]</f>
        <v>84000</v>
      </c>
      <c r="L597" t="str">
        <f t="shared" si="9"/>
        <v>2024-02</v>
      </c>
      <c r="M597" t="str">
        <f>VLOOKUP(Table5[[#This Row],[Store ID]],Table4[[Store ID]:[Store Location]],2)</f>
        <v>Birmingham</v>
      </c>
      <c r="N597" t="str">
        <f>VLOOKUP(Table5[[#This Row],[Store ID]],Table4[[Store ID]:[Region]],3)</f>
        <v>Midlands</v>
      </c>
      <c r="O597" t="str">
        <f>VLOOKUP(Table5[[#This Row],[Product ID]],'Product Master'!$A$2:$D$10,4)</f>
        <v>Supplier B</v>
      </c>
      <c r="P597" s="15">
        <f>Table5[[#This Row],[Total Revenue]]-Table5[[#This Row],[Net Sales Revenue]]</f>
        <v>12600</v>
      </c>
      <c r="Q597" s="15">
        <f>Table5[[#This Row],[Net Sales Revenue]]/Table5[[#This Row],[Units Sold]]</f>
        <v>42.5</v>
      </c>
      <c r="R597">
        <f>VLOOKUP(Table5[[#This Row],[Product ID]],'Product Master'!$A$1:$E$10,5,FALSE)</f>
        <v>28</v>
      </c>
      <c r="S597" s="15">
        <f>Table5[[#This Row],[standard product cost per unit]]*Table5[[#This Row],[Units Sold]]</f>
        <v>47040</v>
      </c>
      <c r="T597" s="15">
        <f>Table5[[#This Row],[Cost of Sales]]-Table5[[#This Row],[Standard cost]]</f>
        <v>3763.1999999999971</v>
      </c>
      <c r="U597" s="15">
        <f>Table5[[#This Row],[Net Sales Revenue]]-Table5[[#This Row],[Cost of Sales]]</f>
        <v>20596.800000000003</v>
      </c>
      <c r="V597" s="17">
        <f>Table5[[#This Row],[GrossProfit]]/Table5[[#This Row],[Net Sales Revenue]]</f>
        <v>0.28847058823529415</v>
      </c>
    </row>
    <row r="598" spans="1:22" ht="14.25" customHeight="1" x14ac:dyDescent="0.25">
      <c r="A598" s="1" t="s">
        <v>677</v>
      </c>
      <c r="B598" s="1" t="s">
        <v>666</v>
      </c>
      <c r="C598" s="1" t="s">
        <v>44</v>
      </c>
      <c r="D598" s="1" t="s">
        <v>13</v>
      </c>
      <c r="E598" s="1" t="s">
        <v>15</v>
      </c>
      <c r="F598" s="1">
        <v>1421</v>
      </c>
      <c r="G598" s="14">
        <v>28</v>
      </c>
      <c r="H598" s="1">
        <v>0.16</v>
      </c>
      <c r="I598" s="14">
        <v>33421.919999999998</v>
      </c>
      <c r="J598" s="14">
        <v>23020.2</v>
      </c>
      <c r="K598" s="15">
        <f>Table5[[#This Row],[Selling Price]]*Table5[[#This Row],[Units Sold]]</f>
        <v>39788</v>
      </c>
      <c r="L598" t="str">
        <f t="shared" si="9"/>
        <v>2024-02</v>
      </c>
      <c r="M598" t="str">
        <f>VLOOKUP(Table5[[#This Row],[Store ID]],Table4[[Store ID]:[Store Location]],2)</f>
        <v>Birmingham</v>
      </c>
      <c r="N598" t="str">
        <f>VLOOKUP(Table5[[#This Row],[Store ID]],Table4[[Store ID]:[Region]],3)</f>
        <v>Midlands</v>
      </c>
      <c r="O598" t="str">
        <f>VLOOKUP(Table5[[#This Row],[Product ID]],'Product Master'!$A$2:$D$10,4)</f>
        <v>Supplier C</v>
      </c>
      <c r="P598" s="15">
        <f>Table5[[#This Row],[Total Revenue]]-Table5[[#This Row],[Net Sales Revenue]]</f>
        <v>6366.0800000000017</v>
      </c>
      <c r="Q598" s="15">
        <f>Table5[[#This Row],[Net Sales Revenue]]/Table5[[#This Row],[Units Sold]]</f>
        <v>23.52</v>
      </c>
      <c r="R598">
        <f>VLOOKUP(Table5[[#This Row],[Product ID]],'Product Master'!$A$1:$E$10,5,FALSE)</f>
        <v>15</v>
      </c>
      <c r="S598" s="15">
        <f>Table5[[#This Row],[standard product cost per unit]]*Table5[[#This Row],[Units Sold]]</f>
        <v>21315</v>
      </c>
      <c r="T598" s="15">
        <f>Table5[[#This Row],[Cost of Sales]]-Table5[[#This Row],[Standard cost]]</f>
        <v>1705.2000000000007</v>
      </c>
      <c r="U598" s="15">
        <f>Table5[[#This Row],[Net Sales Revenue]]-Table5[[#This Row],[Cost of Sales]]</f>
        <v>10401.719999999998</v>
      </c>
      <c r="V598" s="17">
        <f>Table5[[#This Row],[GrossProfit]]/Table5[[#This Row],[Net Sales Revenue]]</f>
        <v>0.31122448979591832</v>
      </c>
    </row>
    <row r="599" spans="1:22" ht="14.25" customHeight="1" x14ac:dyDescent="0.25">
      <c r="A599" s="1" t="s">
        <v>678</v>
      </c>
      <c r="B599" s="1" t="s">
        <v>666</v>
      </c>
      <c r="C599" s="1" t="s">
        <v>44</v>
      </c>
      <c r="D599" s="1" t="s">
        <v>17</v>
      </c>
      <c r="E599" s="1" t="s">
        <v>15</v>
      </c>
      <c r="F599" s="1">
        <v>2296</v>
      </c>
      <c r="G599" s="14">
        <v>35</v>
      </c>
      <c r="H599" s="1">
        <v>0.13</v>
      </c>
      <c r="I599" s="14">
        <v>69913.2</v>
      </c>
      <c r="J599" s="14">
        <v>44634.239999999998</v>
      </c>
      <c r="K599" s="15">
        <f>Table5[[#This Row],[Selling Price]]*Table5[[#This Row],[Units Sold]]</f>
        <v>80360</v>
      </c>
      <c r="L599" t="str">
        <f t="shared" si="9"/>
        <v>2024-02</v>
      </c>
      <c r="M599" t="str">
        <f>VLOOKUP(Table5[[#This Row],[Store ID]],Table4[[Store ID]:[Store Location]],2)</f>
        <v>Birmingham</v>
      </c>
      <c r="N599" t="str">
        <f>VLOOKUP(Table5[[#This Row],[Store ID]],Table4[[Store ID]:[Region]],3)</f>
        <v>Midlands</v>
      </c>
      <c r="O599" t="str">
        <f>VLOOKUP(Table5[[#This Row],[Product ID]],'Product Master'!$A$2:$D$10,4)</f>
        <v>Supplier C</v>
      </c>
      <c r="P599" s="15">
        <f>Table5[[#This Row],[Total Revenue]]-Table5[[#This Row],[Net Sales Revenue]]</f>
        <v>10446.800000000003</v>
      </c>
      <c r="Q599" s="15">
        <f>Table5[[#This Row],[Net Sales Revenue]]/Table5[[#This Row],[Units Sold]]</f>
        <v>30.45</v>
      </c>
      <c r="R599">
        <f>VLOOKUP(Table5[[#This Row],[Product ID]],'Product Master'!$A$1:$E$10,5,FALSE)</f>
        <v>18</v>
      </c>
      <c r="S599" s="15">
        <f>Table5[[#This Row],[standard product cost per unit]]*Table5[[#This Row],[Units Sold]]</f>
        <v>41328</v>
      </c>
      <c r="T599" s="15">
        <f>Table5[[#This Row],[Cost of Sales]]-Table5[[#This Row],[Standard cost]]</f>
        <v>3306.239999999998</v>
      </c>
      <c r="U599" s="15">
        <f>Table5[[#This Row],[Net Sales Revenue]]-Table5[[#This Row],[Cost of Sales]]</f>
        <v>25278.959999999999</v>
      </c>
      <c r="V599" s="17">
        <f>Table5[[#This Row],[GrossProfit]]/Table5[[#This Row],[Net Sales Revenue]]</f>
        <v>0.36157635467980298</v>
      </c>
    </row>
    <row r="600" spans="1:22" ht="14.25" customHeight="1" x14ac:dyDescent="0.25">
      <c r="A600" s="1" t="s">
        <v>679</v>
      </c>
      <c r="B600" s="1" t="s">
        <v>666</v>
      </c>
      <c r="C600" s="1" t="s">
        <v>44</v>
      </c>
      <c r="D600" s="1" t="s">
        <v>19</v>
      </c>
      <c r="E600" s="1" t="s">
        <v>21</v>
      </c>
      <c r="F600" s="1">
        <v>1821</v>
      </c>
      <c r="G600" s="14">
        <v>18</v>
      </c>
      <c r="H600" s="1">
        <v>0.17</v>
      </c>
      <c r="I600" s="14">
        <v>27205.74</v>
      </c>
      <c r="J600" s="14">
        <v>17700.12</v>
      </c>
      <c r="K600" s="15">
        <f>Table5[[#This Row],[Selling Price]]*Table5[[#This Row],[Units Sold]]</f>
        <v>32778</v>
      </c>
      <c r="L600" t="str">
        <f t="shared" si="9"/>
        <v>2024-02</v>
      </c>
      <c r="M600" t="str">
        <f>VLOOKUP(Table5[[#This Row],[Store ID]],Table4[[Store ID]:[Store Location]],2)</f>
        <v>Birmingham</v>
      </c>
      <c r="N600" t="str">
        <f>VLOOKUP(Table5[[#This Row],[Store ID]],Table4[[Store ID]:[Region]],3)</f>
        <v>Midlands</v>
      </c>
      <c r="O600" t="str">
        <f>VLOOKUP(Table5[[#This Row],[Product ID]],'Product Master'!$A$2:$D$10,4)</f>
        <v>Supplier D</v>
      </c>
      <c r="P600" s="15">
        <f>Table5[[#This Row],[Total Revenue]]-Table5[[#This Row],[Net Sales Revenue]]</f>
        <v>5572.2599999999984</v>
      </c>
      <c r="Q600" s="15">
        <f>Table5[[#This Row],[Net Sales Revenue]]/Table5[[#This Row],[Units Sold]]</f>
        <v>14.940000000000001</v>
      </c>
      <c r="R600">
        <f>VLOOKUP(Table5[[#This Row],[Product ID]],'Product Master'!$A$1:$E$10,5,FALSE)</f>
        <v>9</v>
      </c>
      <c r="S600" s="15">
        <f>Table5[[#This Row],[standard product cost per unit]]*Table5[[#This Row],[Units Sold]]</f>
        <v>16389</v>
      </c>
      <c r="T600" s="15">
        <f>Table5[[#This Row],[Cost of Sales]]-Table5[[#This Row],[Standard cost]]</f>
        <v>1311.119999999999</v>
      </c>
      <c r="U600" s="15">
        <f>Table5[[#This Row],[Net Sales Revenue]]-Table5[[#This Row],[Cost of Sales]]</f>
        <v>9505.6200000000026</v>
      </c>
      <c r="V600" s="17">
        <f>Table5[[#This Row],[GrossProfit]]/Table5[[#This Row],[Net Sales Revenue]]</f>
        <v>0.34939759036144585</v>
      </c>
    </row>
    <row r="601" spans="1:22" ht="14.25" customHeight="1" x14ac:dyDescent="0.25">
      <c r="A601" s="1" t="s">
        <v>680</v>
      </c>
      <c r="B601" s="1" t="s">
        <v>666</v>
      </c>
      <c r="C601" s="1" t="s">
        <v>44</v>
      </c>
      <c r="D601" s="1" t="s">
        <v>23</v>
      </c>
      <c r="E601" s="1" t="s">
        <v>21</v>
      </c>
      <c r="F601" s="1">
        <v>1496</v>
      </c>
      <c r="G601" s="14">
        <v>30</v>
      </c>
      <c r="H601" s="1">
        <v>0.16</v>
      </c>
      <c r="I601" s="14">
        <v>37699.199999999997</v>
      </c>
      <c r="J601" s="14">
        <v>22619.52</v>
      </c>
      <c r="K601" s="15">
        <f>Table5[[#This Row],[Selling Price]]*Table5[[#This Row],[Units Sold]]</f>
        <v>44880</v>
      </c>
      <c r="L601" t="str">
        <f t="shared" si="9"/>
        <v>2024-02</v>
      </c>
      <c r="M601" t="str">
        <f>VLOOKUP(Table5[[#This Row],[Store ID]],Table4[[Store ID]:[Store Location]],2)</f>
        <v>Birmingham</v>
      </c>
      <c r="N601" t="str">
        <f>VLOOKUP(Table5[[#This Row],[Store ID]],Table4[[Store ID]:[Region]],3)</f>
        <v>Midlands</v>
      </c>
      <c r="O601" t="str">
        <f>VLOOKUP(Table5[[#This Row],[Product ID]],'Product Master'!$A$2:$D$10,4)</f>
        <v>Supplier D</v>
      </c>
      <c r="P601" s="15">
        <f>Table5[[#This Row],[Total Revenue]]-Table5[[#This Row],[Net Sales Revenue]]</f>
        <v>7180.8000000000029</v>
      </c>
      <c r="Q601" s="15">
        <f>Table5[[#This Row],[Net Sales Revenue]]/Table5[[#This Row],[Units Sold]]</f>
        <v>25.2</v>
      </c>
      <c r="R601">
        <f>VLOOKUP(Table5[[#This Row],[Product ID]],'Product Master'!$A$1:$E$10,5,FALSE)</f>
        <v>14</v>
      </c>
      <c r="S601" s="15">
        <f>Table5[[#This Row],[standard product cost per unit]]*Table5[[#This Row],[Units Sold]]</f>
        <v>20944</v>
      </c>
      <c r="T601" s="15">
        <f>Table5[[#This Row],[Cost of Sales]]-Table5[[#This Row],[Standard cost]]</f>
        <v>1675.5200000000004</v>
      </c>
      <c r="U601" s="15">
        <f>Table5[[#This Row],[Net Sales Revenue]]-Table5[[#This Row],[Cost of Sales]]</f>
        <v>15079.679999999997</v>
      </c>
      <c r="V601" s="17">
        <f>Table5[[#This Row],[GrossProfit]]/Table5[[#This Row],[Net Sales Revenue]]</f>
        <v>0.39999999999999997</v>
      </c>
    </row>
    <row r="602" spans="1:22" ht="14.25" customHeight="1" x14ac:dyDescent="0.25">
      <c r="A602" s="1" t="s">
        <v>681</v>
      </c>
      <c r="B602" s="1" t="s">
        <v>666</v>
      </c>
      <c r="C602" s="1" t="s">
        <v>44</v>
      </c>
      <c r="D602" s="1" t="s">
        <v>25</v>
      </c>
      <c r="E602" s="1" t="s">
        <v>27</v>
      </c>
      <c r="F602" s="1">
        <v>1390</v>
      </c>
      <c r="G602" s="14">
        <v>40</v>
      </c>
      <c r="H602" s="1">
        <v>0.13</v>
      </c>
      <c r="I602" s="14">
        <v>48372</v>
      </c>
      <c r="J602" s="14">
        <v>30024</v>
      </c>
      <c r="K602" s="15">
        <f>Table5[[#This Row],[Selling Price]]*Table5[[#This Row],[Units Sold]]</f>
        <v>55600</v>
      </c>
      <c r="L602" t="str">
        <f t="shared" si="9"/>
        <v>2024-02</v>
      </c>
      <c r="M602" t="str">
        <f>VLOOKUP(Table5[[#This Row],[Store ID]],Table4[[Store ID]:[Store Location]],2)</f>
        <v>Birmingham</v>
      </c>
      <c r="N602" t="str">
        <f>VLOOKUP(Table5[[#This Row],[Store ID]],Table4[[Store ID]:[Region]],3)</f>
        <v>Midlands</v>
      </c>
      <c r="O602" t="str">
        <f>VLOOKUP(Table5[[#This Row],[Product ID]],'Product Master'!$A$2:$D$10,4)</f>
        <v>Supplier E</v>
      </c>
      <c r="P602" s="15">
        <f>Table5[[#This Row],[Total Revenue]]-Table5[[#This Row],[Net Sales Revenue]]</f>
        <v>7228</v>
      </c>
      <c r="Q602" s="15">
        <f>Table5[[#This Row],[Net Sales Revenue]]/Table5[[#This Row],[Units Sold]]</f>
        <v>34.799999999999997</v>
      </c>
      <c r="R602">
        <f>VLOOKUP(Table5[[#This Row],[Product ID]],'Product Master'!$A$1:$E$10,5,FALSE)</f>
        <v>20</v>
      </c>
      <c r="S602" s="15">
        <f>Table5[[#This Row],[standard product cost per unit]]*Table5[[#This Row],[Units Sold]]</f>
        <v>27800</v>
      </c>
      <c r="T602" s="15">
        <f>Table5[[#This Row],[Cost of Sales]]-Table5[[#This Row],[Standard cost]]</f>
        <v>2224</v>
      </c>
      <c r="U602" s="15">
        <f>Table5[[#This Row],[Net Sales Revenue]]-Table5[[#This Row],[Cost of Sales]]</f>
        <v>18348</v>
      </c>
      <c r="V602" s="17">
        <f>Table5[[#This Row],[GrossProfit]]/Table5[[#This Row],[Net Sales Revenue]]</f>
        <v>0.37931034482758619</v>
      </c>
    </row>
    <row r="603" spans="1:22" ht="14.25" customHeight="1" x14ac:dyDescent="0.25">
      <c r="A603" s="1" t="s">
        <v>682</v>
      </c>
      <c r="B603" s="1" t="s">
        <v>666</v>
      </c>
      <c r="C603" s="1" t="s">
        <v>44</v>
      </c>
      <c r="D603" s="1" t="s">
        <v>29</v>
      </c>
      <c r="E603" s="1" t="s">
        <v>31</v>
      </c>
      <c r="F603" s="1">
        <v>1597</v>
      </c>
      <c r="G603" s="14">
        <v>10</v>
      </c>
      <c r="H603" s="1">
        <v>0.13</v>
      </c>
      <c r="I603" s="14">
        <v>13893.9</v>
      </c>
      <c r="J603" s="14">
        <v>6899.04</v>
      </c>
      <c r="K603" s="15">
        <f>Table5[[#This Row],[Selling Price]]*Table5[[#This Row],[Units Sold]]</f>
        <v>15970</v>
      </c>
      <c r="L603" t="str">
        <f t="shared" si="9"/>
        <v>2024-02</v>
      </c>
      <c r="M603" t="str">
        <f>VLOOKUP(Table5[[#This Row],[Store ID]],Table4[[Store ID]:[Store Location]],2)</f>
        <v>Birmingham</v>
      </c>
      <c r="N603" t="str">
        <f>VLOOKUP(Table5[[#This Row],[Store ID]],Table4[[Store ID]:[Region]],3)</f>
        <v>Midlands</v>
      </c>
      <c r="O603" t="str">
        <f>VLOOKUP(Table5[[#This Row],[Product ID]],'Product Master'!$A$2:$D$10,4)</f>
        <v>Supplier F</v>
      </c>
      <c r="P603" s="15">
        <f>Table5[[#This Row],[Total Revenue]]-Table5[[#This Row],[Net Sales Revenue]]</f>
        <v>2076.1000000000004</v>
      </c>
      <c r="Q603" s="15">
        <f>Table5[[#This Row],[Net Sales Revenue]]/Table5[[#This Row],[Units Sold]]</f>
        <v>8.6999999999999993</v>
      </c>
      <c r="R603">
        <f>VLOOKUP(Table5[[#This Row],[Product ID]],'Product Master'!$A$1:$E$10,5,FALSE)</f>
        <v>4</v>
      </c>
      <c r="S603" s="15">
        <f>Table5[[#This Row],[standard product cost per unit]]*Table5[[#This Row],[Units Sold]]</f>
        <v>6388</v>
      </c>
      <c r="T603" s="15">
        <f>Table5[[#This Row],[Cost of Sales]]-Table5[[#This Row],[Standard cost]]</f>
        <v>511.03999999999996</v>
      </c>
      <c r="U603" s="15">
        <f>Table5[[#This Row],[Net Sales Revenue]]-Table5[[#This Row],[Cost of Sales]]</f>
        <v>6994.86</v>
      </c>
      <c r="V603" s="17">
        <f>Table5[[#This Row],[GrossProfit]]/Table5[[#This Row],[Net Sales Revenue]]</f>
        <v>0.50344827586206897</v>
      </c>
    </row>
    <row r="604" spans="1:22" ht="14.25" customHeight="1" x14ac:dyDescent="0.25">
      <c r="A604" s="1" t="s">
        <v>683</v>
      </c>
      <c r="B604" s="1" t="s">
        <v>666</v>
      </c>
      <c r="C604" s="1" t="s">
        <v>44</v>
      </c>
      <c r="D604" s="1" t="s">
        <v>33</v>
      </c>
      <c r="E604" s="1" t="s">
        <v>31</v>
      </c>
      <c r="F604" s="1">
        <v>3014</v>
      </c>
      <c r="G604" s="14">
        <v>22</v>
      </c>
      <c r="H604" s="1">
        <v>0.14000000000000001</v>
      </c>
      <c r="I604" s="14">
        <v>57024.88</v>
      </c>
      <c r="J604" s="14">
        <v>32551.200000000001</v>
      </c>
      <c r="K604" s="15">
        <f>Table5[[#This Row],[Selling Price]]*Table5[[#This Row],[Units Sold]]</f>
        <v>66308</v>
      </c>
      <c r="L604" t="str">
        <f t="shared" si="9"/>
        <v>2024-02</v>
      </c>
      <c r="M604" t="str">
        <f>VLOOKUP(Table5[[#This Row],[Store ID]],Table4[[Store ID]:[Store Location]],2)</f>
        <v>Birmingham</v>
      </c>
      <c r="N604" t="str">
        <f>VLOOKUP(Table5[[#This Row],[Store ID]],Table4[[Store ID]:[Region]],3)</f>
        <v>Midlands</v>
      </c>
      <c r="O604" t="str">
        <f>VLOOKUP(Table5[[#This Row],[Product ID]],'Product Master'!$A$2:$D$10,4)</f>
        <v>Supplier F</v>
      </c>
      <c r="P604" s="15">
        <f>Table5[[#This Row],[Total Revenue]]-Table5[[#This Row],[Net Sales Revenue]]</f>
        <v>9283.1200000000026</v>
      </c>
      <c r="Q604" s="15">
        <f>Table5[[#This Row],[Net Sales Revenue]]/Table5[[#This Row],[Units Sold]]</f>
        <v>18.919999999999998</v>
      </c>
      <c r="R604">
        <f>VLOOKUP(Table5[[#This Row],[Product ID]],'Product Master'!$A$1:$E$10,5,FALSE)</f>
        <v>10</v>
      </c>
      <c r="S604" s="15">
        <f>Table5[[#This Row],[standard product cost per unit]]*Table5[[#This Row],[Units Sold]]</f>
        <v>30140</v>
      </c>
      <c r="T604" s="15">
        <f>Table5[[#This Row],[Cost of Sales]]-Table5[[#This Row],[Standard cost]]</f>
        <v>2411.2000000000007</v>
      </c>
      <c r="U604" s="15">
        <f>Table5[[#This Row],[Net Sales Revenue]]-Table5[[#This Row],[Cost of Sales]]</f>
        <v>24473.679999999997</v>
      </c>
      <c r="V604" s="17">
        <f>Table5[[#This Row],[GrossProfit]]/Table5[[#This Row],[Net Sales Revenue]]</f>
        <v>0.42917547568710357</v>
      </c>
    </row>
    <row r="605" spans="1:22" ht="14.25" customHeight="1" x14ac:dyDescent="0.25">
      <c r="A605" s="1" t="s">
        <v>684</v>
      </c>
      <c r="B605" s="1" t="s">
        <v>666</v>
      </c>
      <c r="C605" s="1" t="s">
        <v>48</v>
      </c>
      <c r="D605" s="1" t="s">
        <v>6</v>
      </c>
      <c r="E605" s="1" t="s">
        <v>8</v>
      </c>
      <c r="F605" s="1">
        <v>1663</v>
      </c>
      <c r="G605" s="14">
        <v>24</v>
      </c>
      <c r="H605" s="1">
        <v>0.13</v>
      </c>
      <c r="I605" s="14">
        <v>34723.440000000002</v>
      </c>
      <c r="J605" s="14">
        <v>21552.48</v>
      </c>
      <c r="K605" s="15">
        <f>Table5[[#This Row],[Selling Price]]*Table5[[#This Row],[Units Sold]]</f>
        <v>39912</v>
      </c>
      <c r="L605" t="str">
        <f t="shared" si="9"/>
        <v>2024-02</v>
      </c>
      <c r="M605" t="str">
        <f>VLOOKUP(Table5[[#This Row],[Store ID]],Table4[[Store ID]:[Store Location]],2)</f>
        <v>London Stratford</v>
      </c>
      <c r="N605" t="str">
        <f>VLOOKUP(Table5[[#This Row],[Store ID]],Table4[[Store ID]:[Region]],3)</f>
        <v>South</v>
      </c>
      <c r="O605" t="str">
        <f>VLOOKUP(Table5[[#This Row],[Product ID]],'Product Master'!$A$2:$D$10,4)</f>
        <v>Supplier A</v>
      </c>
      <c r="P605" s="15">
        <f>Table5[[#This Row],[Total Revenue]]-Table5[[#This Row],[Net Sales Revenue]]</f>
        <v>5188.5599999999977</v>
      </c>
      <c r="Q605" s="15">
        <f>Table5[[#This Row],[Net Sales Revenue]]/Table5[[#This Row],[Units Sold]]</f>
        <v>20.880000000000003</v>
      </c>
      <c r="R605">
        <f>VLOOKUP(Table5[[#This Row],[Product ID]],'Product Master'!$A$1:$E$10,5,FALSE)</f>
        <v>12</v>
      </c>
      <c r="S605" s="15">
        <f>Table5[[#This Row],[standard product cost per unit]]*Table5[[#This Row],[Units Sold]]</f>
        <v>19956</v>
      </c>
      <c r="T605" s="15">
        <f>Table5[[#This Row],[Cost of Sales]]-Table5[[#This Row],[Standard cost]]</f>
        <v>1596.4799999999996</v>
      </c>
      <c r="U605" s="15">
        <f>Table5[[#This Row],[Net Sales Revenue]]-Table5[[#This Row],[Cost of Sales]]</f>
        <v>13170.960000000003</v>
      </c>
      <c r="V605" s="17">
        <f>Table5[[#This Row],[GrossProfit]]/Table5[[#This Row],[Net Sales Revenue]]</f>
        <v>0.37931034482758624</v>
      </c>
    </row>
    <row r="606" spans="1:22" ht="14.25" customHeight="1" x14ac:dyDescent="0.25">
      <c r="A606" s="1" t="s">
        <v>685</v>
      </c>
      <c r="B606" s="1" t="s">
        <v>666</v>
      </c>
      <c r="C606" s="1" t="s">
        <v>48</v>
      </c>
      <c r="D606" s="1" t="s">
        <v>10</v>
      </c>
      <c r="E606" s="1" t="s">
        <v>8</v>
      </c>
      <c r="F606" s="1">
        <v>2635</v>
      </c>
      <c r="G606" s="14">
        <v>50</v>
      </c>
      <c r="H606" s="1">
        <v>0.12</v>
      </c>
      <c r="I606" s="14">
        <v>115940</v>
      </c>
      <c r="J606" s="14">
        <v>79682.399999999994</v>
      </c>
      <c r="K606" s="15">
        <f>Table5[[#This Row],[Selling Price]]*Table5[[#This Row],[Units Sold]]</f>
        <v>131750</v>
      </c>
      <c r="L606" t="str">
        <f t="shared" si="9"/>
        <v>2024-02</v>
      </c>
      <c r="M606" t="str">
        <f>VLOOKUP(Table5[[#This Row],[Store ID]],Table4[[Store ID]:[Store Location]],2)</f>
        <v>London Stratford</v>
      </c>
      <c r="N606" t="str">
        <f>VLOOKUP(Table5[[#This Row],[Store ID]],Table4[[Store ID]:[Region]],3)</f>
        <v>South</v>
      </c>
      <c r="O606" t="str">
        <f>VLOOKUP(Table5[[#This Row],[Product ID]],'Product Master'!$A$2:$D$10,4)</f>
        <v>Supplier B</v>
      </c>
      <c r="P606" s="15">
        <f>Table5[[#This Row],[Total Revenue]]-Table5[[#This Row],[Net Sales Revenue]]</f>
        <v>15810</v>
      </c>
      <c r="Q606" s="15">
        <f>Table5[[#This Row],[Net Sales Revenue]]/Table5[[#This Row],[Units Sold]]</f>
        <v>44</v>
      </c>
      <c r="R606">
        <f>VLOOKUP(Table5[[#This Row],[Product ID]],'Product Master'!$A$1:$E$10,5,FALSE)</f>
        <v>28</v>
      </c>
      <c r="S606" s="15">
        <f>Table5[[#This Row],[standard product cost per unit]]*Table5[[#This Row],[Units Sold]]</f>
        <v>73780</v>
      </c>
      <c r="T606" s="15">
        <f>Table5[[#This Row],[Cost of Sales]]-Table5[[#This Row],[Standard cost]]</f>
        <v>5902.3999999999942</v>
      </c>
      <c r="U606" s="15">
        <f>Table5[[#This Row],[Net Sales Revenue]]-Table5[[#This Row],[Cost of Sales]]</f>
        <v>36257.600000000006</v>
      </c>
      <c r="V606" s="17">
        <f>Table5[[#This Row],[GrossProfit]]/Table5[[#This Row],[Net Sales Revenue]]</f>
        <v>0.3127272727272728</v>
      </c>
    </row>
    <row r="607" spans="1:22" ht="14.25" customHeight="1" x14ac:dyDescent="0.25">
      <c r="A607" s="1" t="s">
        <v>686</v>
      </c>
      <c r="B607" s="1" t="s">
        <v>666</v>
      </c>
      <c r="C607" s="1" t="s">
        <v>48</v>
      </c>
      <c r="D607" s="1" t="s">
        <v>13</v>
      </c>
      <c r="E607" s="1" t="s">
        <v>15</v>
      </c>
      <c r="F607" s="1">
        <v>2675</v>
      </c>
      <c r="G607" s="14">
        <v>28</v>
      </c>
      <c r="H607" s="1">
        <v>0.12</v>
      </c>
      <c r="I607" s="14">
        <v>65912</v>
      </c>
      <c r="J607" s="14">
        <v>43335</v>
      </c>
      <c r="K607" s="15">
        <f>Table5[[#This Row],[Selling Price]]*Table5[[#This Row],[Units Sold]]</f>
        <v>74900</v>
      </c>
      <c r="L607" t="str">
        <f t="shared" si="9"/>
        <v>2024-02</v>
      </c>
      <c r="M607" t="str">
        <f>VLOOKUP(Table5[[#This Row],[Store ID]],Table4[[Store ID]:[Store Location]],2)</f>
        <v>London Stratford</v>
      </c>
      <c r="N607" t="str">
        <f>VLOOKUP(Table5[[#This Row],[Store ID]],Table4[[Store ID]:[Region]],3)</f>
        <v>South</v>
      </c>
      <c r="O607" t="str">
        <f>VLOOKUP(Table5[[#This Row],[Product ID]],'Product Master'!$A$2:$D$10,4)</f>
        <v>Supplier C</v>
      </c>
      <c r="P607" s="15">
        <f>Table5[[#This Row],[Total Revenue]]-Table5[[#This Row],[Net Sales Revenue]]</f>
        <v>8988</v>
      </c>
      <c r="Q607" s="15">
        <f>Table5[[#This Row],[Net Sales Revenue]]/Table5[[#This Row],[Units Sold]]</f>
        <v>24.64</v>
      </c>
      <c r="R607">
        <f>VLOOKUP(Table5[[#This Row],[Product ID]],'Product Master'!$A$1:$E$10,5,FALSE)</f>
        <v>15</v>
      </c>
      <c r="S607" s="15">
        <f>Table5[[#This Row],[standard product cost per unit]]*Table5[[#This Row],[Units Sold]]</f>
        <v>40125</v>
      </c>
      <c r="T607" s="15">
        <f>Table5[[#This Row],[Cost of Sales]]-Table5[[#This Row],[Standard cost]]</f>
        <v>3210</v>
      </c>
      <c r="U607" s="15">
        <f>Table5[[#This Row],[Net Sales Revenue]]-Table5[[#This Row],[Cost of Sales]]</f>
        <v>22577</v>
      </c>
      <c r="V607" s="17">
        <f>Table5[[#This Row],[GrossProfit]]/Table5[[#This Row],[Net Sales Revenue]]</f>
        <v>0.34253246753246752</v>
      </c>
    </row>
    <row r="608" spans="1:22" ht="14.25" customHeight="1" x14ac:dyDescent="0.25">
      <c r="A608" s="1" t="s">
        <v>687</v>
      </c>
      <c r="B608" s="1" t="s">
        <v>666</v>
      </c>
      <c r="C608" s="1" t="s">
        <v>48</v>
      </c>
      <c r="D608" s="1" t="s">
        <v>17</v>
      </c>
      <c r="E608" s="1" t="s">
        <v>15</v>
      </c>
      <c r="F608" s="1">
        <v>1922</v>
      </c>
      <c r="G608" s="14">
        <v>35</v>
      </c>
      <c r="H608" s="1">
        <v>0.16</v>
      </c>
      <c r="I608" s="14">
        <v>56506.8</v>
      </c>
      <c r="J608" s="14">
        <v>37363.68</v>
      </c>
      <c r="K608" s="15">
        <f>Table5[[#This Row],[Selling Price]]*Table5[[#This Row],[Units Sold]]</f>
        <v>67270</v>
      </c>
      <c r="L608" t="str">
        <f t="shared" si="9"/>
        <v>2024-02</v>
      </c>
      <c r="M608" t="str">
        <f>VLOOKUP(Table5[[#This Row],[Store ID]],Table4[[Store ID]:[Store Location]],2)</f>
        <v>London Stratford</v>
      </c>
      <c r="N608" t="str">
        <f>VLOOKUP(Table5[[#This Row],[Store ID]],Table4[[Store ID]:[Region]],3)</f>
        <v>South</v>
      </c>
      <c r="O608" t="str">
        <f>VLOOKUP(Table5[[#This Row],[Product ID]],'Product Master'!$A$2:$D$10,4)</f>
        <v>Supplier C</v>
      </c>
      <c r="P608" s="15">
        <f>Table5[[#This Row],[Total Revenue]]-Table5[[#This Row],[Net Sales Revenue]]</f>
        <v>10763.199999999997</v>
      </c>
      <c r="Q608" s="15">
        <f>Table5[[#This Row],[Net Sales Revenue]]/Table5[[#This Row],[Units Sold]]</f>
        <v>29.400000000000002</v>
      </c>
      <c r="R608">
        <f>VLOOKUP(Table5[[#This Row],[Product ID]],'Product Master'!$A$1:$E$10,5,FALSE)</f>
        <v>18</v>
      </c>
      <c r="S608" s="15">
        <f>Table5[[#This Row],[standard product cost per unit]]*Table5[[#This Row],[Units Sold]]</f>
        <v>34596</v>
      </c>
      <c r="T608" s="15">
        <f>Table5[[#This Row],[Cost of Sales]]-Table5[[#This Row],[Standard cost]]</f>
        <v>2767.6800000000003</v>
      </c>
      <c r="U608" s="15">
        <f>Table5[[#This Row],[Net Sales Revenue]]-Table5[[#This Row],[Cost of Sales]]</f>
        <v>19143.120000000003</v>
      </c>
      <c r="V608" s="17">
        <f>Table5[[#This Row],[GrossProfit]]/Table5[[#This Row],[Net Sales Revenue]]</f>
        <v>0.33877551020408164</v>
      </c>
    </row>
    <row r="609" spans="1:22" ht="14.25" customHeight="1" x14ac:dyDescent="0.25">
      <c r="A609" s="1" t="s">
        <v>688</v>
      </c>
      <c r="B609" s="1" t="s">
        <v>666</v>
      </c>
      <c r="C609" s="1" t="s">
        <v>48</v>
      </c>
      <c r="D609" s="1" t="s">
        <v>19</v>
      </c>
      <c r="E609" s="1" t="s">
        <v>21</v>
      </c>
      <c r="F609" s="1">
        <v>1760</v>
      </c>
      <c r="G609" s="14">
        <v>18</v>
      </c>
      <c r="H609" s="1">
        <v>0.15</v>
      </c>
      <c r="I609" s="14">
        <v>26928</v>
      </c>
      <c r="J609" s="14">
        <v>17107.2</v>
      </c>
      <c r="K609" s="15">
        <f>Table5[[#This Row],[Selling Price]]*Table5[[#This Row],[Units Sold]]</f>
        <v>31680</v>
      </c>
      <c r="L609" t="str">
        <f t="shared" si="9"/>
        <v>2024-02</v>
      </c>
      <c r="M609" t="str">
        <f>VLOOKUP(Table5[[#This Row],[Store ID]],Table4[[Store ID]:[Store Location]],2)</f>
        <v>London Stratford</v>
      </c>
      <c r="N609" t="str">
        <f>VLOOKUP(Table5[[#This Row],[Store ID]],Table4[[Store ID]:[Region]],3)</f>
        <v>South</v>
      </c>
      <c r="O609" t="str">
        <f>VLOOKUP(Table5[[#This Row],[Product ID]],'Product Master'!$A$2:$D$10,4)</f>
        <v>Supplier D</v>
      </c>
      <c r="P609" s="15">
        <f>Table5[[#This Row],[Total Revenue]]-Table5[[#This Row],[Net Sales Revenue]]</f>
        <v>4752</v>
      </c>
      <c r="Q609" s="15">
        <f>Table5[[#This Row],[Net Sales Revenue]]/Table5[[#This Row],[Units Sold]]</f>
        <v>15.3</v>
      </c>
      <c r="R609">
        <f>VLOOKUP(Table5[[#This Row],[Product ID]],'Product Master'!$A$1:$E$10,5,FALSE)</f>
        <v>9</v>
      </c>
      <c r="S609" s="15">
        <f>Table5[[#This Row],[standard product cost per unit]]*Table5[[#This Row],[Units Sold]]</f>
        <v>15840</v>
      </c>
      <c r="T609" s="15">
        <f>Table5[[#This Row],[Cost of Sales]]-Table5[[#This Row],[Standard cost]]</f>
        <v>1267.2000000000007</v>
      </c>
      <c r="U609" s="15">
        <f>Table5[[#This Row],[Net Sales Revenue]]-Table5[[#This Row],[Cost of Sales]]</f>
        <v>9820.7999999999993</v>
      </c>
      <c r="V609" s="17">
        <f>Table5[[#This Row],[GrossProfit]]/Table5[[#This Row],[Net Sales Revenue]]</f>
        <v>0.36470588235294116</v>
      </c>
    </row>
    <row r="610" spans="1:22" ht="14.25" customHeight="1" x14ac:dyDescent="0.25">
      <c r="A610" s="1" t="s">
        <v>689</v>
      </c>
      <c r="B610" s="1" t="s">
        <v>666</v>
      </c>
      <c r="C610" s="1" t="s">
        <v>48</v>
      </c>
      <c r="D610" s="1" t="s">
        <v>23</v>
      </c>
      <c r="E610" s="1" t="s">
        <v>21</v>
      </c>
      <c r="F610" s="1">
        <v>2591</v>
      </c>
      <c r="G610" s="14">
        <v>30</v>
      </c>
      <c r="H610" s="1">
        <v>0.17</v>
      </c>
      <c r="I610" s="14">
        <v>64515.9</v>
      </c>
      <c r="J610" s="14">
        <v>39175.919999999998</v>
      </c>
      <c r="K610" s="15">
        <f>Table5[[#This Row],[Selling Price]]*Table5[[#This Row],[Units Sold]]</f>
        <v>77730</v>
      </c>
      <c r="L610" t="str">
        <f t="shared" si="9"/>
        <v>2024-02</v>
      </c>
      <c r="M610" t="str">
        <f>VLOOKUP(Table5[[#This Row],[Store ID]],Table4[[Store ID]:[Store Location]],2)</f>
        <v>London Stratford</v>
      </c>
      <c r="N610" t="str">
        <f>VLOOKUP(Table5[[#This Row],[Store ID]],Table4[[Store ID]:[Region]],3)</f>
        <v>South</v>
      </c>
      <c r="O610" t="str">
        <f>VLOOKUP(Table5[[#This Row],[Product ID]],'Product Master'!$A$2:$D$10,4)</f>
        <v>Supplier D</v>
      </c>
      <c r="P610" s="15">
        <f>Table5[[#This Row],[Total Revenue]]-Table5[[#This Row],[Net Sales Revenue]]</f>
        <v>13214.099999999999</v>
      </c>
      <c r="Q610" s="15">
        <f>Table5[[#This Row],[Net Sales Revenue]]/Table5[[#This Row],[Units Sold]]</f>
        <v>24.900000000000002</v>
      </c>
      <c r="R610">
        <f>VLOOKUP(Table5[[#This Row],[Product ID]],'Product Master'!$A$1:$E$10,5,FALSE)</f>
        <v>14</v>
      </c>
      <c r="S610" s="15">
        <f>Table5[[#This Row],[standard product cost per unit]]*Table5[[#This Row],[Units Sold]]</f>
        <v>36274</v>
      </c>
      <c r="T610" s="15">
        <f>Table5[[#This Row],[Cost of Sales]]-Table5[[#This Row],[Standard cost]]</f>
        <v>2901.9199999999983</v>
      </c>
      <c r="U610" s="15">
        <f>Table5[[#This Row],[Net Sales Revenue]]-Table5[[#This Row],[Cost of Sales]]</f>
        <v>25339.980000000003</v>
      </c>
      <c r="V610" s="17">
        <f>Table5[[#This Row],[GrossProfit]]/Table5[[#This Row],[Net Sales Revenue]]</f>
        <v>0.39277108433734942</v>
      </c>
    </row>
    <row r="611" spans="1:22" ht="14.25" customHeight="1" x14ac:dyDescent="0.25">
      <c r="A611" s="1" t="s">
        <v>690</v>
      </c>
      <c r="B611" s="1" t="s">
        <v>666</v>
      </c>
      <c r="C611" s="1" t="s">
        <v>48</v>
      </c>
      <c r="D611" s="1" t="s">
        <v>25</v>
      </c>
      <c r="E611" s="1" t="s">
        <v>27</v>
      </c>
      <c r="F611" s="1">
        <v>2371</v>
      </c>
      <c r="G611" s="14">
        <v>40</v>
      </c>
      <c r="H611" s="1">
        <v>0.13</v>
      </c>
      <c r="I611" s="14">
        <v>82510.8</v>
      </c>
      <c r="J611" s="14">
        <v>51213.599999999999</v>
      </c>
      <c r="K611" s="15">
        <f>Table5[[#This Row],[Selling Price]]*Table5[[#This Row],[Units Sold]]</f>
        <v>94840</v>
      </c>
      <c r="L611" t="str">
        <f t="shared" si="9"/>
        <v>2024-02</v>
      </c>
      <c r="M611" t="str">
        <f>VLOOKUP(Table5[[#This Row],[Store ID]],Table4[[Store ID]:[Store Location]],2)</f>
        <v>London Stratford</v>
      </c>
      <c r="N611" t="str">
        <f>VLOOKUP(Table5[[#This Row],[Store ID]],Table4[[Store ID]:[Region]],3)</f>
        <v>South</v>
      </c>
      <c r="O611" t="str">
        <f>VLOOKUP(Table5[[#This Row],[Product ID]],'Product Master'!$A$2:$D$10,4)</f>
        <v>Supplier E</v>
      </c>
      <c r="P611" s="15">
        <f>Table5[[#This Row],[Total Revenue]]-Table5[[#This Row],[Net Sales Revenue]]</f>
        <v>12329.199999999997</v>
      </c>
      <c r="Q611" s="15">
        <f>Table5[[#This Row],[Net Sales Revenue]]/Table5[[#This Row],[Units Sold]]</f>
        <v>34.800000000000004</v>
      </c>
      <c r="R611">
        <f>VLOOKUP(Table5[[#This Row],[Product ID]],'Product Master'!$A$1:$E$10,5,FALSE)</f>
        <v>20</v>
      </c>
      <c r="S611" s="15">
        <f>Table5[[#This Row],[standard product cost per unit]]*Table5[[#This Row],[Units Sold]]</f>
        <v>47420</v>
      </c>
      <c r="T611" s="15">
        <f>Table5[[#This Row],[Cost of Sales]]-Table5[[#This Row],[Standard cost]]</f>
        <v>3793.5999999999985</v>
      </c>
      <c r="U611" s="15">
        <f>Table5[[#This Row],[Net Sales Revenue]]-Table5[[#This Row],[Cost of Sales]]</f>
        <v>31297.200000000004</v>
      </c>
      <c r="V611" s="17">
        <f>Table5[[#This Row],[GrossProfit]]/Table5[[#This Row],[Net Sales Revenue]]</f>
        <v>0.37931034482758624</v>
      </c>
    </row>
    <row r="612" spans="1:22" ht="14.25" customHeight="1" x14ac:dyDescent="0.25">
      <c r="A612" s="1" t="s">
        <v>691</v>
      </c>
      <c r="B612" s="1" t="s">
        <v>666</v>
      </c>
      <c r="C612" s="1" t="s">
        <v>48</v>
      </c>
      <c r="D612" s="1" t="s">
        <v>29</v>
      </c>
      <c r="E612" s="1" t="s">
        <v>31</v>
      </c>
      <c r="F612" s="1">
        <v>1782</v>
      </c>
      <c r="G612" s="14">
        <v>10</v>
      </c>
      <c r="H612" s="1">
        <v>0.14000000000000001</v>
      </c>
      <c r="I612" s="14">
        <v>15325.2</v>
      </c>
      <c r="J612" s="14">
        <v>7698.24</v>
      </c>
      <c r="K612" s="15">
        <f>Table5[[#This Row],[Selling Price]]*Table5[[#This Row],[Units Sold]]</f>
        <v>17820</v>
      </c>
      <c r="L612" t="str">
        <f t="shared" si="9"/>
        <v>2024-02</v>
      </c>
      <c r="M612" t="str">
        <f>VLOOKUP(Table5[[#This Row],[Store ID]],Table4[[Store ID]:[Store Location]],2)</f>
        <v>London Stratford</v>
      </c>
      <c r="N612" t="str">
        <f>VLOOKUP(Table5[[#This Row],[Store ID]],Table4[[Store ID]:[Region]],3)</f>
        <v>South</v>
      </c>
      <c r="O612" t="str">
        <f>VLOOKUP(Table5[[#This Row],[Product ID]],'Product Master'!$A$2:$D$10,4)</f>
        <v>Supplier F</v>
      </c>
      <c r="P612" s="15">
        <f>Table5[[#This Row],[Total Revenue]]-Table5[[#This Row],[Net Sales Revenue]]</f>
        <v>2494.7999999999993</v>
      </c>
      <c r="Q612" s="15">
        <f>Table5[[#This Row],[Net Sales Revenue]]/Table5[[#This Row],[Units Sold]]</f>
        <v>8.6</v>
      </c>
      <c r="R612">
        <f>VLOOKUP(Table5[[#This Row],[Product ID]],'Product Master'!$A$1:$E$10,5,FALSE)</f>
        <v>4</v>
      </c>
      <c r="S612" s="15">
        <f>Table5[[#This Row],[standard product cost per unit]]*Table5[[#This Row],[Units Sold]]</f>
        <v>7128</v>
      </c>
      <c r="T612" s="15">
        <f>Table5[[#This Row],[Cost of Sales]]-Table5[[#This Row],[Standard cost]]</f>
        <v>570.23999999999978</v>
      </c>
      <c r="U612" s="15">
        <f>Table5[[#This Row],[Net Sales Revenue]]-Table5[[#This Row],[Cost of Sales]]</f>
        <v>7626.9600000000009</v>
      </c>
      <c r="V612" s="17">
        <f>Table5[[#This Row],[GrossProfit]]/Table5[[#This Row],[Net Sales Revenue]]</f>
        <v>0.49767441860465123</v>
      </c>
    </row>
    <row r="613" spans="1:22" ht="14.25" customHeight="1" x14ac:dyDescent="0.25">
      <c r="A613" s="1" t="s">
        <v>692</v>
      </c>
      <c r="B613" s="1" t="s">
        <v>666</v>
      </c>
      <c r="C613" s="1" t="s">
        <v>48</v>
      </c>
      <c r="D613" s="1" t="s">
        <v>33</v>
      </c>
      <c r="E613" s="1" t="s">
        <v>31</v>
      </c>
      <c r="F613" s="1">
        <v>2882</v>
      </c>
      <c r="G613" s="14">
        <v>22</v>
      </c>
      <c r="H613" s="1">
        <v>0.13</v>
      </c>
      <c r="I613" s="14">
        <v>55161.48</v>
      </c>
      <c r="J613" s="14">
        <v>31125.599999999999</v>
      </c>
      <c r="K613" s="15">
        <f>Table5[[#This Row],[Selling Price]]*Table5[[#This Row],[Units Sold]]</f>
        <v>63404</v>
      </c>
      <c r="L613" t="str">
        <f t="shared" si="9"/>
        <v>2024-02</v>
      </c>
      <c r="M613" t="str">
        <f>VLOOKUP(Table5[[#This Row],[Store ID]],Table4[[Store ID]:[Store Location]],2)</f>
        <v>London Stratford</v>
      </c>
      <c r="N613" t="str">
        <f>VLOOKUP(Table5[[#This Row],[Store ID]],Table4[[Store ID]:[Region]],3)</f>
        <v>South</v>
      </c>
      <c r="O613" t="str">
        <f>VLOOKUP(Table5[[#This Row],[Product ID]],'Product Master'!$A$2:$D$10,4)</f>
        <v>Supplier F</v>
      </c>
      <c r="P613" s="15">
        <f>Table5[[#This Row],[Total Revenue]]-Table5[[#This Row],[Net Sales Revenue]]</f>
        <v>8242.5199999999968</v>
      </c>
      <c r="Q613" s="15">
        <f>Table5[[#This Row],[Net Sales Revenue]]/Table5[[#This Row],[Units Sold]]</f>
        <v>19.14</v>
      </c>
      <c r="R613">
        <f>VLOOKUP(Table5[[#This Row],[Product ID]],'Product Master'!$A$1:$E$10,5,FALSE)</f>
        <v>10</v>
      </c>
      <c r="S613" s="15">
        <f>Table5[[#This Row],[standard product cost per unit]]*Table5[[#This Row],[Units Sold]]</f>
        <v>28820</v>
      </c>
      <c r="T613" s="15">
        <f>Table5[[#This Row],[Cost of Sales]]-Table5[[#This Row],[Standard cost]]</f>
        <v>2305.5999999999985</v>
      </c>
      <c r="U613" s="15">
        <f>Table5[[#This Row],[Net Sales Revenue]]-Table5[[#This Row],[Cost of Sales]]</f>
        <v>24035.880000000005</v>
      </c>
      <c r="V613" s="17">
        <f>Table5[[#This Row],[GrossProfit]]/Table5[[#This Row],[Net Sales Revenue]]</f>
        <v>0.43573667711598751</v>
      </c>
    </row>
    <row r="614" spans="1:22" ht="14.25" customHeight="1" x14ac:dyDescent="0.25">
      <c r="A614" s="1" t="s">
        <v>693</v>
      </c>
      <c r="B614" s="1" t="s">
        <v>666</v>
      </c>
      <c r="C614" s="1" t="s">
        <v>52</v>
      </c>
      <c r="D614" s="1" t="s">
        <v>6</v>
      </c>
      <c r="E614" s="1" t="s">
        <v>8</v>
      </c>
      <c r="F614" s="1">
        <v>1447</v>
      </c>
      <c r="G614" s="14">
        <v>24</v>
      </c>
      <c r="H614" s="1">
        <v>0.15</v>
      </c>
      <c r="I614" s="14">
        <v>29518.799999999999</v>
      </c>
      <c r="J614" s="14">
        <v>18753.12</v>
      </c>
      <c r="K614" s="15">
        <f>Table5[[#This Row],[Selling Price]]*Table5[[#This Row],[Units Sold]]</f>
        <v>34728</v>
      </c>
      <c r="L614" t="str">
        <f t="shared" si="9"/>
        <v>2024-02</v>
      </c>
      <c r="M614" t="str">
        <f>VLOOKUP(Table5[[#This Row],[Store ID]],Table4[[Store ID]:[Store Location]],2)</f>
        <v>Glasgow</v>
      </c>
      <c r="N614" t="str">
        <f>VLOOKUP(Table5[[#This Row],[Store ID]],Table4[[Store ID]:[Region]],3)</f>
        <v>Scotland</v>
      </c>
      <c r="O614" t="str">
        <f>VLOOKUP(Table5[[#This Row],[Product ID]],'Product Master'!$A$2:$D$10,4)</f>
        <v>Supplier A</v>
      </c>
      <c r="P614" s="15">
        <f>Table5[[#This Row],[Total Revenue]]-Table5[[#This Row],[Net Sales Revenue]]</f>
        <v>5209.2000000000007</v>
      </c>
      <c r="Q614" s="15">
        <f>Table5[[#This Row],[Net Sales Revenue]]/Table5[[#This Row],[Units Sold]]</f>
        <v>20.399999999999999</v>
      </c>
      <c r="R614">
        <f>VLOOKUP(Table5[[#This Row],[Product ID]],'Product Master'!$A$1:$E$10,5,FALSE)</f>
        <v>12</v>
      </c>
      <c r="S614" s="15">
        <f>Table5[[#This Row],[standard product cost per unit]]*Table5[[#This Row],[Units Sold]]</f>
        <v>17364</v>
      </c>
      <c r="T614" s="15">
        <f>Table5[[#This Row],[Cost of Sales]]-Table5[[#This Row],[Standard cost]]</f>
        <v>1389.119999999999</v>
      </c>
      <c r="U614" s="15">
        <f>Table5[[#This Row],[Net Sales Revenue]]-Table5[[#This Row],[Cost of Sales]]</f>
        <v>10765.68</v>
      </c>
      <c r="V614" s="17">
        <f>Table5[[#This Row],[GrossProfit]]/Table5[[#This Row],[Net Sales Revenue]]</f>
        <v>0.36470588235294121</v>
      </c>
    </row>
    <row r="615" spans="1:22" ht="14.25" customHeight="1" x14ac:dyDescent="0.25">
      <c r="A615" s="1" t="s">
        <v>694</v>
      </c>
      <c r="B615" s="1" t="s">
        <v>666</v>
      </c>
      <c r="C615" s="1" t="s">
        <v>52</v>
      </c>
      <c r="D615" s="1" t="s">
        <v>10</v>
      </c>
      <c r="E615" s="1" t="s">
        <v>8</v>
      </c>
      <c r="F615" s="1">
        <v>1364</v>
      </c>
      <c r="G615" s="14">
        <v>50</v>
      </c>
      <c r="H615" s="1">
        <v>0.14000000000000001</v>
      </c>
      <c r="I615" s="14">
        <v>58652</v>
      </c>
      <c r="J615" s="14">
        <v>41247.360000000001</v>
      </c>
      <c r="K615" s="15">
        <f>Table5[[#This Row],[Selling Price]]*Table5[[#This Row],[Units Sold]]</f>
        <v>68200</v>
      </c>
      <c r="L615" t="str">
        <f t="shared" si="9"/>
        <v>2024-02</v>
      </c>
      <c r="M615" t="str">
        <f>VLOOKUP(Table5[[#This Row],[Store ID]],Table4[[Store ID]:[Store Location]],2)</f>
        <v>Glasgow</v>
      </c>
      <c r="N615" t="str">
        <f>VLOOKUP(Table5[[#This Row],[Store ID]],Table4[[Store ID]:[Region]],3)</f>
        <v>Scotland</v>
      </c>
      <c r="O615" t="str">
        <f>VLOOKUP(Table5[[#This Row],[Product ID]],'Product Master'!$A$2:$D$10,4)</f>
        <v>Supplier B</v>
      </c>
      <c r="P615" s="15">
        <f>Table5[[#This Row],[Total Revenue]]-Table5[[#This Row],[Net Sales Revenue]]</f>
        <v>9548</v>
      </c>
      <c r="Q615" s="15">
        <f>Table5[[#This Row],[Net Sales Revenue]]/Table5[[#This Row],[Units Sold]]</f>
        <v>43</v>
      </c>
      <c r="R615">
        <f>VLOOKUP(Table5[[#This Row],[Product ID]],'Product Master'!$A$1:$E$10,5,FALSE)</f>
        <v>28</v>
      </c>
      <c r="S615" s="15">
        <f>Table5[[#This Row],[standard product cost per unit]]*Table5[[#This Row],[Units Sold]]</f>
        <v>38192</v>
      </c>
      <c r="T615" s="15">
        <f>Table5[[#This Row],[Cost of Sales]]-Table5[[#This Row],[Standard cost]]</f>
        <v>3055.3600000000006</v>
      </c>
      <c r="U615" s="15">
        <f>Table5[[#This Row],[Net Sales Revenue]]-Table5[[#This Row],[Cost of Sales]]</f>
        <v>17404.64</v>
      </c>
      <c r="V615" s="17">
        <f>Table5[[#This Row],[GrossProfit]]/Table5[[#This Row],[Net Sales Revenue]]</f>
        <v>0.29674418604651159</v>
      </c>
    </row>
    <row r="616" spans="1:22" ht="14.25" customHeight="1" x14ac:dyDescent="0.25">
      <c r="A616" s="1" t="s">
        <v>695</v>
      </c>
      <c r="B616" s="1" t="s">
        <v>666</v>
      </c>
      <c r="C616" s="1" t="s">
        <v>52</v>
      </c>
      <c r="D616" s="1" t="s">
        <v>13</v>
      </c>
      <c r="E616" s="1" t="s">
        <v>15</v>
      </c>
      <c r="F616" s="1">
        <v>1592</v>
      </c>
      <c r="G616" s="14">
        <v>28</v>
      </c>
      <c r="H616" s="1">
        <v>0.15</v>
      </c>
      <c r="I616" s="14">
        <v>37889.599999999999</v>
      </c>
      <c r="J616" s="14">
        <v>25790.400000000001</v>
      </c>
      <c r="K616" s="15">
        <f>Table5[[#This Row],[Selling Price]]*Table5[[#This Row],[Units Sold]]</f>
        <v>44576</v>
      </c>
      <c r="L616" t="str">
        <f t="shared" si="9"/>
        <v>2024-02</v>
      </c>
      <c r="M616" t="str">
        <f>VLOOKUP(Table5[[#This Row],[Store ID]],Table4[[Store ID]:[Store Location]],2)</f>
        <v>Glasgow</v>
      </c>
      <c r="N616" t="str">
        <f>VLOOKUP(Table5[[#This Row],[Store ID]],Table4[[Store ID]:[Region]],3)</f>
        <v>Scotland</v>
      </c>
      <c r="O616" t="str">
        <f>VLOOKUP(Table5[[#This Row],[Product ID]],'Product Master'!$A$2:$D$10,4)</f>
        <v>Supplier C</v>
      </c>
      <c r="P616" s="15">
        <f>Table5[[#This Row],[Total Revenue]]-Table5[[#This Row],[Net Sales Revenue]]</f>
        <v>6686.4000000000015</v>
      </c>
      <c r="Q616" s="15">
        <f>Table5[[#This Row],[Net Sales Revenue]]/Table5[[#This Row],[Units Sold]]</f>
        <v>23.8</v>
      </c>
      <c r="R616">
        <f>VLOOKUP(Table5[[#This Row],[Product ID]],'Product Master'!$A$1:$E$10,5,FALSE)</f>
        <v>15</v>
      </c>
      <c r="S616" s="15">
        <f>Table5[[#This Row],[standard product cost per unit]]*Table5[[#This Row],[Units Sold]]</f>
        <v>23880</v>
      </c>
      <c r="T616" s="15">
        <f>Table5[[#This Row],[Cost of Sales]]-Table5[[#This Row],[Standard cost]]</f>
        <v>1910.4000000000015</v>
      </c>
      <c r="U616" s="15">
        <f>Table5[[#This Row],[Net Sales Revenue]]-Table5[[#This Row],[Cost of Sales]]</f>
        <v>12099.199999999997</v>
      </c>
      <c r="V616" s="17">
        <f>Table5[[#This Row],[GrossProfit]]/Table5[[#This Row],[Net Sales Revenue]]</f>
        <v>0.3193277310924369</v>
      </c>
    </row>
    <row r="617" spans="1:22" ht="14.25" customHeight="1" x14ac:dyDescent="0.25">
      <c r="A617" s="1" t="s">
        <v>696</v>
      </c>
      <c r="B617" s="1" t="s">
        <v>666</v>
      </c>
      <c r="C617" s="1" t="s">
        <v>52</v>
      </c>
      <c r="D617" s="1" t="s">
        <v>17</v>
      </c>
      <c r="E617" s="1" t="s">
        <v>15</v>
      </c>
      <c r="F617" s="1">
        <v>2406</v>
      </c>
      <c r="G617" s="14">
        <v>35</v>
      </c>
      <c r="H617" s="1">
        <v>0.14000000000000001</v>
      </c>
      <c r="I617" s="14">
        <v>72420.600000000006</v>
      </c>
      <c r="J617" s="14">
        <v>46772.639999999999</v>
      </c>
      <c r="K617" s="15">
        <f>Table5[[#This Row],[Selling Price]]*Table5[[#This Row],[Units Sold]]</f>
        <v>84210</v>
      </c>
      <c r="L617" t="str">
        <f t="shared" si="9"/>
        <v>2024-02</v>
      </c>
      <c r="M617" t="str">
        <f>VLOOKUP(Table5[[#This Row],[Store ID]],Table4[[Store ID]:[Store Location]],2)</f>
        <v>Glasgow</v>
      </c>
      <c r="N617" t="str">
        <f>VLOOKUP(Table5[[#This Row],[Store ID]],Table4[[Store ID]:[Region]],3)</f>
        <v>Scotland</v>
      </c>
      <c r="O617" t="str">
        <f>VLOOKUP(Table5[[#This Row],[Product ID]],'Product Master'!$A$2:$D$10,4)</f>
        <v>Supplier C</v>
      </c>
      <c r="P617" s="15">
        <f>Table5[[#This Row],[Total Revenue]]-Table5[[#This Row],[Net Sales Revenue]]</f>
        <v>11789.399999999994</v>
      </c>
      <c r="Q617" s="15">
        <f>Table5[[#This Row],[Net Sales Revenue]]/Table5[[#This Row],[Units Sold]]</f>
        <v>30.1</v>
      </c>
      <c r="R617">
        <f>VLOOKUP(Table5[[#This Row],[Product ID]],'Product Master'!$A$1:$E$10,5,FALSE)</f>
        <v>18</v>
      </c>
      <c r="S617" s="15">
        <f>Table5[[#This Row],[standard product cost per unit]]*Table5[[#This Row],[Units Sold]]</f>
        <v>43308</v>
      </c>
      <c r="T617" s="15">
        <f>Table5[[#This Row],[Cost of Sales]]-Table5[[#This Row],[Standard cost]]</f>
        <v>3464.6399999999994</v>
      </c>
      <c r="U617" s="15">
        <f>Table5[[#This Row],[Net Sales Revenue]]-Table5[[#This Row],[Cost of Sales]]</f>
        <v>25647.960000000006</v>
      </c>
      <c r="V617" s="17">
        <f>Table5[[#This Row],[GrossProfit]]/Table5[[#This Row],[Net Sales Revenue]]</f>
        <v>0.35415282392026581</v>
      </c>
    </row>
    <row r="618" spans="1:22" ht="14.25" customHeight="1" x14ac:dyDescent="0.25">
      <c r="A618" s="1" t="s">
        <v>697</v>
      </c>
      <c r="B618" s="1" t="s">
        <v>666</v>
      </c>
      <c r="C618" s="1" t="s">
        <v>52</v>
      </c>
      <c r="D618" s="1" t="s">
        <v>19</v>
      </c>
      <c r="E618" s="1" t="s">
        <v>21</v>
      </c>
      <c r="F618" s="1">
        <v>1610</v>
      </c>
      <c r="G618" s="14">
        <v>18</v>
      </c>
      <c r="H618" s="1">
        <v>0.13</v>
      </c>
      <c r="I618" s="14">
        <v>25212.6</v>
      </c>
      <c r="J618" s="14">
        <v>15649.2</v>
      </c>
      <c r="K618" s="15">
        <f>Table5[[#This Row],[Selling Price]]*Table5[[#This Row],[Units Sold]]</f>
        <v>28980</v>
      </c>
      <c r="L618" t="str">
        <f t="shared" si="9"/>
        <v>2024-02</v>
      </c>
      <c r="M618" t="str">
        <f>VLOOKUP(Table5[[#This Row],[Store ID]],Table4[[Store ID]:[Store Location]],2)</f>
        <v>Glasgow</v>
      </c>
      <c r="N618" t="str">
        <f>VLOOKUP(Table5[[#This Row],[Store ID]],Table4[[Store ID]:[Region]],3)</f>
        <v>Scotland</v>
      </c>
      <c r="O618" t="str">
        <f>VLOOKUP(Table5[[#This Row],[Product ID]],'Product Master'!$A$2:$D$10,4)</f>
        <v>Supplier D</v>
      </c>
      <c r="P618" s="15">
        <f>Table5[[#This Row],[Total Revenue]]-Table5[[#This Row],[Net Sales Revenue]]</f>
        <v>3767.4000000000015</v>
      </c>
      <c r="Q618" s="15">
        <f>Table5[[#This Row],[Net Sales Revenue]]/Table5[[#This Row],[Units Sold]]</f>
        <v>15.659999999999998</v>
      </c>
      <c r="R618">
        <f>VLOOKUP(Table5[[#This Row],[Product ID]],'Product Master'!$A$1:$E$10,5,FALSE)</f>
        <v>9</v>
      </c>
      <c r="S618" s="15">
        <f>Table5[[#This Row],[standard product cost per unit]]*Table5[[#This Row],[Units Sold]]</f>
        <v>14490</v>
      </c>
      <c r="T618" s="15">
        <f>Table5[[#This Row],[Cost of Sales]]-Table5[[#This Row],[Standard cost]]</f>
        <v>1159.2000000000007</v>
      </c>
      <c r="U618" s="15">
        <f>Table5[[#This Row],[Net Sales Revenue]]-Table5[[#This Row],[Cost of Sales]]</f>
        <v>9563.3999999999978</v>
      </c>
      <c r="V618" s="17">
        <f>Table5[[#This Row],[GrossProfit]]/Table5[[#This Row],[Net Sales Revenue]]</f>
        <v>0.37931034482758613</v>
      </c>
    </row>
    <row r="619" spans="1:22" ht="14.25" customHeight="1" x14ac:dyDescent="0.25">
      <c r="A619" s="1" t="s">
        <v>698</v>
      </c>
      <c r="B619" s="1" t="s">
        <v>666</v>
      </c>
      <c r="C619" s="1" t="s">
        <v>52</v>
      </c>
      <c r="D619" s="1" t="s">
        <v>23</v>
      </c>
      <c r="E619" s="1" t="s">
        <v>21</v>
      </c>
      <c r="F619" s="1">
        <v>2763</v>
      </c>
      <c r="G619" s="14">
        <v>30</v>
      </c>
      <c r="H619" s="1">
        <v>0.16</v>
      </c>
      <c r="I619" s="14">
        <v>69627.600000000006</v>
      </c>
      <c r="J619" s="14">
        <v>41776.559999999998</v>
      </c>
      <c r="K619" s="15">
        <f>Table5[[#This Row],[Selling Price]]*Table5[[#This Row],[Units Sold]]</f>
        <v>82890</v>
      </c>
      <c r="L619" t="str">
        <f t="shared" si="9"/>
        <v>2024-02</v>
      </c>
      <c r="M619" t="str">
        <f>VLOOKUP(Table5[[#This Row],[Store ID]],Table4[[Store ID]:[Store Location]],2)</f>
        <v>Glasgow</v>
      </c>
      <c r="N619" t="str">
        <f>VLOOKUP(Table5[[#This Row],[Store ID]],Table4[[Store ID]:[Region]],3)</f>
        <v>Scotland</v>
      </c>
      <c r="O619" t="str">
        <f>VLOOKUP(Table5[[#This Row],[Product ID]],'Product Master'!$A$2:$D$10,4)</f>
        <v>Supplier D</v>
      </c>
      <c r="P619" s="15">
        <f>Table5[[#This Row],[Total Revenue]]-Table5[[#This Row],[Net Sales Revenue]]</f>
        <v>13262.399999999994</v>
      </c>
      <c r="Q619" s="15">
        <f>Table5[[#This Row],[Net Sales Revenue]]/Table5[[#This Row],[Units Sold]]</f>
        <v>25.200000000000003</v>
      </c>
      <c r="R619">
        <f>VLOOKUP(Table5[[#This Row],[Product ID]],'Product Master'!$A$1:$E$10,5,FALSE)</f>
        <v>14</v>
      </c>
      <c r="S619" s="15">
        <f>Table5[[#This Row],[standard product cost per unit]]*Table5[[#This Row],[Units Sold]]</f>
        <v>38682</v>
      </c>
      <c r="T619" s="15">
        <f>Table5[[#This Row],[Cost of Sales]]-Table5[[#This Row],[Standard cost]]</f>
        <v>3094.5599999999977</v>
      </c>
      <c r="U619" s="15">
        <f>Table5[[#This Row],[Net Sales Revenue]]-Table5[[#This Row],[Cost of Sales]]</f>
        <v>27851.040000000008</v>
      </c>
      <c r="V619" s="17">
        <f>Table5[[#This Row],[GrossProfit]]/Table5[[#This Row],[Net Sales Revenue]]</f>
        <v>0.40000000000000008</v>
      </c>
    </row>
    <row r="620" spans="1:22" ht="14.25" customHeight="1" x14ac:dyDescent="0.25">
      <c r="A620" s="1" t="s">
        <v>699</v>
      </c>
      <c r="B620" s="1" t="s">
        <v>666</v>
      </c>
      <c r="C620" s="1" t="s">
        <v>52</v>
      </c>
      <c r="D620" s="1" t="s">
        <v>25</v>
      </c>
      <c r="E620" s="1" t="s">
        <v>27</v>
      </c>
      <c r="F620" s="1">
        <v>2072</v>
      </c>
      <c r="G620" s="14">
        <v>40</v>
      </c>
      <c r="H620" s="1">
        <v>0.14000000000000001</v>
      </c>
      <c r="I620" s="14">
        <v>71276.800000000003</v>
      </c>
      <c r="J620" s="14">
        <v>44755.199999999997</v>
      </c>
      <c r="K620" s="15">
        <f>Table5[[#This Row],[Selling Price]]*Table5[[#This Row],[Units Sold]]</f>
        <v>82880</v>
      </c>
      <c r="L620" t="str">
        <f t="shared" si="9"/>
        <v>2024-02</v>
      </c>
      <c r="M620" t="str">
        <f>VLOOKUP(Table5[[#This Row],[Store ID]],Table4[[Store ID]:[Store Location]],2)</f>
        <v>Glasgow</v>
      </c>
      <c r="N620" t="str">
        <f>VLOOKUP(Table5[[#This Row],[Store ID]],Table4[[Store ID]:[Region]],3)</f>
        <v>Scotland</v>
      </c>
      <c r="O620" t="str">
        <f>VLOOKUP(Table5[[#This Row],[Product ID]],'Product Master'!$A$2:$D$10,4)</f>
        <v>Supplier E</v>
      </c>
      <c r="P620" s="15">
        <f>Table5[[#This Row],[Total Revenue]]-Table5[[#This Row],[Net Sales Revenue]]</f>
        <v>11603.199999999997</v>
      </c>
      <c r="Q620" s="15">
        <f>Table5[[#This Row],[Net Sales Revenue]]/Table5[[#This Row],[Units Sold]]</f>
        <v>34.4</v>
      </c>
      <c r="R620">
        <f>VLOOKUP(Table5[[#This Row],[Product ID]],'Product Master'!$A$1:$E$10,5,FALSE)</f>
        <v>20</v>
      </c>
      <c r="S620" s="15">
        <f>Table5[[#This Row],[standard product cost per unit]]*Table5[[#This Row],[Units Sold]]</f>
        <v>41440</v>
      </c>
      <c r="T620" s="15">
        <f>Table5[[#This Row],[Cost of Sales]]-Table5[[#This Row],[Standard cost]]</f>
        <v>3315.1999999999971</v>
      </c>
      <c r="U620" s="15">
        <f>Table5[[#This Row],[Net Sales Revenue]]-Table5[[#This Row],[Cost of Sales]]</f>
        <v>26521.600000000006</v>
      </c>
      <c r="V620" s="17">
        <f>Table5[[#This Row],[GrossProfit]]/Table5[[#This Row],[Net Sales Revenue]]</f>
        <v>0.372093023255814</v>
      </c>
    </row>
    <row r="621" spans="1:22" ht="14.25" customHeight="1" x14ac:dyDescent="0.25">
      <c r="A621" s="1" t="s">
        <v>700</v>
      </c>
      <c r="B621" s="1" t="s">
        <v>666</v>
      </c>
      <c r="C621" s="1" t="s">
        <v>52</v>
      </c>
      <c r="D621" s="1" t="s">
        <v>29</v>
      </c>
      <c r="E621" s="1" t="s">
        <v>31</v>
      </c>
      <c r="F621" s="1">
        <v>2978</v>
      </c>
      <c r="G621" s="14">
        <v>10</v>
      </c>
      <c r="H621" s="1">
        <v>0.13</v>
      </c>
      <c r="I621" s="14">
        <v>25908.6</v>
      </c>
      <c r="J621" s="14">
        <v>12864.96</v>
      </c>
      <c r="K621" s="15">
        <f>Table5[[#This Row],[Selling Price]]*Table5[[#This Row],[Units Sold]]</f>
        <v>29780</v>
      </c>
      <c r="L621" t="str">
        <f t="shared" si="9"/>
        <v>2024-02</v>
      </c>
      <c r="M621" t="str">
        <f>VLOOKUP(Table5[[#This Row],[Store ID]],Table4[[Store ID]:[Store Location]],2)</f>
        <v>Glasgow</v>
      </c>
      <c r="N621" t="str">
        <f>VLOOKUP(Table5[[#This Row],[Store ID]],Table4[[Store ID]:[Region]],3)</f>
        <v>Scotland</v>
      </c>
      <c r="O621" t="str">
        <f>VLOOKUP(Table5[[#This Row],[Product ID]],'Product Master'!$A$2:$D$10,4)</f>
        <v>Supplier F</v>
      </c>
      <c r="P621" s="15">
        <f>Table5[[#This Row],[Total Revenue]]-Table5[[#This Row],[Net Sales Revenue]]</f>
        <v>3871.4000000000015</v>
      </c>
      <c r="Q621" s="15">
        <f>Table5[[#This Row],[Net Sales Revenue]]/Table5[[#This Row],[Units Sold]]</f>
        <v>8.6999999999999993</v>
      </c>
      <c r="R621">
        <f>VLOOKUP(Table5[[#This Row],[Product ID]],'Product Master'!$A$1:$E$10,5,FALSE)</f>
        <v>4</v>
      </c>
      <c r="S621" s="15">
        <f>Table5[[#This Row],[standard product cost per unit]]*Table5[[#This Row],[Units Sold]]</f>
        <v>11912</v>
      </c>
      <c r="T621" s="15">
        <f>Table5[[#This Row],[Cost of Sales]]-Table5[[#This Row],[Standard cost]]</f>
        <v>952.95999999999913</v>
      </c>
      <c r="U621" s="15">
        <f>Table5[[#This Row],[Net Sales Revenue]]-Table5[[#This Row],[Cost of Sales]]</f>
        <v>13043.64</v>
      </c>
      <c r="V621" s="17">
        <f>Table5[[#This Row],[GrossProfit]]/Table5[[#This Row],[Net Sales Revenue]]</f>
        <v>0.50344827586206897</v>
      </c>
    </row>
    <row r="622" spans="1:22" ht="14.25" customHeight="1" x14ac:dyDescent="0.25">
      <c r="A622" s="1" t="s">
        <v>701</v>
      </c>
      <c r="B622" s="1" t="s">
        <v>666</v>
      </c>
      <c r="C622" s="1" t="s">
        <v>52</v>
      </c>
      <c r="D622" s="1" t="s">
        <v>33</v>
      </c>
      <c r="E622" s="1" t="s">
        <v>31</v>
      </c>
      <c r="F622" s="1">
        <v>2120</v>
      </c>
      <c r="G622" s="14">
        <v>22</v>
      </c>
      <c r="H622" s="1">
        <v>0.12</v>
      </c>
      <c r="I622" s="14">
        <v>41043.199999999997</v>
      </c>
      <c r="J622" s="14">
        <v>22896</v>
      </c>
      <c r="K622" s="15">
        <f>Table5[[#This Row],[Selling Price]]*Table5[[#This Row],[Units Sold]]</f>
        <v>46640</v>
      </c>
      <c r="L622" t="str">
        <f t="shared" si="9"/>
        <v>2024-02</v>
      </c>
      <c r="M622" t="str">
        <f>VLOOKUP(Table5[[#This Row],[Store ID]],Table4[[Store ID]:[Store Location]],2)</f>
        <v>Glasgow</v>
      </c>
      <c r="N622" t="str">
        <f>VLOOKUP(Table5[[#This Row],[Store ID]],Table4[[Store ID]:[Region]],3)</f>
        <v>Scotland</v>
      </c>
      <c r="O622" t="str">
        <f>VLOOKUP(Table5[[#This Row],[Product ID]],'Product Master'!$A$2:$D$10,4)</f>
        <v>Supplier F</v>
      </c>
      <c r="P622" s="15">
        <f>Table5[[#This Row],[Total Revenue]]-Table5[[#This Row],[Net Sales Revenue]]</f>
        <v>5596.8000000000029</v>
      </c>
      <c r="Q622" s="15">
        <f>Table5[[#This Row],[Net Sales Revenue]]/Table5[[#This Row],[Units Sold]]</f>
        <v>19.36</v>
      </c>
      <c r="R622">
        <f>VLOOKUP(Table5[[#This Row],[Product ID]],'Product Master'!$A$1:$E$10,5,FALSE)</f>
        <v>10</v>
      </c>
      <c r="S622" s="15">
        <f>Table5[[#This Row],[standard product cost per unit]]*Table5[[#This Row],[Units Sold]]</f>
        <v>21200</v>
      </c>
      <c r="T622" s="15">
        <f>Table5[[#This Row],[Cost of Sales]]-Table5[[#This Row],[Standard cost]]</f>
        <v>1696</v>
      </c>
      <c r="U622" s="15">
        <f>Table5[[#This Row],[Net Sales Revenue]]-Table5[[#This Row],[Cost of Sales]]</f>
        <v>18147.199999999997</v>
      </c>
      <c r="V622" s="17">
        <f>Table5[[#This Row],[GrossProfit]]/Table5[[#This Row],[Net Sales Revenue]]</f>
        <v>0.44214876033057848</v>
      </c>
    </row>
    <row r="623" spans="1:22" ht="14.25" customHeight="1" x14ac:dyDescent="0.25">
      <c r="A623" s="1" t="s">
        <v>702</v>
      </c>
      <c r="B623" s="1" t="s">
        <v>666</v>
      </c>
      <c r="C623" s="1" t="s">
        <v>56</v>
      </c>
      <c r="D623" s="1" t="s">
        <v>6</v>
      </c>
      <c r="E623" s="1" t="s">
        <v>8</v>
      </c>
      <c r="F623" s="1">
        <v>2816</v>
      </c>
      <c r="G623" s="14">
        <v>24</v>
      </c>
      <c r="H623" s="1">
        <v>0.13</v>
      </c>
      <c r="I623" s="14">
        <v>58798.080000000002</v>
      </c>
      <c r="J623" s="14">
        <v>36495.360000000001</v>
      </c>
      <c r="K623" s="15">
        <f>Table5[[#This Row],[Selling Price]]*Table5[[#This Row],[Units Sold]]</f>
        <v>67584</v>
      </c>
      <c r="L623" t="str">
        <f t="shared" si="9"/>
        <v>2024-02</v>
      </c>
      <c r="M623" t="str">
        <f>VLOOKUP(Table5[[#This Row],[Store ID]],Table4[[Store ID]:[Store Location]],2)</f>
        <v>Leeds</v>
      </c>
      <c r="N623" t="str">
        <f>VLOOKUP(Table5[[#This Row],[Store ID]],Table4[[Store ID]:[Region]],3)</f>
        <v>North</v>
      </c>
      <c r="O623" t="str">
        <f>VLOOKUP(Table5[[#This Row],[Product ID]],'Product Master'!$A$2:$D$10,4)</f>
        <v>Supplier A</v>
      </c>
      <c r="P623" s="15">
        <f>Table5[[#This Row],[Total Revenue]]-Table5[[#This Row],[Net Sales Revenue]]</f>
        <v>8785.9199999999983</v>
      </c>
      <c r="Q623" s="15">
        <f>Table5[[#This Row],[Net Sales Revenue]]/Table5[[#This Row],[Units Sold]]</f>
        <v>20.88</v>
      </c>
      <c r="R623">
        <f>VLOOKUP(Table5[[#This Row],[Product ID]],'Product Master'!$A$1:$E$10,5,FALSE)</f>
        <v>12</v>
      </c>
      <c r="S623" s="15">
        <f>Table5[[#This Row],[standard product cost per unit]]*Table5[[#This Row],[Units Sold]]</f>
        <v>33792</v>
      </c>
      <c r="T623" s="15">
        <f>Table5[[#This Row],[Cost of Sales]]-Table5[[#This Row],[Standard cost]]</f>
        <v>2703.3600000000006</v>
      </c>
      <c r="U623" s="15">
        <f>Table5[[#This Row],[Net Sales Revenue]]-Table5[[#This Row],[Cost of Sales]]</f>
        <v>22302.720000000001</v>
      </c>
      <c r="V623" s="17">
        <f>Table5[[#This Row],[GrossProfit]]/Table5[[#This Row],[Net Sales Revenue]]</f>
        <v>0.37931034482758619</v>
      </c>
    </row>
    <row r="624" spans="1:22" ht="14.25" customHeight="1" x14ac:dyDescent="0.25">
      <c r="A624" s="1" t="s">
        <v>703</v>
      </c>
      <c r="B624" s="1" t="s">
        <v>666</v>
      </c>
      <c r="C624" s="1" t="s">
        <v>56</v>
      </c>
      <c r="D624" s="1" t="s">
        <v>10</v>
      </c>
      <c r="E624" s="1" t="s">
        <v>8</v>
      </c>
      <c r="F624" s="1">
        <v>2582</v>
      </c>
      <c r="G624" s="14">
        <v>50</v>
      </c>
      <c r="H624" s="1">
        <v>0.16</v>
      </c>
      <c r="I624" s="14">
        <v>108444</v>
      </c>
      <c r="J624" s="14">
        <v>78079.679999999993</v>
      </c>
      <c r="K624" s="15">
        <f>Table5[[#This Row],[Selling Price]]*Table5[[#This Row],[Units Sold]]</f>
        <v>129100</v>
      </c>
      <c r="L624" t="str">
        <f t="shared" si="9"/>
        <v>2024-02</v>
      </c>
      <c r="M624" t="str">
        <f>VLOOKUP(Table5[[#This Row],[Store ID]],Table4[[Store ID]:[Store Location]],2)</f>
        <v>Leeds</v>
      </c>
      <c r="N624" t="str">
        <f>VLOOKUP(Table5[[#This Row],[Store ID]],Table4[[Store ID]:[Region]],3)</f>
        <v>North</v>
      </c>
      <c r="O624" t="str">
        <f>VLOOKUP(Table5[[#This Row],[Product ID]],'Product Master'!$A$2:$D$10,4)</f>
        <v>Supplier B</v>
      </c>
      <c r="P624" s="15">
        <f>Table5[[#This Row],[Total Revenue]]-Table5[[#This Row],[Net Sales Revenue]]</f>
        <v>20656</v>
      </c>
      <c r="Q624" s="15">
        <f>Table5[[#This Row],[Net Sales Revenue]]/Table5[[#This Row],[Units Sold]]</f>
        <v>42</v>
      </c>
      <c r="R624">
        <f>VLOOKUP(Table5[[#This Row],[Product ID]],'Product Master'!$A$1:$E$10,5,FALSE)</f>
        <v>28</v>
      </c>
      <c r="S624" s="15">
        <f>Table5[[#This Row],[standard product cost per unit]]*Table5[[#This Row],[Units Sold]]</f>
        <v>72296</v>
      </c>
      <c r="T624" s="15">
        <f>Table5[[#This Row],[Cost of Sales]]-Table5[[#This Row],[Standard cost]]</f>
        <v>5783.679999999993</v>
      </c>
      <c r="U624" s="15">
        <f>Table5[[#This Row],[Net Sales Revenue]]-Table5[[#This Row],[Cost of Sales]]</f>
        <v>30364.320000000007</v>
      </c>
      <c r="V624" s="17">
        <f>Table5[[#This Row],[GrossProfit]]/Table5[[#This Row],[Net Sales Revenue]]</f>
        <v>0.28000000000000008</v>
      </c>
    </row>
    <row r="625" spans="1:22" ht="14.25" customHeight="1" x14ac:dyDescent="0.25">
      <c r="A625" s="1" t="s">
        <v>704</v>
      </c>
      <c r="B625" s="1" t="s">
        <v>666</v>
      </c>
      <c r="C625" s="1" t="s">
        <v>56</v>
      </c>
      <c r="D625" s="1" t="s">
        <v>13</v>
      </c>
      <c r="E625" s="1" t="s">
        <v>15</v>
      </c>
      <c r="F625" s="1">
        <v>1799</v>
      </c>
      <c r="G625" s="14">
        <v>28</v>
      </c>
      <c r="H625" s="1">
        <v>0.14000000000000001</v>
      </c>
      <c r="I625" s="14">
        <v>43319.92</v>
      </c>
      <c r="J625" s="14">
        <v>29143.8</v>
      </c>
      <c r="K625" s="15">
        <f>Table5[[#This Row],[Selling Price]]*Table5[[#This Row],[Units Sold]]</f>
        <v>50372</v>
      </c>
      <c r="L625" t="str">
        <f t="shared" si="9"/>
        <v>2024-02</v>
      </c>
      <c r="M625" t="str">
        <f>VLOOKUP(Table5[[#This Row],[Store ID]],Table4[[Store ID]:[Store Location]],2)</f>
        <v>Leeds</v>
      </c>
      <c r="N625" t="str">
        <f>VLOOKUP(Table5[[#This Row],[Store ID]],Table4[[Store ID]:[Region]],3)</f>
        <v>North</v>
      </c>
      <c r="O625" t="str">
        <f>VLOOKUP(Table5[[#This Row],[Product ID]],'Product Master'!$A$2:$D$10,4)</f>
        <v>Supplier C</v>
      </c>
      <c r="P625" s="15">
        <f>Table5[[#This Row],[Total Revenue]]-Table5[[#This Row],[Net Sales Revenue]]</f>
        <v>7052.0800000000017</v>
      </c>
      <c r="Q625" s="15">
        <f>Table5[[#This Row],[Net Sales Revenue]]/Table5[[#This Row],[Units Sold]]</f>
        <v>24.08</v>
      </c>
      <c r="R625">
        <f>VLOOKUP(Table5[[#This Row],[Product ID]],'Product Master'!$A$1:$E$10,5,FALSE)</f>
        <v>15</v>
      </c>
      <c r="S625" s="15">
        <f>Table5[[#This Row],[standard product cost per unit]]*Table5[[#This Row],[Units Sold]]</f>
        <v>26985</v>
      </c>
      <c r="T625" s="15">
        <f>Table5[[#This Row],[Cost of Sales]]-Table5[[#This Row],[Standard cost]]</f>
        <v>2158.7999999999993</v>
      </c>
      <c r="U625" s="15">
        <f>Table5[[#This Row],[Net Sales Revenue]]-Table5[[#This Row],[Cost of Sales]]</f>
        <v>14176.119999999999</v>
      </c>
      <c r="V625" s="17">
        <f>Table5[[#This Row],[GrossProfit]]/Table5[[#This Row],[Net Sales Revenue]]</f>
        <v>0.3272425249169435</v>
      </c>
    </row>
    <row r="626" spans="1:22" ht="14.25" customHeight="1" x14ac:dyDescent="0.25">
      <c r="A626" s="1" t="s">
        <v>705</v>
      </c>
      <c r="B626" s="1" t="s">
        <v>666</v>
      </c>
      <c r="C626" s="1" t="s">
        <v>56</v>
      </c>
      <c r="D626" s="1" t="s">
        <v>17</v>
      </c>
      <c r="E626" s="1" t="s">
        <v>15</v>
      </c>
      <c r="F626" s="1">
        <v>2965</v>
      </c>
      <c r="G626" s="14">
        <v>35</v>
      </c>
      <c r="H626" s="1">
        <v>0.13</v>
      </c>
      <c r="I626" s="14">
        <v>90284.25</v>
      </c>
      <c r="J626" s="14">
        <v>57639.6</v>
      </c>
      <c r="K626" s="15">
        <f>Table5[[#This Row],[Selling Price]]*Table5[[#This Row],[Units Sold]]</f>
        <v>103775</v>
      </c>
      <c r="L626" t="str">
        <f t="shared" si="9"/>
        <v>2024-02</v>
      </c>
      <c r="M626" t="str">
        <f>VLOOKUP(Table5[[#This Row],[Store ID]],Table4[[Store ID]:[Store Location]],2)</f>
        <v>Leeds</v>
      </c>
      <c r="N626" t="str">
        <f>VLOOKUP(Table5[[#This Row],[Store ID]],Table4[[Store ID]:[Region]],3)</f>
        <v>North</v>
      </c>
      <c r="O626" t="str">
        <f>VLOOKUP(Table5[[#This Row],[Product ID]],'Product Master'!$A$2:$D$10,4)</f>
        <v>Supplier C</v>
      </c>
      <c r="P626" s="15">
        <f>Table5[[#This Row],[Total Revenue]]-Table5[[#This Row],[Net Sales Revenue]]</f>
        <v>13490.75</v>
      </c>
      <c r="Q626" s="15">
        <f>Table5[[#This Row],[Net Sales Revenue]]/Table5[[#This Row],[Units Sold]]</f>
        <v>30.45</v>
      </c>
      <c r="R626">
        <f>VLOOKUP(Table5[[#This Row],[Product ID]],'Product Master'!$A$1:$E$10,5,FALSE)</f>
        <v>18</v>
      </c>
      <c r="S626" s="15">
        <f>Table5[[#This Row],[standard product cost per unit]]*Table5[[#This Row],[Units Sold]]</f>
        <v>53370</v>
      </c>
      <c r="T626" s="15">
        <f>Table5[[#This Row],[Cost of Sales]]-Table5[[#This Row],[Standard cost]]</f>
        <v>4269.5999999999985</v>
      </c>
      <c r="U626" s="15">
        <f>Table5[[#This Row],[Net Sales Revenue]]-Table5[[#This Row],[Cost of Sales]]</f>
        <v>32644.65</v>
      </c>
      <c r="V626" s="17">
        <f>Table5[[#This Row],[GrossProfit]]/Table5[[#This Row],[Net Sales Revenue]]</f>
        <v>0.36157635467980298</v>
      </c>
    </row>
    <row r="627" spans="1:22" ht="14.25" customHeight="1" x14ac:dyDescent="0.25">
      <c r="A627" s="1" t="s">
        <v>706</v>
      </c>
      <c r="B627" s="1" t="s">
        <v>666</v>
      </c>
      <c r="C627" s="1" t="s">
        <v>56</v>
      </c>
      <c r="D627" s="1" t="s">
        <v>19</v>
      </c>
      <c r="E627" s="1" t="s">
        <v>21</v>
      </c>
      <c r="F627" s="1">
        <v>1509</v>
      </c>
      <c r="G627" s="14">
        <v>18</v>
      </c>
      <c r="H627" s="1">
        <v>0.17</v>
      </c>
      <c r="I627" s="14">
        <v>22544.46</v>
      </c>
      <c r="J627" s="14">
        <v>14667.48</v>
      </c>
      <c r="K627" s="15">
        <f>Table5[[#This Row],[Selling Price]]*Table5[[#This Row],[Units Sold]]</f>
        <v>27162</v>
      </c>
      <c r="L627" t="str">
        <f t="shared" si="9"/>
        <v>2024-02</v>
      </c>
      <c r="M627" t="str">
        <f>VLOOKUP(Table5[[#This Row],[Store ID]],Table4[[Store ID]:[Store Location]],2)</f>
        <v>Leeds</v>
      </c>
      <c r="N627" t="str">
        <f>VLOOKUP(Table5[[#This Row],[Store ID]],Table4[[Store ID]:[Region]],3)</f>
        <v>North</v>
      </c>
      <c r="O627" t="str">
        <f>VLOOKUP(Table5[[#This Row],[Product ID]],'Product Master'!$A$2:$D$10,4)</f>
        <v>Supplier D</v>
      </c>
      <c r="P627" s="15">
        <f>Table5[[#This Row],[Total Revenue]]-Table5[[#This Row],[Net Sales Revenue]]</f>
        <v>4617.5400000000009</v>
      </c>
      <c r="Q627" s="15">
        <f>Table5[[#This Row],[Net Sales Revenue]]/Table5[[#This Row],[Units Sold]]</f>
        <v>14.94</v>
      </c>
      <c r="R627">
        <f>VLOOKUP(Table5[[#This Row],[Product ID]],'Product Master'!$A$1:$E$10,5,FALSE)</f>
        <v>9</v>
      </c>
      <c r="S627" s="15">
        <f>Table5[[#This Row],[standard product cost per unit]]*Table5[[#This Row],[Units Sold]]</f>
        <v>13581</v>
      </c>
      <c r="T627" s="15">
        <f>Table5[[#This Row],[Cost of Sales]]-Table5[[#This Row],[Standard cost]]</f>
        <v>1086.4799999999996</v>
      </c>
      <c r="U627" s="15">
        <f>Table5[[#This Row],[Net Sales Revenue]]-Table5[[#This Row],[Cost of Sales]]</f>
        <v>7876.98</v>
      </c>
      <c r="V627" s="17">
        <f>Table5[[#This Row],[GrossProfit]]/Table5[[#This Row],[Net Sales Revenue]]</f>
        <v>0.3493975903614458</v>
      </c>
    </row>
    <row r="628" spans="1:22" ht="14.25" customHeight="1" x14ac:dyDescent="0.25">
      <c r="A628" s="1" t="s">
        <v>707</v>
      </c>
      <c r="B628" s="1" t="s">
        <v>666</v>
      </c>
      <c r="C628" s="1" t="s">
        <v>56</v>
      </c>
      <c r="D628" s="1" t="s">
        <v>23</v>
      </c>
      <c r="E628" s="1" t="s">
        <v>21</v>
      </c>
      <c r="F628" s="1">
        <v>1496</v>
      </c>
      <c r="G628" s="14">
        <v>30</v>
      </c>
      <c r="H628" s="1">
        <v>0.16</v>
      </c>
      <c r="I628" s="14">
        <v>37699.199999999997</v>
      </c>
      <c r="J628" s="14">
        <v>22619.52</v>
      </c>
      <c r="K628" s="15">
        <f>Table5[[#This Row],[Selling Price]]*Table5[[#This Row],[Units Sold]]</f>
        <v>44880</v>
      </c>
      <c r="L628" t="str">
        <f t="shared" si="9"/>
        <v>2024-02</v>
      </c>
      <c r="M628" t="str">
        <f>VLOOKUP(Table5[[#This Row],[Store ID]],Table4[[Store ID]:[Store Location]],2)</f>
        <v>Leeds</v>
      </c>
      <c r="N628" t="str">
        <f>VLOOKUP(Table5[[#This Row],[Store ID]],Table4[[Store ID]:[Region]],3)</f>
        <v>North</v>
      </c>
      <c r="O628" t="str">
        <f>VLOOKUP(Table5[[#This Row],[Product ID]],'Product Master'!$A$2:$D$10,4)</f>
        <v>Supplier D</v>
      </c>
      <c r="P628" s="15">
        <f>Table5[[#This Row],[Total Revenue]]-Table5[[#This Row],[Net Sales Revenue]]</f>
        <v>7180.8000000000029</v>
      </c>
      <c r="Q628" s="15">
        <f>Table5[[#This Row],[Net Sales Revenue]]/Table5[[#This Row],[Units Sold]]</f>
        <v>25.2</v>
      </c>
      <c r="R628">
        <f>VLOOKUP(Table5[[#This Row],[Product ID]],'Product Master'!$A$1:$E$10,5,FALSE)</f>
        <v>14</v>
      </c>
      <c r="S628" s="15">
        <f>Table5[[#This Row],[standard product cost per unit]]*Table5[[#This Row],[Units Sold]]</f>
        <v>20944</v>
      </c>
      <c r="T628" s="15">
        <f>Table5[[#This Row],[Cost of Sales]]-Table5[[#This Row],[Standard cost]]</f>
        <v>1675.5200000000004</v>
      </c>
      <c r="U628" s="15">
        <f>Table5[[#This Row],[Net Sales Revenue]]-Table5[[#This Row],[Cost of Sales]]</f>
        <v>15079.679999999997</v>
      </c>
      <c r="V628" s="17">
        <f>Table5[[#This Row],[GrossProfit]]/Table5[[#This Row],[Net Sales Revenue]]</f>
        <v>0.39999999999999997</v>
      </c>
    </row>
    <row r="629" spans="1:22" ht="14.25" customHeight="1" x14ac:dyDescent="0.25">
      <c r="A629" s="1" t="s">
        <v>708</v>
      </c>
      <c r="B629" s="1" t="s">
        <v>666</v>
      </c>
      <c r="C629" s="1" t="s">
        <v>56</v>
      </c>
      <c r="D629" s="1" t="s">
        <v>25</v>
      </c>
      <c r="E629" s="1" t="s">
        <v>27</v>
      </c>
      <c r="F629" s="1">
        <v>2024</v>
      </c>
      <c r="G629" s="14">
        <v>40</v>
      </c>
      <c r="H629" s="1">
        <v>0.16</v>
      </c>
      <c r="I629" s="14">
        <v>68006.399999999994</v>
      </c>
      <c r="J629" s="14">
        <v>43718.400000000001</v>
      </c>
      <c r="K629" s="15">
        <f>Table5[[#This Row],[Selling Price]]*Table5[[#This Row],[Units Sold]]</f>
        <v>80960</v>
      </c>
      <c r="L629" t="str">
        <f t="shared" si="9"/>
        <v>2024-02</v>
      </c>
      <c r="M629" t="str">
        <f>VLOOKUP(Table5[[#This Row],[Store ID]],Table4[[Store ID]:[Store Location]],2)</f>
        <v>Leeds</v>
      </c>
      <c r="N629" t="str">
        <f>VLOOKUP(Table5[[#This Row],[Store ID]],Table4[[Store ID]:[Region]],3)</f>
        <v>North</v>
      </c>
      <c r="O629" t="str">
        <f>VLOOKUP(Table5[[#This Row],[Product ID]],'Product Master'!$A$2:$D$10,4)</f>
        <v>Supplier E</v>
      </c>
      <c r="P629" s="15">
        <f>Table5[[#This Row],[Total Revenue]]-Table5[[#This Row],[Net Sales Revenue]]</f>
        <v>12953.600000000006</v>
      </c>
      <c r="Q629" s="15">
        <f>Table5[[#This Row],[Net Sales Revenue]]/Table5[[#This Row],[Units Sold]]</f>
        <v>33.599999999999994</v>
      </c>
      <c r="R629">
        <f>VLOOKUP(Table5[[#This Row],[Product ID]],'Product Master'!$A$1:$E$10,5,FALSE)</f>
        <v>20</v>
      </c>
      <c r="S629" s="15">
        <f>Table5[[#This Row],[standard product cost per unit]]*Table5[[#This Row],[Units Sold]]</f>
        <v>40480</v>
      </c>
      <c r="T629" s="15">
        <f>Table5[[#This Row],[Cost of Sales]]-Table5[[#This Row],[Standard cost]]</f>
        <v>3238.4000000000015</v>
      </c>
      <c r="U629" s="15">
        <f>Table5[[#This Row],[Net Sales Revenue]]-Table5[[#This Row],[Cost of Sales]]</f>
        <v>24287.999999999993</v>
      </c>
      <c r="V629" s="17">
        <f>Table5[[#This Row],[GrossProfit]]/Table5[[#This Row],[Net Sales Revenue]]</f>
        <v>0.35714285714285704</v>
      </c>
    </row>
    <row r="630" spans="1:22" ht="14.25" customHeight="1" x14ac:dyDescent="0.25">
      <c r="A630" s="1" t="s">
        <v>709</v>
      </c>
      <c r="B630" s="1" t="s">
        <v>666</v>
      </c>
      <c r="C630" s="1" t="s">
        <v>56</v>
      </c>
      <c r="D630" s="1" t="s">
        <v>29</v>
      </c>
      <c r="E630" s="1" t="s">
        <v>31</v>
      </c>
      <c r="F630" s="1">
        <v>2780</v>
      </c>
      <c r="G630" s="14">
        <v>10</v>
      </c>
      <c r="H630" s="1">
        <v>0.15</v>
      </c>
      <c r="I630" s="14">
        <v>23630</v>
      </c>
      <c r="J630" s="14">
        <v>12009.6</v>
      </c>
      <c r="K630" s="15">
        <f>Table5[[#This Row],[Selling Price]]*Table5[[#This Row],[Units Sold]]</f>
        <v>27800</v>
      </c>
      <c r="L630" t="str">
        <f t="shared" si="9"/>
        <v>2024-02</v>
      </c>
      <c r="M630" t="str">
        <f>VLOOKUP(Table5[[#This Row],[Store ID]],Table4[[Store ID]:[Store Location]],2)</f>
        <v>Leeds</v>
      </c>
      <c r="N630" t="str">
        <f>VLOOKUP(Table5[[#This Row],[Store ID]],Table4[[Store ID]:[Region]],3)</f>
        <v>North</v>
      </c>
      <c r="O630" t="str">
        <f>VLOOKUP(Table5[[#This Row],[Product ID]],'Product Master'!$A$2:$D$10,4)</f>
        <v>Supplier F</v>
      </c>
      <c r="P630" s="15">
        <f>Table5[[#This Row],[Total Revenue]]-Table5[[#This Row],[Net Sales Revenue]]</f>
        <v>4170</v>
      </c>
      <c r="Q630" s="15">
        <f>Table5[[#This Row],[Net Sales Revenue]]/Table5[[#This Row],[Units Sold]]</f>
        <v>8.5</v>
      </c>
      <c r="R630">
        <f>VLOOKUP(Table5[[#This Row],[Product ID]],'Product Master'!$A$1:$E$10,5,FALSE)</f>
        <v>4</v>
      </c>
      <c r="S630" s="15">
        <f>Table5[[#This Row],[standard product cost per unit]]*Table5[[#This Row],[Units Sold]]</f>
        <v>11120</v>
      </c>
      <c r="T630" s="15">
        <f>Table5[[#This Row],[Cost of Sales]]-Table5[[#This Row],[Standard cost]]</f>
        <v>889.60000000000036</v>
      </c>
      <c r="U630" s="15">
        <f>Table5[[#This Row],[Net Sales Revenue]]-Table5[[#This Row],[Cost of Sales]]</f>
        <v>11620.4</v>
      </c>
      <c r="V630" s="17">
        <f>Table5[[#This Row],[GrossProfit]]/Table5[[#This Row],[Net Sales Revenue]]</f>
        <v>0.49176470588235294</v>
      </c>
    </row>
    <row r="631" spans="1:22" ht="14.25" customHeight="1" x14ac:dyDescent="0.25">
      <c r="A631" s="1" t="s">
        <v>710</v>
      </c>
      <c r="B631" s="1" t="s">
        <v>666</v>
      </c>
      <c r="C631" s="1" t="s">
        <v>56</v>
      </c>
      <c r="D631" s="1" t="s">
        <v>33</v>
      </c>
      <c r="E631" s="1" t="s">
        <v>31</v>
      </c>
      <c r="F631" s="1">
        <v>2732</v>
      </c>
      <c r="G631" s="14">
        <v>22</v>
      </c>
      <c r="H631" s="1">
        <v>0.14000000000000001</v>
      </c>
      <c r="I631" s="14">
        <v>51689.440000000002</v>
      </c>
      <c r="J631" s="14">
        <v>29505.599999999999</v>
      </c>
      <c r="K631" s="15">
        <f>Table5[[#This Row],[Selling Price]]*Table5[[#This Row],[Units Sold]]</f>
        <v>60104</v>
      </c>
      <c r="L631" t="str">
        <f t="shared" si="9"/>
        <v>2024-02</v>
      </c>
      <c r="M631" t="str">
        <f>VLOOKUP(Table5[[#This Row],[Store ID]],Table4[[Store ID]:[Store Location]],2)</f>
        <v>Leeds</v>
      </c>
      <c r="N631" t="str">
        <f>VLOOKUP(Table5[[#This Row],[Store ID]],Table4[[Store ID]:[Region]],3)</f>
        <v>North</v>
      </c>
      <c r="O631" t="str">
        <f>VLOOKUP(Table5[[#This Row],[Product ID]],'Product Master'!$A$2:$D$10,4)</f>
        <v>Supplier F</v>
      </c>
      <c r="P631" s="15">
        <f>Table5[[#This Row],[Total Revenue]]-Table5[[#This Row],[Net Sales Revenue]]</f>
        <v>8414.5599999999977</v>
      </c>
      <c r="Q631" s="15">
        <f>Table5[[#This Row],[Net Sales Revenue]]/Table5[[#This Row],[Units Sold]]</f>
        <v>18.920000000000002</v>
      </c>
      <c r="R631">
        <f>VLOOKUP(Table5[[#This Row],[Product ID]],'Product Master'!$A$1:$E$10,5,FALSE)</f>
        <v>10</v>
      </c>
      <c r="S631" s="15">
        <f>Table5[[#This Row],[standard product cost per unit]]*Table5[[#This Row],[Units Sold]]</f>
        <v>27320</v>
      </c>
      <c r="T631" s="15">
        <f>Table5[[#This Row],[Cost of Sales]]-Table5[[#This Row],[Standard cost]]</f>
        <v>2185.5999999999985</v>
      </c>
      <c r="U631" s="15">
        <f>Table5[[#This Row],[Net Sales Revenue]]-Table5[[#This Row],[Cost of Sales]]</f>
        <v>22183.840000000004</v>
      </c>
      <c r="V631" s="17">
        <f>Table5[[#This Row],[GrossProfit]]/Table5[[#This Row],[Net Sales Revenue]]</f>
        <v>0.42917547568710362</v>
      </c>
    </row>
    <row r="632" spans="1:22" ht="14.25" customHeight="1" x14ac:dyDescent="0.25">
      <c r="A632" s="1" t="s">
        <v>711</v>
      </c>
      <c r="B632" s="1" t="s">
        <v>712</v>
      </c>
      <c r="C632" s="1" t="s">
        <v>40</v>
      </c>
      <c r="D632" s="1" t="s">
        <v>6</v>
      </c>
      <c r="E632" s="1" t="s">
        <v>8</v>
      </c>
      <c r="F632" s="1">
        <v>1394</v>
      </c>
      <c r="G632" s="14">
        <v>24</v>
      </c>
      <c r="H632" s="1">
        <v>0.16</v>
      </c>
      <c r="I632" s="14">
        <v>28103.040000000001</v>
      </c>
      <c r="J632" s="14">
        <v>18066.240000000002</v>
      </c>
      <c r="K632" s="15">
        <f>Table5[[#This Row],[Selling Price]]*Table5[[#This Row],[Units Sold]]</f>
        <v>33456</v>
      </c>
      <c r="L632" t="str">
        <f t="shared" si="9"/>
        <v>2024-03</v>
      </c>
      <c r="M632" t="str">
        <f>VLOOKUP(Table5[[#This Row],[Store ID]],Table4[[Store ID]:[Store Location]],2)</f>
        <v>Manchester</v>
      </c>
      <c r="N632" t="str">
        <f>VLOOKUP(Table5[[#This Row],[Store ID]],Table4[[Store ID]:[Region]],3)</f>
        <v>North</v>
      </c>
      <c r="O632" t="str">
        <f>VLOOKUP(Table5[[#This Row],[Product ID]],'Product Master'!$A$2:$D$10,4)</f>
        <v>Supplier A</v>
      </c>
      <c r="P632" s="15">
        <f>Table5[[#This Row],[Total Revenue]]-Table5[[#This Row],[Net Sales Revenue]]</f>
        <v>5352.9599999999991</v>
      </c>
      <c r="Q632" s="15">
        <f>Table5[[#This Row],[Net Sales Revenue]]/Table5[[#This Row],[Units Sold]]</f>
        <v>20.16</v>
      </c>
      <c r="R632">
        <f>VLOOKUP(Table5[[#This Row],[Product ID]],'Product Master'!$A$1:$E$10,5,FALSE)</f>
        <v>12</v>
      </c>
      <c r="S632" s="15">
        <f>Table5[[#This Row],[standard product cost per unit]]*Table5[[#This Row],[Units Sold]]</f>
        <v>16728</v>
      </c>
      <c r="T632" s="15">
        <f>Table5[[#This Row],[Cost of Sales]]-Table5[[#This Row],[Standard cost]]</f>
        <v>1338.2400000000016</v>
      </c>
      <c r="U632" s="15">
        <f>Table5[[#This Row],[Net Sales Revenue]]-Table5[[#This Row],[Cost of Sales]]</f>
        <v>10036.799999999999</v>
      </c>
      <c r="V632" s="17">
        <f>Table5[[#This Row],[GrossProfit]]/Table5[[#This Row],[Net Sales Revenue]]</f>
        <v>0.3571428571428571</v>
      </c>
    </row>
    <row r="633" spans="1:22" ht="14.25" customHeight="1" x14ac:dyDescent="0.25">
      <c r="A633" s="1" t="s">
        <v>713</v>
      </c>
      <c r="B633" s="1" t="s">
        <v>712</v>
      </c>
      <c r="C633" s="1" t="s">
        <v>40</v>
      </c>
      <c r="D633" s="1" t="s">
        <v>10</v>
      </c>
      <c r="E633" s="1" t="s">
        <v>8</v>
      </c>
      <c r="F633" s="1">
        <v>1386</v>
      </c>
      <c r="G633" s="14">
        <v>50</v>
      </c>
      <c r="H633" s="1">
        <v>0.16</v>
      </c>
      <c r="I633" s="14">
        <v>58212</v>
      </c>
      <c r="J633" s="14">
        <v>41912.639999999999</v>
      </c>
      <c r="K633" s="15">
        <f>Table5[[#This Row],[Selling Price]]*Table5[[#This Row],[Units Sold]]</f>
        <v>69300</v>
      </c>
      <c r="L633" t="str">
        <f t="shared" si="9"/>
        <v>2024-03</v>
      </c>
      <c r="M633" t="str">
        <f>VLOOKUP(Table5[[#This Row],[Store ID]],Table4[[Store ID]:[Store Location]],2)</f>
        <v>Manchester</v>
      </c>
      <c r="N633" t="str">
        <f>VLOOKUP(Table5[[#This Row],[Store ID]],Table4[[Store ID]:[Region]],3)</f>
        <v>North</v>
      </c>
      <c r="O633" t="str">
        <f>VLOOKUP(Table5[[#This Row],[Product ID]],'Product Master'!$A$2:$D$10,4)</f>
        <v>Supplier B</v>
      </c>
      <c r="P633" s="15">
        <f>Table5[[#This Row],[Total Revenue]]-Table5[[#This Row],[Net Sales Revenue]]</f>
        <v>11088</v>
      </c>
      <c r="Q633" s="15">
        <f>Table5[[#This Row],[Net Sales Revenue]]/Table5[[#This Row],[Units Sold]]</f>
        <v>42</v>
      </c>
      <c r="R633">
        <f>VLOOKUP(Table5[[#This Row],[Product ID]],'Product Master'!$A$1:$E$10,5,FALSE)</f>
        <v>28</v>
      </c>
      <c r="S633" s="15">
        <f>Table5[[#This Row],[standard product cost per unit]]*Table5[[#This Row],[Units Sold]]</f>
        <v>38808</v>
      </c>
      <c r="T633" s="15">
        <f>Table5[[#This Row],[Cost of Sales]]-Table5[[#This Row],[Standard cost]]</f>
        <v>3104.6399999999994</v>
      </c>
      <c r="U633" s="15">
        <f>Table5[[#This Row],[Net Sales Revenue]]-Table5[[#This Row],[Cost of Sales]]</f>
        <v>16299.36</v>
      </c>
      <c r="V633" s="17">
        <f>Table5[[#This Row],[GrossProfit]]/Table5[[#This Row],[Net Sales Revenue]]</f>
        <v>0.28000000000000003</v>
      </c>
    </row>
    <row r="634" spans="1:22" ht="14.25" customHeight="1" x14ac:dyDescent="0.25">
      <c r="A634" s="1" t="s">
        <v>714</v>
      </c>
      <c r="B634" s="1" t="s">
        <v>712</v>
      </c>
      <c r="C634" s="1" t="s">
        <v>40</v>
      </c>
      <c r="D634" s="1" t="s">
        <v>13</v>
      </c>
      <c r="E634" s="1" t="s">
        <v>15</v>
      </c>
      <c r="F634" s="1">
        <v>1782</v>
      </c>
      <c r="G634" s="14">
        <v>28</v>
      </c>
      <c r="H634" s="1">
        <v>0.16</v>
      </c>
      <c r="I634" s="14">
        <v>41912.639999999999</v>
      </c>
      <c r="J634" s="14">
        <v>28868.400000000001</v>
      </c>
      <c r="K634" s="15">
        <f>Table5[[#This Row],[Selling Price]]*Table5[[#This Row],[Units Sold]]</f>
        <v>49896</v>
      </c>
      <c r="L634" t="str">
        <f t="shared" si="9"/>
        <v>2024-03</v>
      </c>
      <c r="M634" t="str">
        <f>VLOOKUP(Table5[[#This Row],[Store ID]],Table4[[Store ID]:[Store Location]],2)</f>
        <v>Manchester</v>
      </c>
      <c r="N634" t="str">
        <f>VLOOKUP(Table5[[#This Row],[Store ID]],Table4[[Store ID]:[Region]],3)</f>
        <v>North</v>
      </c>
      <c r="O634" t="str">
        <f>VLOOKUP(Table5[[#This Row],[Product ID]],'Product Master'!$A$2:$D$10,4)</f>
        <v>Supplier C</v>
      </c>
      <c r="P634" s="15">
        <f>Table5[[#This Row],[Total Revenue]]-Table5[[#This Row],[Net Sales Revenue]]</f>
        <v>7983.3600000000006</v>
      </c>
      <c r="Q634" s="15">
        <f>Table5[[#This Row],[Net Sales Revenue]]/Table5[[#This Row],[Units Sold]]</f>
        <v>23.52</v>
      </c>
      <c r="R634">
        <f>VLOOKUP(Table5[[#This Row],[Product ID]],'Product Master'!$A$1:$E$10,5,FALSE)</f>
        <v>15</v>
      </c>
      <c r="S634" s="15">
        <f>Table5[[#This Row],[standard product cost per unit]]*Table5[[#This Row],[Units Sold]]</f>
        <v>26730</v>
      </c>
      <c r="T634" s="15">
        <f>Table5[[#This Row],[Cost of Sales]]-Table5[[#This Row],[Standard cost]]</f>
        <v>2138.4000000000015</v>
      </c>
      <c r="U634" s="15">
        <f>Table5[[#This Row],[Net Sales Revenue]]-Table5[[#This Row],[Cost of Sales]]</f>
        <v>13044.239999999998</v>
      </c>
      <c r="V634" s="17">
        <f>Table5[[#This Row],[GrossProfit]]/Table5[[#This Row],[Net Sales Revenue]]</f>
        <v>0.31122448979591832</v>
      </c>
    </row>
    <row r="635" spans="1:22" ht="14.25" customHeight="1" x14ac:dyDescent="0.25">
      <c r="A635" s="1" t="s">
        <v>715</v>
      </c>
      <c r="B635" s="1" t="s">
        <v>712</v>
      </c>
      <c r="C635" s="1" t="s">
        <v>40</v>
      </c>
      <c r="D635" s="1" t="s">
        <v>17</v>
      </c>
      <c r="E635" s="1" t="s">
        <v>15</v>
      </c>
      <c r="F635" s="1">
        <v>1808</v>
      </c>
      <c r="G635" s="14">
        <v>35</v>
      </c>
      <c r="H635" s="1">
        <v>0.13</v>
      </c>
      <c r="I635" s="14">
        <v>55053.599999999999</v>
      </c>
      <c r="J635" s="14">
        <v>35147.519999999997</v>
      </c>
      <c r="K635" s="15">
        <f>Table5[[#This Row],[Selling Price]]*Table5[[#This Row],[Units Sold]]</f>
        <v>63280</v>
      </c>
      <c r="L635" t="str">
        <f t="shared" si="9"/>
        <v>2024-03</v>
      </c>
      <c r="M635" t="str">
        <f>VLOOKUP(Table5[[#This Row],[Store ID]],Table4[[Store ID]:[Store Location]],2)</f>
        <v>Manchester</v>
      </c>
      <c r="N635" t="str">
        <f>VLOOKUP(Table5[[#This Row],[Store ID]],Table4[[Store ID]:[Region]],3)</f>
        <v>North</v>
      </c>
      <c r="O635" t="str">
        <f>VLOOKUP(Table5[[#This Row],[Product ID]],'Product Master'!$A$2:$D$10,4)</f>
        <v>Supplier C</v>
      </c>
      <c r="P635" s="15">
        <f>Table5[[#This Row],[Total Revenue]]-Table5[[#This Row],[Net Sales Revenue]]</f>
        <v>8226.4000000000015</v>
      </c>
      <c r="Q635" s="15">
        <f>Table5[[#This Row],[Net Sales Revenue]]/Table5[[#This Row],[Units Sold]]</f>
        <v>30.45</v>
      </c>
      <c r="R635">
        <f>VLOOKUP(Table5[[#This Row],[Product ID]],'Product Master'!$A$1:$E$10,5,FALSE)</f>
        <v>18</v>
      </c>
      <c r="S635" s="15">
        <f>Table5[[#This Row],[standard product cost per unit]]*Table5[[#This Row],[Units Sold]]</f>
        <v>32544</v>
      </c>
      <c r="T635" s="15">
        <f>Table5[[#This Row],[Cost of Sales]]-Table5[[#This Row],[Standard cost]]</f>
        <v>2603.5199999999968</v>
      </c>
      <c r="U635" s="15">
        <f>Table5[[#This Row],[Net Sales Revenue]]-Table5[[#This Row],[Cost of Sales]]</f>
        <v>19906.080000000002</v>
      </c>
      <c r="V635" s="17">
        <f>Table5[[#This Row],[GrossProfit]]/Table5[[#This Row],[Net Sales Revenue]]</f>
        <v>0.36157635467980298</v>
      </c>
    </row>
    <row r="636" spans="1:22" ht="14.25" customHeight="1" x14ac:dyDescent="0.25">
      <c r="A636" s="1" t="s">
        <v>716</v>
      </c>
      <c r="B636" s="1" t="s">
        <v>712</v>
      </c>
      <c r="C636" s="1" t="s">
        <v>40</v>
      </c>
      <c r="D636" s="1" t="s">
        <v>19</v>
      </c>
      <c r="E636" s="1" t="s">
        <v>21</v>
      </c>
      <c r="F636" s="1">
        <v>1416</v>
      </c>
      <c r="G636" s="14">
        <v>18</v>
      </c>
      <c r="H636" s="1">
        <v>0.14000000000000001</v>
      </c>
      <c r="I636" s="14">
        <v>21919.68</v>
      </c>
      <c r="J636" s="14">
        <v>13763.52</v>
      </c>
      <c r="K636" s="15">
        <f>Table5[[#This Row],[Selling Price]]*Table5[[#This Row],[Units Sold]]</f>
        <v>25488</v>
      </c>
      <c r="L636" t="str">
        <f t="shared" si="9"/>
        <v>2024-03</v>
      </c>
      <c r="M636" t="str">
        <f>VLOOKUP(Table5[[#This Row],[Store ID]],Table4[[Store ID]:[Store Location]],2)</f>
        <v>Manchester</v>
      </c>
      <c r="N636" t="str">
        <f>VLOOKUP(Table5[[#This Row],[Store ID]],Table4[[Store ID]:[Region]],3)</f>
        <v>North</v>
      </c>
      <c r="O636" t="str">
        <f>VLOOKUP(Table5[[#This Row],[Product ID]],'Product Master'!$A$2:$D$10,4)</f>
        <v>Supplier D</v>
      </c>
      <c r="P636" s="15">
        <f>Table5[[#This Row],[Total Revenue]]-Table5[[#This Row],[Net Sales Revenue]]</f>
        <v>3568.3199999999997</v>
      </c>
      <c r="Q636" s="15">
        <f>Table5[[#This Row],[Net Sales Revenue]]/Table5[[#This Row],[Units Sold]]</f>
        <v>15.48</v>
      </c>
      <c r="R636">
        <f>VLOOKUP(Table5[[#This Row],[Product ID]],'Product Master'!$A$1:$E$10,5,FALSE)</f>
        <v>9</v>
      </c>
      <c r="S636" s="15">
        <f>Table5[[#This Row],[standard product cost per unit]]*Table5[[#This Row],[Units Sold]]</f>
        <v>12744</v>
      </c>
      <c r="T636" s="15">
        <f>Table5[[#This Row],[Cost of Sales]]-Table5[[#This Row],[Standard cost]]</f>
        <v>1019.5200000000004</v>
      </c>
      <c r="U636" s="15">
        <f>Table5[[#This Row],[Net Sales Revenue]]-Table5[[#This Row],[Cost of Sales]]</f>
        <v>8156.16</v>
      </c>
      <c r="V636" s="17">
        <f>Table5[[#This Row],[GrossProfit]]/Table5[[#This Row],[Net Sales Revenue]]</f>
        <v>0.37209302325581395</v>
      </c>
    </row>
    <row r="637" spans="1:22" ht="14.25" customHeight="1" x14ac:dyDescent="0.25">
      <c r="A637" s="1" t="s">
        <v>717</v>
      </c>
      <c r="B637" s="1" t="s">
        <v>712</v>
      </c>
      <c r="C637" s="1" t="s">
        <v>40</v>
      </c>
      <c r="D637" s="1" t="s">
        <v>23</v>
      </c>
      <c r="E637" s="1" t="s">
        <v>21</v>
      </c>
      <c r="F637" s="1">
        <v>1584</v>
      </c>
      <c r="G637" s="14">
        <v>30</v>
      </c>
      <c r="H637" s="1">
        <v>0.14000000000000001</v>
      </c>
      <c r="I637" s="14">
        <v>40867.199999999997</v>
      </c>
      <c r="J637" s="14">
        <v>23950.080000000002</v>
      </c>
      <c r="K637" s="15">
        <f>Table5[[#This Row],[Selling Price]]*Table5[[#This Row],[Units Sold]]</f>
        <v>47520</v>
      </c>
      <c r="L637" t="str">
        <f t="shared" si="9"/>
        <v>2024-03</v>
      </c>
      <c r="M637" t="str">
        <f>VLOOKUP(Table5[[#This Row],[Store ID]],Table4[[Store ID]:[Store Location]],2)</f>
        <v>Manchester</v>
      </c>
      <c r="N637" t="str">
        <f>VLOOKUP(Table5[[#This Row],[Store ID]],Table4[[Store ID]:[Region]],3)</f>
        <v>North</v>
      </c>
      <c r="O637" t="str">
        <f>VLOOKUP(Table5[[#This Row],[Product ID]],'Product Master'!$A$2:$D$10,4)</f>
        <v>Supplier D</v>
      </c>
      <c r="P637" s="15">
        <f>Table5[[#This Row],[Total Revenue]]-Table5[[#This Row],[Net Sales Revenue]]</f>
        <v>6652.8000000000029</v>
      </c>
      <c r="Q637" s="15">
        <f>Table5[[#This Row],[Net Sales Revenue]]/Table5[[#This Row],[Units Sold]]</f>
        <v>25.799999999999997</v>
      </c>
      <c r="R637">
        <f>VLOOKUP(Table5[[#This Row],[Product ID]],'Product Master'!$A$1:$E$10,5,FALSE)</f>
        <v>14</v>
      </c>
      <c r="S637" s="15">
        <f>Table5[[#This Row],[standard product cost per unit]]*Table5[[#This Row],[Units Sold]]</f>
        <v>22176</v>
      </c>
      <c r="T637" s="15">
        <f>Table5[[#This Row],[Cost of Sales]]-Table5[[#This Row],[Standard cost]]</f>
        <v>1774.0800000000017</v>
      </c>
      <c r="U637" s="15">
        <f>Table5[[#This Row],[Net Sales Revenue]]-Table5[[#This Row],[Cost of Sales]]</f>
        <v>16917.119999999995</v>
      </c>
      <c r="V637" s="17">
        <f>Table5[[#This Row],[GrossProfit]]/Table5[[#This Row],[Net Sales Revenue]]</f>
        <v>0.41395348837209295</v>
      </c>
    </row>
    <row r="638" spans="1:22" ht="14.25" customHeight="1" x14ac:dyDescent="0.25">
      <c r="A638" s="1" t="s">
        <v>718</v>
      </c>
      <c r="B638" s="1" t="s">
        <v>712</v>
      </c>
      <c r="C638" s="1" t="s">
        <v>40</v>
      </c>
      <c r="D638" s="1" t="s">
        <v>25</v>
      </c>
      <c r="E638" s="1" t="s">
        <v>27</v>
      </c>
      <c r="F638" s="1">
        <v>2486</v>
      </c>
      <c r="G638" s="14">
        <v>40</v>
      </c>
      <c r="H638" s="1">
        <v>0.13</v>
      </c>
      <c r="I638" s="14">
        <v>86512.8</v>
      </c>
      <c r="J638" s="14">
        <v>53697.599999999999</v>
      </c>
      <c r="K638" s="15">
        <f>Table5[[#This Row],[Selling Price]]*Table5[[#This Row],[Units Sold]]</f>
        <v>99440</v>
      </c>
      <c r="L638" t="str">
        <f t="shared" si="9"/>
        <v>2024-03</v>
      </c>
      <c r="M638" t="str">
        <f>VLOOKUP(Table5[[#This Row],[Store ID]],Table4[[Store ID]:[Store Location]],2)</f>
        <v>Manchester</v>
      </c>
      <c r="N638" t="str">
        <f>VLOOKUP(Table5[[#This Row],[Store ID]],Table4[[Store ID]:[Region]],3)</f>
        <v>North</v>
      </c>
      <c r="O638" t="str">
        <f>VLOOKUP(Table5[[#This Row],[Product ID]],'Product Master'!$A$2:$D$10,4)</f>
        <v>Supplier E</v>
      </c>
      <c r="P638" s="15">
        <f>Table5[[#This Row],[Total Revenue]]-Table5[[#This Row],[Net Sales Revenue]]</f>
        <v>12927.199999999997</v>
      </c>
      <c r="Q638" s="15">
        <f>Table5[[#This Row],[Net Sales Revenue]]/Table5[[#This Row],[Units Sold]]</f>
        <v>34.800000000000004</v>
      </c>
      <c r="R638">
        <f>VLOOKUP(Table5[[#This Row],[Product ID]],'Product Master'!$A$1:$E$10,5,FALSE)</f>
        <v>20</v>
      </c>
      <c r="S638" s="15">
        <f>Table5[[#This Row],[standard product cost per unit]]*Table5[[#This Row],[Units Sold]]</f>
        <v>49720</v>
      </c>
      <c r="T638" s="15">
        <f>Table5[[#This Row],[Cost of Sales]]-Table5[[#This Row],[Standard cost]]</f>
        <v>3977.5999999999985</v>
      </c>
      <c r="U638" s="15">
        <f>Table5[[#This Row],[Net Sales Revenue]]-Table5[[#This Row],[Cost of Sales]]</f>
        <v>32815.200000000004</v>
      </c>
      <c r="V638" s="17">
        <f>Table5[[#This Row],[GrossProfit]]/Table5[[#This Row],[Net Sales Revenue]]</f>
        <v>0.37931034482758624</v>
      </c>
    </row>
    <row r="639" spans="1:22" ht="14.25" customHeight="1" x14ac:dyDescent="0.25">
      <c r="A639" s="1" t="s">
        <v>719</v>
      </c>
      <c r="B639" s="1" t="s">
        <v>712</v>
      </c>
      <c r="C639" s="1" t="s">
        <v>40</v>
      </c>
      <c r="D639" s="1" t="s">
        <v>29</v>
      </c>
      <c r="E639" s="1" t="s">
        <v>31</v>
      </c>
      <c r="F639" s="1">
        <v>1953</v>
      </c>
      <c r="G639" s="14">
        <v>10</v>
      </c>
      <c r="H639" s="1">
        <v>0.13</v>
      </c>
      <c r="I639" s="14">
        <v>16991.099999999999</v>
      </c>
      <c r="J639" s="14">
        <v>8436.9599999999991</v>
      </c>
      <c r="K639" s="15">
        <f>Table5[[#This Row],[Selling Price]]*Table5[[#This Row],[Units Sold]]</f>
        <v>19530</v>
      </c>
      <c r="L639" t="str">
        <f t="shared" si="9"/>
        <v>2024-03</v>
      </c>
      <c r="M639" t="str">
        <f>VLOOKUP(Table5[[#This Row],[Store ID]],Table4[[Store ID]:[Store Location]],2)</f>
        <v>Manchester</v>
      </c>
      <c r="N639" t="str">
        <f>VLOOKUP(Table5[[#This Row],[Store ID]],Table4[[Store ID]:[Region]],3)</f>
        <v>North</v>
      </c>
      <c r="O639" t="str">
        <f>VLOOKUP(Table5[[#This Row],[Product ID]],'Product Master'!$A$2:$D$10,4)</f>
        <v>Supplier F</v>
      </c>
      <c r="P639" s="15">
        <f>Table5[[#This Row],[Total Revenue]]-Table5[[#This Row],[Net Sales Revenue]]</f>
        <v>2538.9000000000015</v>
      </c>
      <c r="Q639" s="15">
        <f>Table5[[#This Row],[Net Sales Revenue]]/Table5[[#This Row],[Units Sold]]</f>
        <v>8.6999999999999993</v>
      </c>
      <c r="R639">
        <f>VLOOKUP(Table5[[#This Row],[Product ID]],'Product Master'!$A$1:$E$10,5,FALSE)</f>
        <v>4</v>
      </c>
      <c r="S639" s="15">
        <f>Table5[[#This Row],[standard product cost per unit]]*Table5[[#This Row],[Units Sold]]</f>
        <v>7812</v>
      </c>
      <c r="T639" s="15">
        <f>Table5[[#This Row],[Cost of Sales]]-Table5[[#This Row],[Standard cost]]</f>
        <v>624.95999999999913</v>
      </c>
      <c r="U639" s="15">
        <f>Table5[[#This Row],[Net Sales Revenue]]-Table5[[#This Row],[Cost of Sales]]</f>
        <v>8554.14</v>
      </c>
      <c r="V639" s="17">
        <f>Table5[[#This Row],[GrossProfit]]/Table5[[#This Row],[Net Sales Revenue]]</f>
        <v>0.50344827586206897</v>
      </c>
    </row>
    <row r="640" spans="1:22" ht="14.25" customHeight="1" x14ac:dyDescent="0.25">
      <c r="A640" s="1" t="s">
        <v>720</v>
      </c>
      <c r="B640" s="1" t="s">
        <v>712</v>
      </c>
      <c r="C640" s="1" t="s">
        <v>40</v>
      </c>
      <c r="D640" s="1" t="s">
        <v>33</v>
      </c>
      <c r="E640" s="1" t="s">
        <v>31</v>
      </c>
      <c r="F640" s="1">
        <v>1672</v>
      </c>
      <c r="G640" s="14">
        <v>22</v>
      </c>
      <c r="H640" s="1">
        <v>0.13</v>
      </c>
      <c r="I640" s="14">
        <v>32002.080000000002</v>
      </c>
      <c r="J640" s="14">
        <v>18057.599999999999</v>
      </c>
      <c r="K640" s="15">
        <f>Table5[[#This Row],[Selling Price]]*Table5[[#This Row],[Units Sold]]</f>
        <v>36784</v>
      </c>
      <c r="L640" t="str">
        <f t="shared" si="9"/>
        <v>2024-03</v>
      </c>
      <c r="M640" t="str">
        <f>VLOOKUP(Table5[[#This Row],[Store ID]],Table4[[Store ID]:[Store Location]],2)</f>
        <v>Manchester</v>
      </c>
      <c r="N640" t="str">
        <f>VLOOKUP(Table5[[#This Row],[Store ID]],Table4[[Store ID]:[Region]],3)</f>
        <v>North</v>
      </c>
      <c r="O640" t="str">
        <f>VLOOKUP(Table5[[#This Row],[Product ID]],'Product Master'!$A$2:$D$10,4)</f>
        <v>Supplier F</v>
      </c>
      <c r="P640" s="15">
        <f>Table5[[#This Row],[Total Revenue]]-Table5[[#This Row],[Net Sales Revenue]]</f>
        <v>4781.9199999999983</v>
      </c>
      <c r="Q640" s="15">
        <f>Table5[[#This Row],[Net Sales Revenue]]/Table5[[#This Row],[Units Sold]]</f>
        <v>19.14</v>
      </c>
      <c r="R640">
        <f>VLOOKUP(Table5[[#This Row],[Product ID]],'Product Master'!$A$1:$E$10,5,FALSE)</f>
        <v>10</v>
      </c>
      <c r="S640" s="15">
        <f>Table5[[#This Row],[standard product cost per unit]]*Table5[[#This Row],[Units Sold]]</f>
        <v>16720</v>
      </c>
      <c r="T640" s="15">
        <f>Table5[[#This Row],[Cost of Sales]]-Table5[[#This Row],[Standard cost]]</f>
        <v>1337.5999999999985</v>
      </c>
      <c r="U640" s="15">
        <f>Table5[[#This Row],[Net Sales Revenue]]-Table5[[#This Row],[Cost of Sales]]</f>
        <v>13944.480000000003</v>
      </c>
      <c r="V640" s="17">
        <f>Table5[[#This Row],[GrossProfit]]/Table5[[#This Row],[Net Sales Revenue]]</f>
        <v>0.43573667711598751</v>
      </c>
    </row>
    <row r="641" spans="1:22" ht="14.25" customHeight="1" x14ac:dyDescent="0.25">
      <c r="A641" s="1" t="s">
        <v>721</v>
      </c>
      <c r="B641" s="1" t="s">
        <v>712</v>
      </c>
      <c r="C641" s="1" t="s">
        <v>44</v>
      </c>
      <c r="D641" s="1" t="s">
        <v>6</v>
      </c>
      <c r="E641" s="1" t="s">
        <v>8</v>
      </c>
      <c r="F641" s="1">
        <v>1777</v>
      </c>
      <c r="G641" s="14">
        <v>24</v>
      </c>
      <c r="H641" s="1">
        <v>0.12</v>
      </c>
      <c r="I641" s="14">
        <v>37530.239999999998</v>
      </c>
      <c r="J641" s="14">
        <v>23029.919999999998</v>
      </c>
      <c r="K641" s="15">
        <f>Table5[[#This Row],[Selling Price]]*Table5[[#This Row],[Units Sold]]</f>
        <v>42648</v>
      </c>
      <c r="L641" t="str">
        <f t="shared" si="9"/>
        <v>2024-03</v>
      </c>
      <c r="M641" t="str">
        <f>VLOOKUP(Table5[[#This Row],[Store ID]],Table4[[Store ID]:[Store Location]],2)</f>
        <v>Birmingham</v>
      </c>
      <c r="N641" t="str">
        <f>VLOOKUP(Table5[[#This Row],[Store ID]],Table4[[Store ID]:[Region]],3)</f>
        <v>Midlands</v>
      </c>
      <c r="O641" t="str">
        <f>VLOOKUP(Table5[[#This Row],[Product ID]],'Product Master'!$A$2:$D$10,4)</f>
        <v>Supplier A</v>
      </c>
      <c r="P641" s="15">
        <f>Table5[[#This Row],[Total Revenue]]-Table5[[#This Row],[Net Sales Revenue]]</f>
        <v>5117.760000000002</v>
      </c>
      <c r="Q641" s="15">
        <f>Table5[[#This Row],[Net Sales Revenue]]/Table5[[#This Row],[Units Sold]]</f>
        <v>21.119999999999997</v>
      </c>
      <c r="R641">
        <f>VLOOKUP(Table5[[#This Row],[Product ID]],'Product Master'!$A$1:$E$10,5,FALSE)</f>
        <v>12</v>
      </c>
      <c r="S641" s="15">
        <f>Table5[[#This Row],[standard product cost per unit]]*Table5[[#This Row],[Units Sold]]</f>
        <v>21324</v>
      </c>
      <c r="T641" s="15">
        <f>Table5[[#This Row],[Cost of Sales]]-Table5[[#This Row],[Standard cost]]</f>
        <v>1705.9199999999983</v>
      </c>
      <c r="U641" s="15">
        <f>Table5[[#This Row],[Net Sales Revenue]]-Table5[[#This Row],[Cost of Sales]]</f>
        <v>14500.32</v>
      </c>
      <c r="V641" s="17">
        <f>Table5[[#This Row],[GrossProfit]]/Table5[[#This Row],[Net Sales Revenue]]</f>
        <v>0.38636363636363635</v>
      </c>
    </row>
    <row r="642" spans="1:22" ht="14.25" customHeight="1" x14ac:dyDescent="0.25">
      <c r="A642" s="1" t="s">
        <v>722</v>
      </c>
      <c r="B642" s="1" t="s">
        <v>712</v>
      </c>
      <c r="C642" s="1" t="s">
        <v>44</v>
      </c>
      <c r="D642" s="1" t="s">
        <v>10</v>
      </c>
      <c r="E642" s="1" t="s">
        <v>8</v>
      </c>
      <c r="F642" s="1">
        <v>2824</v>
      </c>
      <c r="G642" s="14">
        <v>50</v>
      </c>
      <c r="H642" s="1">
        <v>0.16</v>
      </c>
      <c r="I642" s="14">
        <v>118608</v>
      </c>
      <c r="J642" s="14">
        <v>85397.759999999995</v>
      </c>
      <c r="K642" s="15">
        <f>Table5[[#This Row],[Selling Price]]*Table5[[#This Row],[Units Sold]]</f>
        <v>141200</v>
      </c>
      <c r="L642" t="str">
        <f t="shared" ref="L642:L705" si="10">TEXT(B642,"yyyy-mm")</f>
        <v>2024-03</v>
      </c>
      <c r="M642" t="str">
        <f>VLOOKUP(Table5[[#This Row],[Store ID]],Table4[[Store ID]:[Store Location]],2)</f>
        <v>Birmingham</v>
      </c>
      <c r="N642" t="str">
        <f>VLOOKUP(Table5[[#This Row],[Store ID]],Table4[[Store ID]:[Region]],3)</f>
        <v>Midlands</v>
      </c>
      <c r="O642" t="str">
        <f>VLOOKUP(Table5[[#This Row],[Product ID]],'Product Master'!$A$2:$D$10,4)</f>
        <v>Supplier B</v>
      </c>
      <c r="P642" s="15">
        <f>Table5[[#This Row],[Total Revenue]]-Table5[[#This Row],[Net Sales Revenue]]</f>
        <v>22592</v>
      </c>
      <c r="Q642" s="15">
        <f>Table5[[#This Row],[Net Sales Revenue]]/Table5[[#This Row],[Units Sold]]</f>
        <v>42</v>
      </c>
      <c r="R642">
        <f>VLOOKUP(Table5[[#This Row],[Product ID]],'Product Master'!$A$1:$E$10,5,FALSE)</f>
        <v>28</v>
      </c>
      <c r="S642" s="15">
        <f>Table5[[#This Row],[standard product cost per unit]]*Table5[[#This Row],[Units Sold]]</f>
        <v>79072</v>
      </c>
      <c r="T642" s="15">
        <f>Table5[[#This Row],[Cost of Sales]]-Table5[[#This Row],[Standard cost]]</f>
        <v>6325.7599999999948</v>
      </c>
      <c r="U642" s="15">
        <f>Table5[[#This Row],[Net Sales Revenue]]-Table5[[#This Row],[Cost of Sales]]</f>
        <v>33210.240000000005</v>
      </c>
      <c r="V642" s="17">
        <f>Table5[[#This Row],[GrossProfit]]/Table5[[#This Row],[Net Sales Revenue]]</f>
        <v>0.28000000000000003</v>
      </c>
    </row>
    <row r="643" spans="1:22" ht="14.25" customHeight="1" x14ac:dyDescent="0.25">
      <c r="A643" s="1" t="s">
        <v>723</v>
      </c>
      <c r="B643" s="1" t="s">
        <v>712</v>
      </c>
      <c r="C643" s="1" t="s">
        <v>44</v>
      </c>
      <c r="D643" s="1" t="s">
        <v>13</v>
      </c>
      <c r="E643" s="1" t="s">
        <v>15</v>
      </c>
      <c r="F643" s="1">
        <v>1482</v>
      </c>
      <c r="G643" s="14">
        <v>28</v>
      </c>
      <c r="H643" s="1">
        <v>0.12</v>
      </c>
      <c r="I643" s="14">
        <v>36516.480000000003</v>
      </c>
      <c r="J643" s="14">
        <v>24008.400000000001</v>
      </c>
      <c r="K643" s="15">
        <f>Table5[[#This Row],[Selling Price]]*Table5[[#This Row],[Units Sold]]</f>
        <v>41496</v>
      </c>
      <c r="L643" t="str">
        <f t="shared" si="10"/>
        <v>2024-03</v>
      </c>
      <c r="M643" t="str">
        <f>VLOOKUP(Table5[[#This Row],[Store ID]],Table4[[Store ID]:[Store Location]],2)</f>
        <v>Birmingham</v>
      </c>
      <c r="N643" t="str">
        <f>VLOOKUP(Table5[[#This Row],[Store ID]],Table4[[Store ID]:[Region]],3)</f>
        <v>Midlands</v>
      </c>
      <c r="O643" t="str">
        <f>VLOOKUP(Table5[[#This Row],[Product ID]],'Product Master'!$A$2:$D$10,4)</f>
        <v>Supplier C</v>
      </c>
      <c r="P643" s="15">
        <f>Table5[[#This Row],[Total Revenue]]-Table5[[#This Row],[Net Sales Revenue]]</f>
        <v>4979.5199999999968</v>
      </c>
      <c r="Q643" s="15">
        <f>Table5[[#This Row],[Net Sales Revenue]]/Table5[[#This Row],[Units Sold]]</f>
        <v>24.64</v>
      </c>
      <c r="R643">
        <f>VLOOKUP(Table5[[#This Row],[Product ID]],'Product Master'!$A$1:$E$10,5,FALSE)</f>
        <v>15</v>
      </c>
      <c r="S643" s="15">
        <f>Table5[[#This Row],[standard product cost per unit]]*Table5[[#This Row],[Units Sold]]</f>
        <v>22230</v>
      </c>
      <c r="T643" s="15">
        <f>Table5[[#This Row],[Cost of Sales]]-Table5[[#This Row],[Standard cost]]</f>
        <v>1778.4000000000015</v>
      </c>
      <c r="U643" s="15">
        <f>Table5[[#This Row],[Net Sales Revenue]]-Table5[[#This Row],[Cost of Sales]]</f>
        <v>12508.080000000002</v>
      </c>
      <c r="V643" s="17">
        <f>Table5[[#This Row],[GrossProfit]]/Table5[[#This Row],[Net Sales Revenue]]</f>
        <v>0.34253246753246758</v>
      </c>
    </row>
    <row r="644" spans="1:22" ht="14.25" customHeight="1" x14ac:dyDescent="0.25">
      <c r="A644" s="1" t="s">
        <v>724</v>
      </c>
      <c r="B644" s="1" t="s">
        <v>712</v>
      </c>
      <c r="C644" s="1" t="s">
        <v>44</v>
      </c>
      <c r="D644" s="1" t="s">
        <v>17</v>
      </c>
      <c r="E644" s="1" t="s">
        <v>15</v>
      </c>
      <c r="F644" s="1">
        <v>2279</v>
      </c>
      <c r="G644" s="14">
        <v>35</v>
      </c>
      <c r="H644" s="1">
        <v>0.12</v>
      </c>
      <c r="I644" s="14">
        <v>70193.2</v>
      </c>
      <c r="J644" s="14">
        <v>44303.76</v>
      </c>
      <c r="K644" s="15">
        <f>Table5[[#This Row],[Selling Price]]*Table5[[#This Row],[Units Sold]]</f>
        <v>79765</v>
      </c>
      <c r="L644" t="str">
        <f t="shared" si="10"/>
        <v>2024-03</v>
      </c>
      <c r="M644" t="str">
        <f>VLOOKUP(Table5[[#This Row],[Store ID]],Table4[[Store ID]:[Store Location]],2)</f>
        <v>Birmingham</v>
      </c>
      <c r="N644" t="str">
        <f>VLOOKUP(Table5[[#This Row],[Store ID]],Table4[[Store ID]:[Region]],3)</f>
        <v>Midlands</v>
      </c>
      <c r="O644" t="str">
        <f>VLOOKUP(Table5[[#This Row],[Product ID]],'Product Master'!$A$2:$D$10,4)</f>
        <v>Supplier C</v>
      </c>
      <c r="P644" s="15">
        <f>Table5[[#This Row],[Total Revenue]]-Table5[[#This Row],[Net Sales Revenue]]</f>
        <v>9571.8000000000029</v>
      </c>
      <c r="Q644" s="15">
        <f>Table5[[#This Row],[Net Sales Revenue]]/Table5[[#This Row],[Units Sold]]</f>
        <v>30.799999999999997</v>
      </c>
      <c r="R644">
        <f>VLOOKUP(Table5[[#This Row],[Product ID]],'Product Master'!$A$1:$E$10,5,FALSE)</f>
        <v>18</v>
      </c>
      <c r="S644" s="15">
        <f>Table5[[#This Row],[standard product cost per unit]]*Table5[[#This Row],[Units Sold]]</f>
        <v>41022</v>
      </c>
      <c r="T644" s="15">
        <f>Table5[[#This Row],[Cost of Sales]]-Table5[[#This Row],[Standard cost]]</f>
        <v>3281.760000000002</v>
      </c>
      <c r="U644" s="15">
        <f>Table5[[#This Row],[Net Sales Revenue]]-Table5[[#This Row],[Cost of Sales]]</f>
        <v>25889.439999999995</v>
      </c>
      <c r="V644" s="17">
        <f>Table5[[#This Row],[GrossProfit]]/Table5[[#This Row],[Net Sales Revenue]]</f>
        <v>0.36883116883116879</v>
      </c>
    </row>
    <row r="645" spans="1:22" ht="14.25" customHeight="1" x14ac:dyDescent="0.25">
      <c r="A645" s="1" t="s">
        <v>725</v>
      </c>
      <c r="B645" s="1" t="s">
        <v>712</v>
      </c>
      <c r="C645" s="1" t="s">
        <v>44</v>
      </c>
      <c r="D645" s="1" t="s">
        <v>19</v>
      </c>
      <c r="E645" s="1" t="s">
        <v>21</v>
      </c>
      <c r="F645" s="1">
        <v>1465</v>
      </c>
      <c r="G645" s="14">
        <v>18</v>
      </c>
      <c r="H645" s="1">
        <v>0.16</v>
      </c>
      <c r="I645" s="14">
        <v>22150.799999999999</v>
      </c>
      <c r="J645" s="14">
        <v>14239.8</v>
      </c>
      <c r="K645" s="15">
        <f>Table5[[#This Row],[Selling Price]]*Table5[[#This Row],[Units Sold]]</f>
        <v>26370</v>
      </c>
      <c r="L645" t="str">
        <f t="shared" si="10"/>
        <v>2024-03</v>
      </c>
      <c r="M645" t="str">
        <f>VLOOKUP(Table5[[#This Row],[Store ID]],Table4[[Store ID]:[Store Location]],2)</f>
        <v>Birmingham</v>
      </c>
      <c r="N645" t="str">
        <f>VLOOKUP(Table5[[#This Row],[Store ID]],Table4[[Store ID]:[Region]],3)</f>
        <v>Midlands</v>
      </c>
      <c r="O645" t="str">
        <f>VLOOKUP(Table5[[#This Row],[Product ID]],'Product Master'!$A$2:$D$10,4)</f>
        <v>Supplier D</v>
      </c>
      <c r="P645" s="15">
        <f>Table5[[#This Row],[Total Revenue]]-Table5[[#This Row],[Net Sales Revenue]]</f>
        <v>4219.2000000000007</v>
      </c>
      <c r="Q645" s="15">
        <f>Table5[[#This Row],[Net Sales Revenue]]/Table5[[#This Row],[Units Sold]]</f>
        <v>15.12</v>
      </c>
      <c r="R645">
        <f>VLOOKUP(Table5[[#This Row],[Product ID]],'Product Master'!$A$1:$E$10,5,FALSE)</f>
        <v>9</v>
      </c>
      <c r="S645" s="15">
        <f>Table5[[#This Row],[standard product cost per unit]]*Table5[[#This Row],[Units Sold]]</f>
        <v>13185</v>
      </c>
      <c r="T645" s="15">
        <f>Table5[[#This Row],[Cost of Sales]]-Table5[[#This Row],[Standard cost]]</f>
        <v>1054.7999999999993</v>
      </c>
      <c r="U645" s="15">
        <f>Table5[[#This Row],[Net Sales Revenue]]-Table5[[#This Row],[Cost of Sales]]</f>
        <v>7911</v>
      </c>
      <c r="V645" s="17">
        <f>Table5[[#This Row],[GrossProfit]]/Table5[[#This Row],[Net Sales Revenue]]</f>
        <v>0.35714285714285715</v>
      </c>
    </row>
    <row r="646" spans="1:22" ht="14.25" customHeight="1" x14ac:dyDescent="0.25">
      <c r="A646" s="1" t="s">
        <v>726</v>
      </c>
      <c r="B646" s="1" t="s">
        <v>712</v>
      </c>
      <c r="C646" s="1" t="s">
        <v>44</v>
      </c>
      <c r="D646" s="1" t="s">
        <v>23</v>
      </c>
      <c r="E646" s="1" t="s">
        <v>21</v>
      </c>
      <c r="F646" s="1">
        <v>2098</v>
      </c>
      <c r="G646" s="14">
        <v>30</v>
      </c>
      <c r="H646" s="1">
        <v>0.16</v>
      </c>
      <c r="I646" s="14">
        <v>52869.599999999999</v>
      </c>
      <c r="J646" s="14">
        <v>31721.759999999998</v>
      </c>
      <c r="K646" s="15">
        <f>Table5[[#This Row],[Selling Price]]*Table5[[#This Row],[Units Sold]]</f>
        <v>62940</v>
      </c>
      <c r="L646" t="str">
        <f t="shared" si="10"/>
        <v>2024-03</v>
      </c>
      <c r="M646" t="str">
        <f>VLOOKUP(Table5[[#This Row],[Store ID]],Table4[[Store ID]:[Store Location]],2)</f>
        <v>Birmingham</v>
      </c>
      <c r="N646" t="str">
        <f>VLOOKUP(Table5[[#This Row],[Store ID]],Table4[[Store ID]:[Region]],3)</f>
        <v>Midlands</v>
      </c>
      <c r="O646" t="str">
        <f>VLOOKUP(Table5[[#This Row],[Product ID]],'Product Master'!$A$2:$D$10,4)</f>
        <v>Supplier D</v>
      </c>
      <c r="P646" s="15">
        <f>Table5[[#This Row],[Total Revenue]]-Table5[[#This Row],[Net Sales Revenue]]</f>
        <v>10070.400000000001</v>
      </c>
      <c r="Q646" s="15">
        <f>Table5[[#This Row],[Net Sales Revenue]]/Table5[[#This Row],[Units Sold]]</f>
        <v>25.2</v>
      </c>
      <c r="R646">
        <f>VLOOKUP(Table5[[#This Row],[Product ID]],'Product Master'!$A$1:$E$10,5,FALSE)</f>
        <v>14</v>
      </c>
      <c r="S646" s="15">
        <f>Table5[[#This Row],[standard product cost per unit]]*Table5[[#This Row],[Units Sold]]</f>
        <v>29372</v>
      </c>
      <c r="T646" s="15">
        <f>Table5[[#This Row],[Cost of Sales]]-Table5[[#This Row],[Standard cost]]</f>
        <v>2349.7599999999984</v>
      </c>
      <c r="U646" s="15">
        <f>Table5[[#This Row],[Net Sales Revenue]]-Table5[[#This Row],[Cost of Sales]]</f>
        <v>21147.84</v>
      </c>
      <c r="V646" s="17">
        <f>Table5[[#This Row],[GrossProfit]]/Table5[[#This Row],[Net Sales Revenue]]</f>
        <v>0.4</v>
      </c>
    </row>
    <row r="647" spans="1:22" ht="14.25" customHeight="1" x14ac:dyDescent="0.25">
      <c r="A647" s="1" t="s">
        <v>727</v>
      </c>
      <c r="B647" s="1" t="s">
        <v>712</v>
      </c>
      <c r="C647" s="1" t="s">
        <v>44</v>
      </c>
      <c r="D647" s="1" t="s">
        <v>25</v>
      </c>
      <c r="E647" s="1" t="s">
        <v>27</v>
      </c>
      <c r="F647" s="1">
        <v>2904</v>
      </c>
      <c r="G647" s="14">
        <v>40</v>
      </c>
      <c r="H647" s="1">
        <v>0.13</v>
      </c>
      <c r="I647" s="14">
        <v>101059.2</v>
      </c>
      <c r="J647" s="14">
        <v>62726.400000000001</v>
      </c>
      <c r="K647" s="15">
        <f>Table5[[#This Row],[Selling Price]]*Table5[[#This Row],[Units Sold]]</f>
        <v>116160</v>
      </c>
      <c r="L647" t="str">
        <f t="shared" si="10"/>
        <v>2024-03</v>
      </c>
      <c r="M647" t="str">
        <f>VLOOKUP(Table5[[#This Row],[Store ID]],Table4[[Store ID]:[Store Location]],2)</f>
        <v>Birmingham</v>
      </c>
      <c r="N647" t="str">
        <f>VLOOKUP(Table5[[#This Row],[Store ID]],Table4[[Store ID]:[Region]],3)</f>
        <v>Midlands</v>
      </c>
      <c r="O647" t="str">
        <f>VLOOKUP(Table5[[#This Row],[Product ID]],'Product Master'!$A$2:$D$10,4)</f>
        <v>Supplier E</v>
      </c>
      <c r="P647" s="15">
        <f>Table5[[#This Row],[Total Revenue]]-Table5[[#This Row],[Net Sales Revenue]]</f>
        <v>15100.800000000003</v>
      </c>
      <c r="Q647" s="15">
        <f>Table5[[#This Row],[Net Sales Revenue]]/Table5[[#This Row],[Units Sold]]</f>
        <v>34.799999999999997</v>
      </c>
      <c r="R647">
        <f>VLOOKUP(Table5[[#This Row],[Product ID]],'Product Master'!$A$1:$E$10,5,FALSE)</f>
        <v>20</v>
      </c>
      <c r="S647" s="15">
        <f>Table5[[#This Row],[standard product cost per unit]]*Table5[[#This Row],[Units Sold]]</f>
        <v>58080</v>
      </c>
      <c r="T647" s="15">
        <f>Table5[[#This Row],[Cost of Sales]]-Table5[[#This Row],[Standard cost]]</f>
        <v>4646.4000000000015</v>
      </c>
      <c r="U647" s="15">
        <f>Table5[[#This Row],[Net Sales Revenue]]-Table5[[#This Row],[Cost of Sales]]</f>
        <v>38332.799999999996</v>
      </c>
      <c r="V647" s="17">
        <f>Table5[[#This Row],[GrossProfit]]/Table5[[#This Row],[Net Sales Revenue]]</f>
        <v>0.37931034482758619</v>
      </c>
    </row>
    <row r="648" spans="1:22" ht="14.25" customHeight="1" x14ac:dyDescent="0.25">
      <c r="A648" s="1" t="s">
        <v>728</v>
      </c>
      <c r="B648" s="1" t="s">
        <v>712</v>
      </c>
      <c r="C648" s="1" t="s">
        <v>44</v>
      </c>
      <c r="D648" s="1" t="s">
        <v>29</v>
      </c>
      <c r="E648" s="1" t="s">
        <v>31</v>
      </c>
      <c r="F648" s="1">
        <v>2569</v>
      </c>
      <c r="G648" s="14">
        <v>10</v>
      </c>
      <c r="H648" s="1">
        <v>0.14000000000000001</v>
      </c>
      <c r="I648" s="14">
        <v>22093.4</v>
      </c>
      <c r="J648" s="14">
        <v>11098.08</v>
      </c>
      <c r="K648" s="15">
        <f>Table5[[#This Row],[Selling Price]]*Table5[[#This Row],[Units Sold]]</f>
        <v>25690</v>
      </c>
      <c r="L648" t="str">
        <f t="shared" si="10"/>
        <v>2024-03</v>
      </c>
      <c r="M648" t="str">
        <f>VLOOKUP(Table5[[#This Row],[Store ID]],Table4[[Store ID]:[Store Location]],2)</f>
        <v>Birmingham</v>
      </c>
      <c r="N648" t="str">
        <f>VLOOKUP(Table5[[#This Row],[Store ID]],Table4[[Store ID]:[Region]],3)</f>
        <v>Midlands</v>
      </c>
      <c r="O648" t="str">
        <f>VLOOKUP(Table5[[#This Row],[Product ID]],'Product Master'!$A$2:$D$10,4)</f>
        <v>Supplier F</v>
      </c>
      <c r="P648" s="15">
        <f>Table5[[#This Row],[Total Revenue]]-Table5[[#This Row],[Net Sales Revenue]]</f>
        <v>3596.5999999999985</v>
      </c>
      <c r="Q648" s="15">
        <f>Table5[[#This Row],[Net Sales Revenue]]/Table5[[#This Row],[Units Sold]]</f>
        <v>8.6000000000000014</v>
      </c>
      <c r="R648">
        <f>VLOOKUP(Table5[[#This Row],[Product ID]],'Product Master'!$A$1:$E$10,5,FALSE)</f>
        <v>4</v>
      </c>
      <c r="S648" s="15">
        <f>Table5[[#This Row],[standard product cost per unit]]*Table5[[#This Row],[Units Sold]]</f>
        <v>10276</v>
      </c>
      <c r="T648" s="15">
        <f>Table5[[#This Row],[Cost of Sales]]-Table5[[#This Row],[Standard cost]]</f>
        <v>822.07999999999993</v>
      </c>
      <c r="U648" s="15">
        <f>Table5[[#This Row],[Net Sales Revenue]]-Table5[[#This Row],[Cost of Sales]]</f>
        <v>10995.320000000002</v>
      </c>
      <c r="V648" s="17">
        <f>Table5[[#This Row],[GrossProfit]]/Table5[[#This Row],[Net Sales Revenue]]</f>
        <v>0.49767441860465123</v>
      </c>
    </row>
    <row r="649" spans="1:22" ht="14.25" customHeight="1" x14ac:dyDescent="0.25">
      <c r="A649" s="1" t="s">
        <v>729</v>
      </c>
      <c r="B649" s="1" t="s">
        <v>712</v>
      </c>
      <c r="C649" s="1" t="s">
        <v>44</v>
      </c>
      <c r="D649" s="1" t="s">
        <v>33</v>
      </c>
      <c r="E649" s="1" t="s">
        <v>31</v>
      </c>
      <c r="F649" s="1">
        <v>1509</v>
      </c>
      <c r="G649" s="14">
        <v>22</v>
      </c>
      <c r="H649" s="1">
        <v>0.13</v>
      </c>
      <c r="I649" s="14">
        <v>28882.26</v>
      </c>
      <c r="J649" s="14">
        <v>16297.2</v>
      </c>
      <c r="K649" s="15">
        <f>Table5[[#This Row],[Selling Price]]*Table5[[#This Row],[Units Sold]]</f>
        <v>33198</v>
      </c>
      <c r="L649" t="str">
        <f t="shared" si="10"/>
        <v>2024-03</v>
      </c>
      <c r="M649" t="str">
        <f>VLOOKUP(Table5[[#This Row],[Store ID]],Table4[[Store ID]:[Store Location]],2)</f>
        <v>Birmingham</v>
      </c>
      <c r="N649" t="str">
        <f>VLOOKUP(Table5[[#This Row],[Store ID]],Table4[[Store ID]:[Region]],3)</f>
        <v>Midlands</v>
      </c>
      <c r="O649" t="str">
        <f>VLOOKUP(Table5[[#This Row],[Product ID]],'Product Master'!$A$2:$D$10,4)</f>
        <v>Supplier F</v>
      </c>
      <c r="P649" s="15">
        <f>Table5[[#This Row],[Total Revenue]]-Table5[[#This Row],[Net Sales Revenue]]</f>
        <v>4315.7400000000016</v>
      </c>
      <c r="Q649" s="15">
        <f>Table5[[#This Row],[Net Sales Revenue]]/Table5[[#This Row],[Units Sold]]</f>
        <v>19.14</v>
      </c>
      <c r="R649">
        <f>VLOOKUP(Table5[[#This Row],[Product ID]],'Product Master'!$A$1:$E$10,5,FALSE)</f>
        <v>10</v>
      </c>
      <c r="S649" s="15">
        <f>Table5[[#This Row],[standard product cost per unit]]*Table5[[#This Row],[Units Sold]]</f>
        <v>15090</v>
      </c>
      <c r="T649" s="15">
        <f>Table5[[#This Row],[Cost of Sales]]-Table5[[#This Row],[Standard cost]]</f>
        <v>1207.2000000000007</v>
      </c>
      <c r="U649" s="15">
        <f>Table5[[#This Row],[Net Sales Revenue]]-Table5[[#This Row],[Cost of Sales]]</f>
        <v>12585.059999999998</v>
      </c>
      <c r="V649" s="17">
        <f>Table5[[#This Row],[GrossProfit]]/Table5[[#This Row],[Net Sales Revenue]]</f>
        <v>0.4357366771159874</v>
      </c>
    </row>
    <row r="650" spans="1:22" ht="14.25" customHeight="1" x14ac:dyDescent="0.25">
      <c r="A650" s="1" t="s">
        <v>730</v>
      </c>
      <c r="B650" s="1" t="s">
        <v>712</v>
      </c>
      <c r="C650" s="1" t="s">
        <v>48</v>
      </c>
      <c r="D650" s="1" t="s">
        <v>6</v>
      </c>
      <c r="E650" s="1" t="s">
        <v>8</v>
      </c>
      <c r="F650" s="1">
        <v>2622</v>
      </c>
      <c r="G650" s="14">
        <v>24</v>
      </c>
      <c r="H650" s="1">
        <v>0.13</v>
      </c>
      <c r="I650" s="14">
        <v>54747.360000000001</v>
      </c>
      <c r="J650" s="14">
        <v>33981.120000000003</v>
      </c>
      <c r="K650" s="15">
        <f>Table5[[#This Row],[Selling Price]]*Table5[[#This Row],[Units Sold]]</f>
        <v>62928</v>
      </c>
      <c r="L650" t="str">
        <f t="shared" si="10"/>
        <v>2024-03</v>
      </c>
      <c r="M650" t="str">
        <f>VLOOKUP(Table5[[#This Row],[Store ID]],Table4[[Store ID]:[Store Location]],2)</f>
        <v>London Stratford</v>
      </c>
      <c r="N650" t="str">
        <f>VLOOKUP(Table5[[#This Row],[Store ID]],Table4[[Store ID]:[Region]],3)</f>
        <v>South</v>
      </c>
      <c r="O650" t="str">
        <f>VLOOKUP(Table5[[#This Row],[Product ID]],'Product Master'!$A$2:$D$10,4)</f>
        <v>Supplier A</v>
      </c>
      <c r="P650" s="15">
        <f>Table5[[#This Row],[Total Revenue]]-Table5[[#This Row],[Net Sales Revenue]]</f>
        <v>8180.6399999999994</v>
      </c>
      <c r="Q650" s="15">
        <f>Table5[[#This Row],[Net Sales Revenue]]/Table5[[#This Row],[Units Sold]]</f>
        <v>20.88</v>
      </c>
      <c r="R650">
        <f>VLOOKUP(Table5[[#This Row],[Product ID]],'Product Master'!$A$1:$E$10,5,FALSE)</f>
        <v>12</v>
      </c>
      <c r="S650" s="15">
        <f>Table5[[#This Row],[standard product cost per unit]]*Table5[[#This Row],[Units Sold]]</f>
        <v>31464</v>
      </c>
      <c r="T650" s="15">
        <f>Table5[[#This Row],[Cost of Sales]]-Table5[[#This Row],[Standard cost]]</f>
        <v>2517.1200000000026</v>
      </c>
      <c r="U650" s="15">
        <f>Table5[[#This Row],[Net Sales Revenue]]-Table5[[#This Row],[Cost of Sales]]</f>
        <v>20766.239999999998</v>
      </c>
      <c r="V650" s="17">
        <f>Table5[[#This Row],[GrossProfit]]/Table5[[#This Row],[Net Sales Revenue]]</f>
        <v>0.37931034482758619</v>
      </c>
    </row>
    <row r="651" spans="1:22" ht="14.25" customHeight="1" x14ac:dyDescent="0.25">
      <c r="A651" s="1" t="s">
        <v>731</v>
      </c>
      <c r="B651" s="1" t="s">
        <v>712</v>
      </c>
      <c r="C651" s="1" t="s">
        <v>48</v>
      </c>
      <c r="D651" s="1" t="s">
        <v>10</v>
      </c>
      <c r="E651" s="1" t="s">
        <v>8</v>
      </c>
      <c r="F651" s="1">
        <v>1460</v>
      </c>
      <c r="G651" s="14">
        <v>50</v>
      </c>
      <c r="H651" s="1">
        <v>0.14000000000000001</v>
      </c>
      <c r="I651" s="14">
        <v>62780</v>
      </c>
      <c r="J651" s="14">
        <v>44150.400000000001</v>
      </c>
      <c r="K651" s="15">
        <f>Table5[[#This Row],[Selling Price]]*Table5[[#This Row],[Units Sold]]</f>
        <v>73000</v>
      </c>
      <c r="L651" t="str">
        <f t="shared" si="10"/>
        <v>2024-03</v>
      </c>
      <c r="M651" t="str">
        <f>VLOOKUP(Table5[[#This Row],[Store ID]],Table4[[Store ID]:[Store Location]],2)</f>
        <v>London Stratford</v>
      </c>
      <c r="N651" t="str">
        <f>VLOOKUP(Table5[[#This Row],[Store ID]],Table4[[Store ID]:[Region]],3)</f>
        <v>South</v>
      </c>
      <c r="O651" t="str">
        <f>VLOOKUP(Table5[[#This Row],[Product ID]],'Product Master'!$A$2:$D$10,4)</f>
        <v>Supplier B</v>
      </c>
      <c r="P651" s="15">
        <f>Table5[[#This Row],[Total Revenue]]-Table5[[#This Row],[Net Sales Revenue]]</f>
        <v>10220</v>
      </c>
      <c r="Q651" s="15">
        <f>Table5[[#This Row],[Net Sales Revenue]]/Table5[[#This Row],[Units Sold]]</f>
        <v>43</v>
      </c>
      <c r="R651">
        <f>VLOOKUP(Table5[[#This Row],[Product ID]],'Product Master'!$A$1:$E$10,5,FALSE)</f>
        <v>28</v>
      </c>
      <c r="S651" s="15">
        <f>Table5[[#This Row],[standard product cost per unit]]*Table5[[#This Row],[Units Sold]]</f>
        <v>40880</v>
      </c>
      <c r="T651" s="15">
        <f>Table5[[#This Row],[Cost of Sales]]-Table5[[#This Row],[Standard cost]]</f>
        <v>3270.4000000000015</v>
      </c>
      <c r="U651" s="15">
        <f>Table5[[#This Row],[Net Sales Revenue]]-Table5[[#This Row],[Cost of Sales]]</f>
        <v>18629.599999999999</v>
      </c>
      <c r="V651" s="17">
        <f>Table5[[#This Row],[GrossProfit]]/Table5[[#This Row],[Net Sales Revenue]]</f>
        <v>0.29674418604651159</v>
      </c>
    </row>
    <row r="652" spans="1:22" ht="14.25" customHeight="1" x14ac:dyDescent="0.25">
      <c r="A652" s="1" t="s">
        <v>732</v>
      </c>
      <c r="B652" s="1" t="s">
        <v>712</v>
      </c>
      <c r="C652" s="1" t="s">
        <v>48</v>
      </c>
      <c r="D652" s="1" t="s">
        <v>13</v>
      </c>
      <c r="E652" s="1" t="s">
        <v>15</v>
      </c>
      <c r="F652" s="1">
        <v>2860</v>
      </c>
      <c r="G652" s="14">
        <v>28</v>
      </c>
      <c r="H652" s="1">
        <v>0.13</v>
      </c>
      <c r="I652" s="14">
        <v>69669.600000000006</v>
      </c>
      <c r="J652" s="14">
        <v>46332</v>
      </c>
      <c r="K652" s="15">
        <f>Table5[[#This Row],[Selling Price]]*Table5[[#This Row],[Units Sold]]</f>
        <v>80080</v>
      </c>
      <c r="L652" t="str">
        <f t="shared" si="10"/>
        <v>2024-03</v>
      </c>
      <c r="M652" t="str">
        <f>VLOOKUP(Table5[[#This Row],[Store ID]],Table4[[Store ID]:[Store Location]],2)</f>
        <v>London Stratford</v>
      </c>
      <c r="N652" t="str">
        <f>VLOOKUP(Table5[[#This Row],[Store ID]],Table4[[Store ID]:[Region]],3)</f>
        <v>South</v>
      </c>
      <c r="O652" t="str">
        <f>VLOOKUP(Table5[[#This Row],[Product ID]],'Product Master'!$A$2:$D$10,4)</f>
        <v>Supplier C</v>
      </c>
      <c r="P652" s="15">
        <f>Table5[[#This Row],[Total Revenue]]-Table5[[#This Row],[Net Sales Revenue]]</f>
        <v>10410.399999999994</v>
      </c>
      <c r="Q652" s="15">
        <f>Table5[[#This Row],[Net Sales Revenue]]/Table5[[#This Row],[Units Sold]]</f>
        <v>24.360000000000003</v>
      </c>
      <c r="R652">
        <f>VLOOKUP(Table5[[#This Row],[Product ID]],'Product Master'!$A$1:$E$10,5,FALSE)</f>
        <v>15</v>
      </c>
      <c r="S652" s="15">
        <f>Table5[[#This Row],[standard product cost per unit]]*Table5[[#This Row],[Units Sold]]</f>
        <v>42900</v>
      </c>
      <c r="T652" s="15">
        <f>Table5[[#This Row],[Cost of Sales]]-Table5[[#This Row],[Standard cost]]</f>
        <v>3432</v>
      </c>
      <c r="U652" s="15">
        <f>Table5[[#This Row],[Net Sales Revenue]]-Table5[[#This Row],[Cost of Sales]]</f>
        <v>23337.600000000006</v>
      </c>
      <c r="V652" s="17">
        <f>Table5[[#This Row],[GrossProfit]]/Table5[[#This Row],[Net Sales Revenue]]</f>
        <v>0.33497536945812811</v>
      </c>
    </row>
    <row r="653" spans="1:22" ht="14.25" customHeight="1" x14ac:dyDescent="0.25">
      <c r="A653" s="1" t="s">
        <v>733</v>
      </c>
      <c r="B653" s="1" t="s">
        <v>712</v>
      </c>
      <c r="C653" s="1" t="s">
        <v>48</v>
      </c>
      <c r="D653" s="1" t="s">
        <v>17</v>
      </c>
      <c r="E653" s="1" t="s">
        <v>15</v>
      </c>
      <c r="F653" s="1">
        <v>3075</v>
      </c>
      <c r="G653" s="14">
        <v>35</v>
      </c>
      <c r="H653" s="1">
        <v>0.14000000000000001</v>
      </c>
      <c r="I653" s="14">
        <v>92557.5</v>
      </c>
      <c r="J653" s="14">
        <v>59778</v>
      </c>
      <c r="K653" s="15">
        <f>Table5[[#This Row],[Selling Price]]*Table5[[#This Row],[Units Sold]]</f>
        <v>107625</v>
      </c>
      <c r="L653" t="str">
        <f t="shared" si="10"/>
        <v>2024-03</v>
      </c>
      <c r="M653" t="str">
        <f>VLOOKUP(Table5[[#This Row],[Store ID]],Table4[[Store ID]:[Store Location]],2)</f>
        <v>London Stratford</v>
      </c>
      <c r="N653" t="str">
        <f>VLOOKUP(Table5[[#This Row],[Store ID]],Table4[[Store ID]:[Region]],3)</f>
        <v>South</v>
      </c>
      <c r="O653" t="str">
        <f>VLOOKUP(Table5[[#This Row],[Product ID]],'Product Master'!$A$2:$D$10,4)</f>
        <v>Supplier C</v>
      </c>
      <c r="P653" s="15">
        <f>Table5[[#This Row],[Total Revenue]]-Table5[[#This Row],[Net Sales Revenue]]</f>
        <v>15067.5</v>
      </c>
      <c r="Q653" s="15">
        <f>Table5[[#This Row],[Net Sales Revenue]]/Table5[[#This Row],[Units Sold]]</f>
        <v>30.1</v>
      </c>
      <c r="R653">
        <f>VLOOKUP(Table5[[#This Row],[Product ID]],'Product Master'!$A$1:$E$10,5,FALSE)</f>
        <v>18</v>
      </c>
      <c r="S653" s="15">
        <f>Table5[[#This Row],[standard product cost per unit]]*Table5[[#This Row],[Units Sold]]</f>
        <v>55350</v>
      </c>
      <c r="T653" s="15">
        <f>Table5[[#This Row],[Cost of Sales]]-Table5[[#This Row],[Standard cost]]</f>
        <v>4428</v>
      </c>
      <c r="U653" s="15">
        <f>Table5[[#This Row],[Net Sales Revenue]]-Table5[[#This Row],[Cost of Sales]]</f>
        <v>32779.5</v>
      </c>
      <c r="V653" s="17">
        <f>Table5[[#This Row],[GrossProfit]]/Table5[[#This Row],[Net Sales Revenue]]</f>
        <v>0.35415282392026576</v>
      </c>
    </row>
    <row r="654" spans="1:22" ht="14.25" customHeight="1" x14ac:dyDescent="0.25">
      <c r="A654" s="1" t="s">
        <v>734</v>
      </c>
      <c r="B654" s="1" t="s">
        <v>712</v>
      </c>
      <c r="C654" s="1" t="s">
        <v>48</v>
      </c>
      <c r="D654" s="1" t="s">
        <v>19</v>
      </c>
      <c r="E654" s="1" t="s">
        <v>21</v>
      </c>
      <c r="F654" s="1">
        <v>1936</v>
      </c>
      <c r="G654" s="14">
        <v>18</v>
      </c>
      <c r="H654" s="1">
        <v>0.16</v>
      </c>
      <c r="I654" s="14">
        <v>29272.32</v>
      </c>
      <c r="J654" s="14">
        <v>18817.919999999998</v>
      </c>
      <c r="K654" s="15">
        <f>Table5[[#This Row],[Selling Price]]*Table5[[#This Row],[Units Sold]]</f>
        <v>34848</v>
      </c>
      <c r="L654" t="str">
        <f t="shared" si="10"/>
        <v>2024-03</v>
      </c>
      <c r="M654" t="str">
        <f>VLOOKUP(Table5[[#This Row],[Store ID]],Table4[[Store ID]:[Store Location]],2)</f>
        <v>London Stratford</v>
      </c>
      <c r="N654" t="str">
        <f>VLOOKUP(Table5[[#This Row],[Store ID]],Table4[[Store ID]:[Region]],3)</f>
        <v>South</v>
      </c>
      <c r="O654" t="str">
        <f>VLOOKUP(Table5[[#This Row],[Product ID]],'Product Master'!$A$2:$D$10,4)</f>
        <v>Supplier D</v>
      </c>
      <c r="P654" s="15">
        <f>Table5[[#This Row],[Total Revenue]]-Table5[[#This Row],[Net Sales Revenue]]</f>
        <v>5575.68</v>
      </c>
      <c r="Q654" s="15">
        <f>Table5[[#This Row],[Net Sales Revenue]]/Table5[[#This Row],[Units Sold]]</f>
        <v>15.12</v>
      </c>
      <c r="R654">
        <f>VLOOKUP(Table5[[#This Row],[Product ID]],'Product Master'!$A$1:$E$10,5,FALSE)</f>
        <v>9</v>
      </c>
      <c r="S654" s="15">
        <f>Table5[[#This Row],[standard product cost per unit]]*Table5[[#This Row],[Units Sold]]</f>
        <v>17424</v>
      </c>
      <c r="T654" s="15">
        <f>Table5[[#This Row],[Cost of Sales]]-Table5[[#This Row],[Standard cost]]</f>
        <v>1393.9199999999983</v>
      </c>
      <c r="U654" s="15">
        <f>Table5[[#This Row],[Net Sales Revenue]]-Table5[[#This Row],[Cost of Sales]]</f>
        <v>10454.400000000001</v>
      </c>
      <c r="V654" s="17">
        <f>Table5[[#This Row],[GrossProfit]]/Table5[[#This Row],[Net Sales Revenue]]</f>
        <v>0.35714285714285721</v>
      </c>
    </row>
    <row r="655" spans="1:22" ht="14.25" customHeight="1" x14ac:dyDescent="0.25">
      <c r="A655" s="1" t="s">
        <v>735</v>
      </c>
      <c r="B655" s="1" t="s">
        <v>712</v>
      </c>
      <c r="C655" s="1" t="s">
        <v>48</v>
      </c>
      <c r="D655" s="1" t="s">
        <v>23</v>
      </c>
      <c r="E655" s="1" t="s">
        <v>21</v>
      </c>
      <c r="F655" s="1">
        <v>1865</v>
      </c>
      <c r="G655" s="14">
        <v>30</v>
      </c>
      <c r="H655" s="1">
        <v>0.15</v>
      </c>
      <c r="I655" s="14">
        <v>47557.5</v>
      </c>
      <c r="J655" s="14">
        <v>28198.799999999999</v>
      </c>
      <c r="K655" s="15">
        <f>Table5[[#This Row],[Selling Price]]*Table5[[#This Row],[Units Sold]]</f>
        <v>55950</v>
      </c>
      <c r="L655" t="str">
        <f t="shared" si="10"/>
        <v>2024-03</v>
      </c>
      <c r="M655" t="str">
        <f>VLOOKUP(Table5[[#This Row],[Store ID]],Table4[[Store ID]:[Store Location]],2)</f>
        <v>London Stratford</v>
      </c>
      <c r="N655" t="str">
        <f>VLOOKUP(Table5[[#This Row],[Store ID]],Table4[[Store ID]:[Region]],3)</f>
        <v>South</v>
      </c>
      <c r="O655" t="str">
        <f>VLOOKUP(Table5[[#This Row],[Product ID]],'Product Master'!$A$2:$D$10,4)</f>
        <v>Supplier D</v>
      </c>
      <c r="P655" s="15">
        <f>Table5[[#This Row],[Total Revenue]]-Table5[[#This Row],[Net Sales Revenue]]</f>
        <v>8392.5</v>
      </c>
      <c r="Q655" s="15">
        <f>Table5[[#This Row],[Net Sales Revenue]]/Table5[[#This Row],[Units Sold]]</f>
        <v>25.5</v>
      </c>
      <c r="R655">
        <f>VLOOKUP(Table5[[#This Row],[Product ID]],'Product Master'!$A$1:$E$10,5,FALSE)</f>
        <v>14</v>
      </c>
      <c r="S655" s="15">
        <f>Table5[[#This Row],[standard product cost per unit]]*Table5[[#This Row],[Units Sold]]</f>
        <v>26110</v>
      </c>
      <c r="T655" s="15">
        <f>Table5[[#This Row],[Cost of Sales]]-Table5[[#This Row],[Standard cost]]</f>
        <v>2088.7999999999993</v>
      </c>
      <c r="U655" s="15">
        <f>Table5[[#This Row],[Net Sales Revenue]]-Table5[[#This Row],[Cost of Sales]]</f>
        <v>19358.7</v>
      </c>
      <c r="V655" s="17">
        <f>Table5[[#This Row],[GrossProfit]]/Table5[[#This Row],[Net Sales Revenue]]</f>
        <v>0.40705882352941181</v>
      </c>
    </row>
    <row r="656" spans="1:22" ht="14.25" customHeight="1" x14ac:dyDescent="0.25">
      <c r="A656" s="1" t="s">
        <v>736</v>
      </c>
      <c r="B656" s="1" t="s">
        <v>712</v>
      </c>
      <c r="C656" s="1" t="s">
        <v>48</v>
      </c>
      <c r="D656" s="1" t="s">
        <v>25</v>
      </c>
      <c r="E656" s="1" t="s">
        <v>27</v>
      </c>
      <c r="F656" s="1">
        <v>1892</v>
      </c>
      <c r="G656" s="14">
        <v>40</v>
      </c>
      <c r="H656" s="1">
        <v>0.16</v>
      </c>
      <c r="I656" s="14">
        <v>63571.199999999997</v>
      </c>
      <c r="J656" s="14">
        <v>40867.199999999997</v>
      </c>
      <c r="K656" s="15">
        <f>Table5[[#This Row],[Selling Price]]*Table5[[#This Row],[Units Sold]]</f>
        <v>75680</v>
      </c>
      <c r="L656" t="str">
        <f t="shared" si="10"/>
        <v>2024-03</v>
      </c>
      <c r="M656" t="str">
        <f>VLOOKUP(Table5[[#This Row],[Store ID]],Table4[[Store ID]:[Store Location]],2)</f>
        <v>London Stratford</v>
      </c>
      <c r="N656" t="str">
        <f>VLOOKUP(Table5[[#This Row],[Store ID]],Table4[[Store ID]:[Region]],3)</f>
        <v>South</v>
      </c>
      <c r="O656" t="str">
        <f>VLOOKUP(Table5[[#This Row],[Product ID]],'Product Master'!$A$2:$D$10,4)</f>
        <v>Supplier E</v>
      </c>
      <c r="P656" s="15">
        <f>Table5[[#This Row],[Total Revenue]]-Table5[[#This Row],[Net Sales Revenue]]</f>
        <v>12108.800000000003</v>
      </c>
      <c r="Q656" s="15">
        <f>Table5[[#This Row],[Net Sales Revenue]]/Table5[[#This Row],[Units Sold]]</f>
        <v>33.6</v>
      </c>
      <c r="R656">
        <f>VLOOKUP(Table5[[#This Row],[Product ID]],'Product Master'!$A$1:$E$10,5,FALSE)</f>
        <v>20</v>
      </c>
      <c r="S656" s="15">
        <f>Table5[[#This Row],[standard product cost per unit]]*Table5[[#This Row],[Units Sold]]</f>
        <v>37840</v>
      </c>
      <c r="T656" s="15">
        <f>Table5[[#This Row],[Cost of Sales]]-Table5[[#This Row],[Standard cost]]</f>
        <v>3027.1999999999971</v>
      </c>
      <c r="U656" s="15">
        <f>Table5[[#This Row],[Net Sales Revenue]]-Table5[[#This Row],[Cost of Sales]]</f>
        <v>22704</v>
      </c>
      <c r="V656" s="17">
        <f>Table5[[#This Row],[GrossProfit]]/Table5[[#This Row],[Net Sales Revenue]]</f>
        <v>0.35714285714285715</v>
      </c>
    </row>
    <row r="657" spans="1:22" ht="14.25" customHeight="1" x14ac:dyDescent="0.25">
      <c r="A657" s="1" t="s">
        <v>737</v>
      </c>
      <c r="B657" s="1" t="s">
        <v>712</v>
      </c>
      <c r="C657" s="1" t="s">
        <v>48</v>
      </c>
      <c r="D657" s="1" t="s">
        <v>29</v>
      </c>
      <c r="E657" s="1" t="s">
        <v>31</v>
      </c>
      <c r="F657" s="1">
        <v>2477</v>
      </c>
      <c r="G657" s="14">
        <v>10</v>
      </c>
      <c r="H657" s="1">
        <v>0.14000000000000001</v>
      </c>
      <c r="I657" s="14">
        <v>21302.2</v>
      </c>
      <c r="J657" s="14">
        <v>10700.64</v>
      </c>
      <c r="K657" s="15">
        <f>Table5[[#This Row],[Selling Price]]*Table5[[#This Row],[Units Sold]]</f>
        <v>24770</v>
      </c>
      <c r="L657" t="str">
        <f t="shared" si="10"/>
        <v>2024-03</v>
      </c>
      <c r="M657" t="str">
        <f>VLOOKUP(Table5[[#This Row],[Store ID]],Table4[[Store ID]:[Store Location]],2)</f>
        <v>London Stratford</v>
      </c>
      <c r="N657" t="str">
        <f>VLOOKUP(Table5[[#This Row],[Store ID]],Table4[[Store ID]:[Region]],3)</f>
        <v>South</v>
      </c>
      <c r="O657" t="str">
        <f>VLOOKUP(Table5[[#This Row],[Product ID]],'Product Master'!$A$2:$D$10,4)</f>
        <v>Supplier F</v>
      </c>
      <c r="P657" s="15">
        <f>Table5[[#This Row],[Total Revenue]]-Table5[[#This Row],[Net Sales Revenue]]</f>
        <v>3467.7999999999993</v>
      </c>
      <c r="Q657" s="15">
        <f>Table5[[#This Row],[Net Sales Revenue]]/Table5[[#This Row],[Units Sold]]</f>
        <v>8.6</v>
      </c>
      <c r="R657">
        <f>VLOOKUP(Table5[[#This Row],[Product ID]],'Product Master'!$A$1:$E$10,5,FALSE)</f>
        <v>4</v>
      </c>
      <c r="S657" s="15">
        <f>Table5[[#This Row],[standard product cost per unit]]*Table5[[#This Row],[Units Sold]]</f>
        <v>9908</v>
      </c>
      <c r="T657" s="15">
        <f>Table5[[#This Row],[Cost of Sales]]-Table5[[#This Row],[Standard cost]]</f>
        <v>792.63999999999942</v>
      </c>
      <c r="U657" s="15">
        <f>Table5[[#This Row],[Net Sales Revenue]]-Table5[[#This Row],[Cost of Sales]]</f>
        <v>10601.560000000001</v>
      </c>
      <c r="V657" s="17">
        <f>Table5[[#This Row],[GrossProfit]]/Table5[[#This Row],[Net Sales Revenue]]</f>
        <v>0.49767441860465123</v>
      </c>
    </row>
    <row r="658" spans="1:22" ht="14.25" customHeight="1" x14ac:dyDescent="0.25">
      <c r="A658" s="1" t="s">
        <v>738</v>
      </c>
      <c r="B658" s="1" t="s">
        <v>712</v>
      </c>
      <c r="C658" s="1" t="s">
        <v>48</v>
      </c>
      <c r="D658" s="1" t="s">
        <v>33</v>
      </c>
      <c r="E658" s="1" t="s">
        <v>31</v>
      </c>
      <c r="F658" s="1">
        <v>2578</v>
      </c>
      <c r="G658" s="14">
        <v>22</v>
      </c>
      <c r="H658" s="1">
        <v>0.17</v>
      </c>
      <c r="I658" s="14">
        <v>47074.28</v>
      </c>
      <c r="J658" s="14">
        <v>27842.400000000001</v>
      </c>
      <c r="K658" s="15">
        <f>Table5[[#This Row],[Selling Price]]*Table5[[#This Row],[Units Sold]]</f>
        <v>56716</v>
      </c>
      <c r="L658" t="str">
        <f t="shared" si="10"/>
        <v>2024-03</v>
      </c>
      <c r="M658" t="str">
        <f>VLOOKUP(Table5[[#This Row],[Store ID]],Table4[[Store ID]:[Store Location]],2)</f>
        <v>London Stratford</v>
      </c>
      <c r="N658" t="str">
        <f>VLOOKUP(Table5[[#This Row],[Store ID]],Table4[[Store ID]:[Region]],3)</f>
        <v>South</v>
      </c>
      <c r="O658" t="str">
        <f>VLOOKUP(Table5[[#This Row],[Product ID]],'Product Master'!$A$2:$D$10,4)</f>
        <v>Supplier F</v>
      </c>
      <c r="P658" s="15">
        <f>Table5[[#This Row],[Total Revenue]]-Table5[[#This Row],[Net Sales Revenue]]</f>
        <v>9641.7200000000012</v>
      </c>
      <c r="Q658" s="15">
        <f>Table5[[#This Row],[Net Sales Revenue]]/Table5[[#This Row],[Units Sold]]</f>
        <v>18.259999999999998</v>
      </c>
      <c r="R658">
        <f>VLOOKUP(Table5[[#This Row],[Product ID]],'Product Master'!$A$1:$E$10,5,FALSE)</f>
        <v>10</v>
      </c>
      <c r="S658" s="15">
        <f>Table5[[#This Row],[standard product cost per unit]]*Table5[[#This Row],[Units Sold]]</f>
        <v>25780</v>
      </c>
      <c r="T658" s="15">
        <f>Table5[[#This Row],[Cost of Sales]]-Table5[[#This Row],[Standard cost]]</f>
        <v>2062.4000000000015</v>
      </c>
      <c r="U658" s="15">
        <f>Table5[[#This Row],[Net Sales Revenue]]-Table5[[#This Row],[Cost of Sales]]</f>
        <v>19231.879999999997</v>
      </c>
      <c r="V658" s="17">
        <f>Table5[[#This Row],[GrossProfit]]/Table5[[#This Row],[Net Sales Revenue]]</f>
        <v>0.40854326396495066</v>
      </c>
    </row>
    <row r="659" spans="1:22" ht="14.25" customHeight="1" x14ac:dyDescent="0.25">
      <c r="A659" s="1" t="s">
        <v>739</v>
      </c>
      <c r="B659" s="1" t="s">
        <v>712</v>
      </c>
      <c r="C659" s="1" t="s">
        <v>52</v>
      </c>
      <c r="D659" s="1" t="s">
        <v>6</v>
      </c>
      <c r="E659" s="1" t="s">
        <v>8</v>
      </c>
      <c r="F659" s="1">
        <v>2191</v>
      </c>
      <c r="G659" s="14">
        <v>24</v>
      </c>
      <c r="H659" s="1">
        <v>0.13</v>
      </c>
      <c r="I659" s="14">
        <v>45748.08</v>
      </c>
      <c r="J659" s="14">
        <v>28395.360000000001</v>
      </c>
      <c r="K659" s="15">
        <f>Table5[[#This Row],[Selling Price]]*Table5[[#This Row],[Units Sold]]</f>
        <v>52584</v>
      </c>
      <c r="L659" t="str">
        <f t="shared" si="10"/>
        <v>2024-03</v>
      </c>
      <c r="M659" t="str">
        <f>VLOOKUP(Table5[[#This Row],[Store ID]],Table4[[Store ID]:[Store Location]],2)</f>
        <v>Glasgow</v>
      </c>
      <c r="N659" t="str">
        <f>VLOOKUP(Table5[[#This Row],[Store ID]],Table4[[Store ID]:[Region]],3)</f>
        <v>Scotland</v>
      </c>
      <c r="O659" t="str">
        <f>VLOOKUP(Table5[[#This Row],[Product ID]],'Product Master'!$A$2:$D$10,4)</f>
        <v>Supplier A</v>
      </c>
      <c r="P659" s="15">
        <f>Table5[[#This Row],[Total Revenue]]-Table5[[#This Row],[Net Sales Revenue]]</f>
        <v>6835.9199999999983</v>
      </c>
      <c r="Q659" s="15">
        <f>Table5[[#This Row],[Net Sales Revenue]]/Table5[[#This Row],[Units Sold]]</f>
        <v>20.880000000000003</v>
      </c>
      <c r="R659">
        <f>VLOOKUP(Table5[[#This Row],[Product ID]],'Product Master'!$A$1:$E$10,5,FALSE)</f>
        <v>12</v>
      </c>
      <c r="S659" s="15">
        <f>Table5[[#This Row],[standard product cost per unit]]*Table5[[#This Row],[Units Sold]]</f>
        <v>26292</v>
      </c>
      <c r="T659" s="15">
        <f>Table5[[#This Row],[Cost of Sales]]-Table5[[#This Row],[Standard cost]]</f>
        <v>2103.3600000000006</v>
      </c>
      <c r="U659" s="15">
        <f>Table5[[#This Row],[Net Sales Revenue]]-Table5[[#This Row],[Cost of Sales]]</f>
        <v>17352.72</v>
      </c>
      <c r="V659" s="17">
        <f>Table5[[#This Row],[GrossProfit]]/Table5[[#This Row],[Net Sales Revenue]]</f>
        <v>0.37931034482758624</v>
      </c>
    </row>
    <row r="660" spans="1:22" ht="14.25" customHeight="1" x14ac:dyDescent="0.25">
      <c r="A660" s="1" t="s">
        <v>740</v>
      </c>
      <c r="B660" s="1" t="s">
        <v>712</v>
      </c>
      <c r="C660" s="1" t="s">
        <v>52</v>
      </c>
      <c r="D660" s="1" t="s">
        <v>10</v>
      </c>
      <c r="E660" s="1" t="s">
        <v>8</v>
      </c>
      <c r="F660" s="1">
        <v>2310</v>
      </c>
      <c r="G660" s="14">
        <v>50</v>
      </c>
      <c r="H660" s="1">
        <v>0.15</v>
      </c>
      <c r="I660" s="14">
        <v>98175</v>
      </c>
      <c r="J660" s="14">
        <v>69854.399999999994</v>
      </c>
      <c r="K660" s="15">
        <f>Table5[[#This Row],[Selling Price]]*Table5[[#This Row],[Units Sold]]</f>
        <v>115500</v>
      </c>
      <c r="L660" t="str">
        <f t="shared" si="10"/>
        <v>2024-03</v>
      </c>
      <c r="M660" t="str">
        <f>VLOOKUP(Table5[[#This Row],[Store ID]],Table4[[Store ID]:[Store Location]],2)</f>
        <v>Glasgow</v>
      </c>
      <c r="N660" t="str">
        <f>VLOOKUP(Table5[[#This Row],[Store ID]],Table4[[Store ID]:[Region]],3)</f>
        <v>Scotland</v>
      </c>
      <c r="O660" t="str">
        <f>VLOOKUP(Table5[[#This Row],[Product ID]],'Product Master'!$A$2:$D$10,4)</f>
        <v>Supplier B</v>
      </c>
      <c r="P660" s="15">
        <f>Table5[[#This Row],[Total Revenue]]-Table5[[#This Row],[Net Sales Revenue]]</f>
        <v>17325</v>
      </c>
      <c r="Q660" s="15">
        <f>Table5[[#This Row],[Net Sales Revenue]]/Table5[[#This Row],[Units Sold]]</f>
        <v>42.5</v>
      </c>
      <c r="R660">
        <f>VLOOKUP(Table5[[#This Row],[Product ID]],'Product Master'!$A$1:$E$10,5,FALSE)</f>
        <v>28</v>
      </c>
      <c r="S660" s="15">
        <f>Table5[[#This Row],[standard product cost per unit]]*Table5[[#This Row],[Units Sold]]</f>
        <v>64680</v>
      </c>
      <c r="T660" s="15">
        <f>Table5[[#This Row],[Cost of Sales]]-Table5[[#This Row],[Standard cost]]</f>
        <v>5174.3999999999942</v>
      </c>
      <c r="U660" s="15">
        <f>Table5[[#This Row],[Net Sales Revenue]]-Table5[[#This Row],[Cost of Sales]]</f>
        <v>28320.600000000006</v>
      </c>
      <c r="V660" s="17">
        <f>Table5[[#This Row],[GrossProfit]]/Table5[[#This Row],[Net Sales Revenue]]</f>
        <v>0.2884705882352942</v>
      </c>
    </row>
    <row r="661" spans="1:22" ht="14.25" customHeight="1" x14ac:dyDescent="0.25">
      <c r="A661" s="1" t="s">
        <v>741</v>
      </c>
      <c r="B661" s="1" t="s">
        <v>712</v>
      </c>
      <c r="C661" s="1" t="s">
        <v>52</v>
      </c>
      <c r="D661" s="1" t="s">
        <v>13</v>
      </c>
      <c r="E661" s="1" t="s">
        <v>15</v>
      </c>
      <c r="F661" s="1">
        <v>2877</v>
      </c>
      <c r="G661" s="14">
        <v>28</v>
      </c>
      <c r="H661" s="1">
        <v>0.16</v>
      </c>
      <c r="I661" s="14">
        <v>67667.039999999994</v>
      </c>
      <c r="J661" s="14">
        <v>46607.4</v>
      </c>
      <c r="K661" s="15">
        <f>Table5[[#This Row],[Selling Price]]*Table5[[#This Row],[Units Sold]]</f>
        <v>80556</v>
      </c>
      <c r="L661" t="str">
        <f t="shared" si="10"/>
        <v>2024-03</v>
      </c>
      <c r="M661" t="str">
        <f>VLOOKUP(Table5[[#This Row],[Store ID]],Table4[[Store ID]:[Store Location]],2)</f>
        <v>Glasgow</v>
      </c>
      <c r="N661" t="str">
        <f>VLOOKUP(Table5[[#This Row],[Store ID]],Table4[[Store ID]:[Region]],3)</f>
        <v>Scotland</v>
      </c>
      <c r="O661" t="str">
        <f>VLOOKUP(Table5[[#This Row],[Product ID]],'Product Master'!$A$2:$D$10,4)</f>
        <v>Supplier C</v>
      </c>
      <c r="P661" s="15">
        <f>Table5[[#This Row],[Total Revenue]]-Table5[[#This Row],[Net Sales Revenue]]</f>
        <v>12888.960000000006</v>
      </c>
      <c r="Q661" s="15">
        <f>Table5[[#This Row],[Net Sales Revenue]]/Table5[[#This Row],[Units Sold]]</f>
        <v>23.519999999999996</v>
      </c>
      <c r="R661">
        <f>VLOOKUP(Table5[[#This Row],[Product ID]],'Product Master'!$A$1:$E$10,5,FALSE)</f>
        <v>15</v>
      </c>
      <c r="S661" s="15">
        <f>Table5[[#This Row],[standard product cost per unit]]*Table5[[#This Row],[Units Sold]]</f>
        <v>43155</v>
      </c>
      <c r="T661" s="15">
        <f>Table5[[#This Row],[Cost of Sales]]-Table5[[#This Row],[Standard cost]]</f>
        <v>3452.4000000000015</v>
      </c>
      <c r="U661" s="15">
        <f>Table5[[#This Row],[Net Sales Revenue]]-Table5[[#This Row],[Cost of Sales]]</f>
        <v>21059.639999999992</v>
      </c>
      <c r="V661" s="17">
        <f>Table5[[#This Row],[GrossProfit]]/Table5[[#This Row],[Net Sales Revenue]]</f>
        <v>0.31122448979591827</v>
      </c>
    </row>
    <row r="662" spans="1:22" ht="14.25" customHeight="1" x14ac:dyDescent="0.25">
      <c r="A662" s="1" t="s">
        <v>742</v>
      </c>
      <c r="B662" s="1" t="s">
        <v>712</v>
      </c>
      <c r="C662" s="1" t="s">
        <v>52</v>
      </c>
      <c r="D662" s="1" t="s">
        <v>17</v>
      </c>
      <c r="E662" s="1" t="s">
        <v>15</v>
      </c>
      <c r="F662" s="1">
        <v>2930</v>
      </c>
      <c r="G662" s="14">
        <v>35</v>
      </c>
      <c r="H662" s="1">
        <v>0.16</v>
      </c>
      <c r="I662" s="14">
        <v>86142</v>
      </c>
      <c r="J662" s="14">
        <v>56959.199999999997</v>
      </c>
      <c r="K662" s="15">
        <f>Table5[[#This Row],[Selling Price]]*Table5[[#This Row],[Units Sold]]</f>
        <v>102550</v>
      </c>
      <c r="L662" t="str">
        <f t="shared" si="10"/>
        <v>2024-03</v>
      </c>
      <c r="M662" t="str">
        <f>VLOOKUP(Table5[[#This Row],[Store ID]],Table4[[Store ID]:[Store Location]],2)</f>
        <v>Glasgow</v>
      </c>
      <c r="N662" t="str">
        <f>VLOOKUP(Table5[[#This Row],[Store ID]],Table4[[Store ID]:[Region]],3)</f>
        <v>Scotland</v>
      </c>
      <c r="O662" t="str">
        <f>VLOOKUP(Table5[[#This Row],[Product ID]],'Product Master'!$A$2:$D$10,4)</f>
        <v>Supplier C</v>
      </c>
      <c r="P662" s="15">
        <f>Table5[[#This Row],[Total Revenue]]-Table5[[#This Row],[Net Sales Revenue]]</f>
        <v>16408</v>
      </c>
      <c r="Q662" s="15">
        <f>Table5[[#This Row],[Net Sales Revenue]]/Table5[[#This Row],[Units Sold]]</f>
        <v>29.4</v>
      </c>
      <c r="R662">
        <f>VLOOKUP(Table5[[#This Row],[Product ID]],'Product Master'!$A$1:$E$10,5,FALSE)</f>
        <v>18</v>
      </c>
      <c r="S662" s="15">
        <f>Table5[[#This Row],[standard product cost per unit]]*Table5[[#This Row],[Units Sold]]</f>
        <v>52740</v>
      </c>
      <c r="T662" s="15">
        <f>Table5[[#This Row],[Cost of Sales]]-Table5[[#This Row],[Standard cost]]</f>
        <v>4219.1999999999971</v>
      </c>
      <c r="U662" s="15">
        <f>Table5[[#This Row],[Net Sales Revenue]]-Table5[[#This Row],[Cost of Sales]]</f>
        <v>29182.800000000003</v>
      </c>
      <c r="V662" s="17">
        <f>Table5[[#This Row],[GrossProfit]]/Table5[[#This Row],[Net Sales Revenue]]</f>
        <v>0.33877551020408164</v>
      </c>
    </row>
    <row r="663" spans="1:22" ht="14.25" customHeight="1" x14ac:dyDescent="0.25">
      <c r="A663" s="1" t="s">
        <v>743</v>
      </c>
      <c r="B663" s="1" t="s">
        <v>712</v>
      </c>
      <c r="C663" s="1" t="s">
        <v>52</v>
      </c>
      <c r="D663" s="1" t="s">
        <v>19</v>
      </c>
      <c r="E663" s="1" t="s">
        <v>21</v>
      </c>
      <c r="F663" s="1">
        <v>1460</v>
      </c>
      <c r="G663" s="14">
        <v>18</v>
      </c>
      <c r="H663" s="1">
        <v>0.16</v>
      </c>
      <c r="I663" s="14">
        <v>22075.200000000001</v>
      </c>
      <c r="J663" s="14">
        <v>14191.2</v>
      </c>
      <c r="K663" s="15">
        <f>Table5[[#This Row],[Selling Price]]*Table5[[#This Row],[Units Sold]]</f>
        <v>26280</v>
      </c>
      <c r="L663" t="str">
        <f t="shared" si="10"/>
        <v>2024-03</v>
      </c>
      <c r="M663" t="str">
        <f>VLOOKUP(Table5[[#This Row],[Store ID]],Table4[[Store ID]:[Store Location]],2)</f>
        <v>Glasgow</v>
      </c>
      <c r="N663" t="str">
        <f>VLOOKUP(Table5[[#This Row],[Store ID]],Table4[[Store ID]:[Region]],3)</f>
        <v>Scotland</v>
      </c>
      <c r="O663" t="str">
        <f>VLOOKUP(Table5[[#This Row],[Product ID]],'Product Master'!$A$2:$D$10,4)</f>
        <v>Supplier D</v>
      </c>
      <c r="P663" s="15">
        <f>Table5[[#This Row],[Total Revenue]]-Table5[[#This Row],[Net Sales Revenue]]</f>
        <v>4204.7999999999993</v>
      </c>
      <c r="Q663" s="15">
        <f>Table5[[#This Row],[Net Sales Revenue]]/Table5[[#This Row],[Units Sold]]</f>
        <v>15.120000000000001</v>
      </c>
      <c r="R663">
        <f>VLOOKUP(Table5[[#This Row],[Product ID]],'Product Master'!$A$1:$E$10,5,FALSE)</f>
        <v>9</v>
      </c>
      <c r="S663" s="15">
        <f>Table5[[#This Row],[standard product cost per unit]]*Table5[[#This Row],[Units Sold]]</f>
        <v>13140</v>
      </c>
      <c r="T663" s="15">
        <f>Table5[[#This Row],[Cost of Sales]]-Table5[[#This Row],[Standard cost]]</f>
        <v>1051.2000000000007</v>
      </c>
      <c r="U663" s="15">
        <f>Table5[[#This Row],[Net Sales Revenue]]-Table5[[#This Row],[Cost of Sales]]</f>
        <v>7884</v>
      </c>
      <c r="V663" s="17">
        <f>Table5[[#This Row],[GrossProfit]]/Table5[[#This Row],[Net Sales Revenue]]</f>
        <v>0.35714285714285715</v>
      </c>
    </row>
    <row r="664" spans="1:22" ht="14.25" customHeight="1" x14ac:dyDescent="0.25">
      <c r="A664" s="1" t="s">
        <v>744</v>
      </c>
      <c r="B664" s="1" t="s">
        <v>712</v>
      </c>
      <c r="C664" s="1" t="s">
        <v>52</v>
      </c>
      <c r="D664" s="1" t="s">
        <v>23</v>
      </c>
      <c r="E664" s="1" t="s">
        <v>21</v>
      </c>
      <c r="F664" s="1">
        <v>2292</v>
      </c>
      <c r="G664" s="14">
        <v>30</v>
      </c>
      <c r="H664" s="1">
        <v>0.13</v>
      </c>
      <c r="I664" s="14">
        <v>59821.2</v>
      </c>
      <c r="J664" s="14">
        <v>34655.040000000001</v>
      </c>
      <c r="K664" s="15">
        <f>Table5[[#This Row],[Selling Price]]*Table5[[#This Row],[Units Sold]]</f>
        <v>68760</v>
      </c>
      <c r="L664" t="str">
        <f t="shared" si="10"/>
        <v>2024-03</v>
      </c>
      <c r="M664" t="str">
        <f>VLOOKUP(Table5[[#This Row],[Store ID]],Table4[[Store ID]:[Store Location]],2)</f>
        <v>Glasgow</v>
      </c>
      <c r="N664" t="str">
        <f>VLOOKUP(Table5[[#This Row],[Store ID]],Table4[[Store ID]:[Region]],3)</f>
        <v>Scotland</v>
      </c>
      <c r="O664" t="str">
        <f>VLOOKUP(Table5[[#This Row],[Product ID]],'Product Master'!$A$2:$D$10,4)</f>
        <v>Supplier D</v>
      </c>
      <c r="P664" s="15">
        <f>Table5[[#This Row],[Total Revenue]]-Table5[[#This Row],[Net Sales Revenue]]</f>
        <v>8938.8000000000029</v>
      </c>
      <c r="Q664" s="15">
        <f>Table5[[#This Row],[Net Sales Revenue]]/Table5[[#This Row],[Units Sold]]</f>
        <v>26.099999999999998</v>
      </c>
      <c r="R664">
        <f>VLOOKUP(Table5[[#This Row],[Product ID]],'Product Master'!$A$1:$E$10,5,FALSE)</f>
        <v>14</v>
      </c>
      <c r="S664" s="15">
        <f>Table5[[#This Row],[standard product cost per unit]]*Table5[[#This Row],[Units Sold]]</f>
        <v>32088</v>
      </c>
      <c r="T664" s="15">
        <f>Table5[[#This Row],[Cost of Sales]]-Table5[[#This Row],[Standard cost]]</f>
        <v>2567.0400000000009</v>
      </c>
      <c r="U664" s="15">
        <f>Table5[[#This Row],[Net Sales Revenue]]-Table5[[#This Row],[Cost of Sales]]</f>
        <v>25166.159999999996</v>
      </c>
      <c r="V664" s="17">
        <f>Table5[[#This Row],[GrossProfit]]/Table5[[#This Row],[Net Sales Revenue]]</f>
        <v>0.42068965517241375</v>
      </c>
    </row>
    <row r="665" spans="1:22" ht="14.25" customHeight="1" x14ac:dyDescent="0.25">
      <c r="A665" s="1" t="s">
        <v>745</v>
      </c>
      <c r="B665" s="1" t="s">
        <v>712</v>
      </c>
      <c r="C665" s="1" t="s">
        <v>52</v>
      </c>
      <c r="D665" s="1" t="s">
        <v>25</v>
      </c>
      <c r="E665" s="1" t="s">
        <v>27</v>
      </c>
      <c r="F665" s="1">
        <v>2987</v>
      </c>
      <c r="G665" s="14">
        <v>40</v>
      </c>
      <c r="H665" s="1">
        <v>0.17</v>
      </c>
      <c r="I665" s="14">
        <v>99168.4</v>
      </c>
      <c r="J665" s="14">
        <v>64519.199999999997</v>
      </c>
      <c r="K665" s="15">
        <f>Table5[[#This Row],[Selling Price]]*Table5[[#This Row],[Units Sold]]</f>
        <v>119480</v>
      </c>
      <c r="L665" t="str">
        <f t="shared" si="10"/>
        <v>2024-03</v>
      </c>
      <c r="M665" t="str">
        <f>VLOOKUP(Table5[[#This Row],[Store ID]],Table4[[Store ID]:[Store Location]],2)</f>
        <v>Glasgow</v>
      </c>
      <c r="N665" t="str">
        <f>VLOOKUP(Table5[[#This Row],[Store ID]],Table4[[Store ID]:[Region]],3)</f>
        <v>Scotland</v>
      </c>
      <c r="O665" t="str">
        <f>VLOOKUP(Table5[[#This Row],[Product ID]],'Product Master'!$A$2:$D$10,4)</f>
        <v>Supplier E</v>
      </c>
      <c r="P665" s="15">
        <f>Table5[[#This Row],[Total Revenue]]-Table5[[#This Row],[Net Sales Revenue]]</f>
        <v>20311.600000000006</v>
      </c>
      <c r="Q665" s="15">
        <f>Table5[[#This Row],[Net Sales Revenue]]/Table5[[#This Row],[Units Sold]]</f>
        <v>33.199999999999996</v>
      </c>
      <c r="R665">
        <f>VLOOKUP(Table5[[#This Row],[Product ID]],'Product Master'!$A$1:$E$10,5,FALSE)</f>
        <v>20</v>
      </c>
      <c r="S665" s="15">
        <f>Table5[[#This Row],[standard product cost per unit]]*Table5[[#This Row],[Units Sold]]</f>
        <v>59740</v>
      </c>
      <c r="T665" s="15">
        <f>Table5[[#This Row],[Cost of Sales]]-Table5[[#This Row],[Standard cost]]</f>
        <v>4779.1999999999971</v>
      </c>
      <c r="U665" s="15">
        <f>Table5[[#This Row],[Net Sales Revenue]]-Table5[[#This Row],[Cost of Sales]]</f>
        <v>34649.199999999997</v>
      </c>
      <c r="V665" s="17">
        <f>Table5[[#This Row],[GrossProfit]]/Table5[[#This Row],[Net Sales Revenue]]</f>
        <v>0.3493975903614458</v>
      </c>
    </row>
    <row r="666" spans="1:22" ht="14.25" customHeight="1" x14ac:dyDescent="0.25">
      <c r="A666" s="1" t="s">
        <v>746</v>
      </c>
      <c r="B666" s="1" t="s">
        <v>712</v>
      </c>
      <c r="C666" s="1" t="s">
        <v>52</v>
      </c>
      <c r="D666" s="1" t="s">
        <v>29</v>
      </c>
      <c r="E666" s="1" t="s">
        <v>31</v>
      </c>
      <c r="F666" s="1">
        <v>2666</v>
      </c>
      <c r="G666" s="14">
        <v>10</v>
      </c>
      <c r="H666" s="1">
        <v>0.12</v>
      </c>
      <c r="I666" s="14">
        <v>23460.799999999999</v>
      </c>
      <c r="J666" s="14">
        <v>11517.12</v>
      </c>
      <c r="K666" s="15">
        <f>Table5[[#This Row],[Selling Price]]*Table5[[#This Row],[Units Sold]]</f>
        <v>26660</v>
      </c>
      <c r="L666" t="str">
        <f t="shared" si="10"/>
        <v>2024-03</v>
      </c>
      <c r="M666" t="str">
        <f>VLOOKUP(Table5[[#This Row],[Store ID]],Table4[[Store ID]:[Store Location]],2)</f>
        <v>Glasgow</v>
      </c>
      <c r="N666" t="str">
        <f>VLOOKUP(Table5[[#This Row],[Store ID]],Table4[[Store ID]:[Region]],3)</f>
        <v>Scotland</v>
      </c>
      <c r="O666" t="str">
        <f>VLOOKUP(Table5[[#This Row],[Product ID]],'Product Master'!$A$2:$D$10,4)</f>
        <v>Supplier F</v>
      </c>
      <c r="P666" s="15">
        <f>Table5[[#This Row],[Total Revenue]]-Table5[[#This Row],[Net Sales Revenue]]</f>
        <v>3199.2000000000007</v>
      </c>
      <c r="Q666" s="15">
        <f>Table5[[#This Row],[Net Sales Revenue]]/Table5[[#This Row],[Units Sold]]</f>
        <v>8.7999999999999989</v>
      </c>
      <c r="R666">
        <f>VLOOKUP(Table5[[#This Row],[Product ID]],'Product Master'!$A$1:$E$10,5,FALSE)</f>
        <v>4</v>
      </c>
      <c r="S666" s="15">
        <f>Table5[[#This Row],[standard product cost per unit]]*Table5[[#This Row],[Units Sold]]</f>
        <v>10664</v>
      </c>
      <c r="T666" s="15">
        <f>Table5[[#This Row],[Cost of Sales]]-Table5[[#This Row],[Standard cost]]</f>
        <v>853.1200000000008</v>
      </c>
      <c r="U666" s="15">
        <f>Table5[[#This Row],[Net Sales Revenue]]-Table5[[#This Row],[Cost of Sales]]</f>
        <v>11943.679999999998</v>
      </c>
      <c r="V666" s="17">
        <f>Table5[[#This Row],[GrossProfit]]/Table5[[#This Row],[Net Sales Revenue]]</f>
        <v>0.50909090909090904</v>
      </c>
    </row>
    <row r="667" spans="1:22" ht="14.25" customHeight="1" x14ac:dyDescent="0.25">
      <c r="A667" s="1" t="s">
        <v>747</v>
      </c>
      <c r="B667" s="1" t="s">
        <v>712</v>
      </c>
      <c r="C667" s="1" t="s">
        <v>52</v>
      </c>
      <c r="D667" s="1" t="s">
        <v>33</v>
      </c>
      <c r="E667" s="1" t="s">
        <v>31</v>
      </c>
      <c r="F667" s="1">
        <v>1799</v>
      </c>
      <c r="G667" s="14">
        <v>22</v>
      </c>
      <c r="H667" s="1">
        <v>0.16</v>
      </c>
      <c r="I667" s="14">
        <v>33245.519999999997</v>
      </c>
      <c r="J667" s="14">
        <v>19429.2</v>
      </c>
      <c r="K667" s="15">
        <f>Table5[[#This Row],[Selling Price]]*Table5[[#This Row],[Units Sold]]</f>
        <v>39578</v>
      </c>
      <c r="L667" t="str">
        <f t="shared" si="10"/>
        <v>2024-03</v>
      </c>
      <c r="M667" t="str">
        <f>VLOOKUP(Table5[[#This Row],[Store ID]],Table4[[Store ID]:[Store Location]],2)</f>
        <v>Glasgow</v>
      </c>
      <c r="N667" t="str">
        <f>VLOOKUP(Table5[[#This Row],[Store ID]],Table4[[Store ID]:[Region]],3)</f>
        <v>Scotland</v>
      </c>
      <c r="O667" t="str">
        <f>VLOOKUP(Table5[[#This Row],[Product ID]],'Product Master'!$A$2:$D$10,4)</f>
        <v>Supplier F</v>
      </c>
      <c r="P667" s="15">
        <f>Table5[[#This Row],[Total Revenue]]-Table5[[#This Row],[Net Sales Revenue]]</f>
        <v>6332.4800000000032</v>
      </c>
      <c r="Q667" s="15">
        <f>Table5[[#This Row],[Net Sales Revenue]]/Table5[[#This Row],[Units Sold]]</f>
        <v>18.479999999999997</v>
      </c>
      <c r="R667">
        <f>VLOOKUP(Table5[[#This Row],[Product ID]],'Product Master'!$A$1:$E$10,5,FALSE)</f>
        <v>10</v>
      </c>
      <c r="S667" s="15">
        <f>Table5[[#This Row],[standard product cost per unit]]*Table5[[#This Row],[Units Sold]]</f>
        <v>17990</v>
      </c>
      <c r="T667" s="15">
        <f>Table5[[#This Row],[Cost of Sales]]-Table5[[#This Row],[Standard cost]]</f>
        <v>1439.2000000000007</v>
      </c>
      <c r="U667" s="15">
        <f>Table5[[#This Row],[Net Sales Revenue]]-Table5[[#This Row],[Cost of Sales]]</f>
        <v>13816.319999999996</v>
      </c>
      <c r="V667" s="17">
        <f>Table5[[#This Row],[GrossProfit]]/Table5[[#This Row],[Net Sales Revenue]]</f>
        <v>0.4155844155844155</v>
      </c>
    </row>
    <row r="668" spans="1:22" ht="14.25" customHeight="1" x14ac:dyDescent="0.25">
      <c r="A668" s="1" t="s">
        <v>748</v>
      </c>
      <c r="B668" s="1" t="s">
        <v>712</v>
      </c>
      <c r="C668" s="1" t="s">
        <v>56</v>
      </c>
      <c r="D668" s="1" t="s">
        <v>6</v>
      </c>
      <c r="E668" s="1" t="s">
        <v>8</v>
      </c>
      <c r="F668" s="1">
        <v>1324</v>
      </c>
      <c r="G668" s="14">
        <v>24</v>
      </c>
      <c r="H668" s="1">
        <v>0.17</v>
      </c>
      <c r="I668" s="14">
        <v>26374.080000000002</v>
      </c>
      <c r="J668" s="14">
        <v>17159.04</v>
      </c>
      <c r="K668" s="15">
        <f>Table5[[#This Row],[Selling Price]]*Table5[[#This Row],[Units Sold]]</f>
        <v>31776</v>
      </c>
      <c r="L668" t="str">
        <f t="shared" si="10"/>
        <v>2024-03</v>
      </c>
      <c r="M668" t="str">
        <f>VLOOKUP(Table5[[#This Row],[Store ID]],Table4[[Store ID]:[Store Location]],2)</f>
        <v>Leeds</v>
      </c>
      <c r="N668" t="str">
        <f>VLOOKUP(Table5[[#This Row],[Store ID]],Table4[[Store ID]:[Region]],3)</f>
        <v>North</v>
      </c>
      <c r="O668" t="str">
        <f>VLOOKUP(Table5[[#This Row],[Product ID]],'Product Master'!$A$2:$D$10,4)</f>
        <v>Supplier A</v>
      </c>
      <c r="P668" s="15">
        <f>Table5[[#This Row],[Total Revenue]]-Table5[[#This Row],[Net Sales Revenue]]</f>
        <v>5401.9199999999983</v>
      </c>
      <c r="Q668" s="15">
        <f>Table5[[#This Row],[Net Sales Revenue]]/Table5[[#This Row],[Units Sold]]</f>
        <v>19.920000000000002</v>
      </c>
      <c r="R668">
        <f>VLOOKUP(Table5[[#This Row],[Product ID]],'Product Master'!$A$1:$E$10,5,FALSE)</f>
        <v>12</v>
      </c>
      <c r="S668" s="15">
        <f>Table5[[#This Row],[standard product cost per unit]]*Table5[[#This Row],[Units Sold]]</f>
        <v>15888</v>
      </c>
      <c r="T668" s="15">
        <f>Table5[[#This Row],[Cost of Sales]]-Table5[[#This Row],[Standard cost]]</f>
        <v>1271.0400000000009</v>
      </c>
      <c r="U668" s="15">
        <f>Table5[[#This Row],[Net Sales Revenue]]-Table5[[#This Row],[Cost of Sales]]</f>
        <v>9215.0400000000009</v>
      </c>
      <c r="V668" s="17">
        <f>Table5[[#This Row],[GrossProfit]]/Table5[[#This Row],[Net Sales Revenue]]</f>
        <v>0.3493975903614458</v>
      </c>
    </row>
    <row r="669" spans="1:22" ht="14.25" customHeight="1" x14ac:dyDescent="0.25">
      <c r="A669" s="1" t="s">
        <v>749</v>
      </c>
      <c r="B669" s="1" t="s">
        <v>712</v>
      </c>
      <c r="C669" s="1" t="s">
        <v>56</v>
      </c>
      <c r="D669" s="1" t="s">
        <v>10</v>
      </c>
      <c r="E669" s="1" t="s">
        <v>8</v>
      </c>
      <c r="F669" s="1">
        <v>1372</v>
      </c>
      <c r="G669" s="14">
        <v>50</v>
      </c>
      <c r="H669" s="1">
        <v>0.17</v>
      </c>
      <c r="I669" s="14">
        <v>56938</v>
      </c>
      <c r="J669" s="14">
        <v>41489.279999999999</v>
      </c>
      <c r="K669" s="15">
        <f>Table5[[#This Row],[Selling Price]]*Table5[[#This Row],[Units Sold]]</f>
        <v>68600</v>
      </c>
      <c r="L669" t="str">
        <f t="shared" si="10"/>
        <v>2024-03</v>
      </c>
      <c r="M669" t="str">
        <f>VLOOKUP(Table5[[#This Row],[Store ID]],Table4[[Store ID]:[Store Location]],2)</f>
        <v>Leeds</v>
      </c>
      <c r="N669" t="str">
        <f>VLOOKUP(Table5[[#This Row],[Store ID]],Table4[[Store ID]:[Region]],3)</f>
        <v>North</v>
      </c>
      <c r="O669" t="str">
        <f>VLOOKUP(Table5[[#This Row],[Product ID]],'Product Master'!$A$2:$D$10,4)</f>
        <v>Supplier B</v>
      </c>
      <c r="P669" s="15">
        <f>Table5[[#This Row],[Total Revenue]]-Table5[[#This Row],[Net Sales Revenue]]</f>
        <v>11662</v>
      </c>
      <c r="Q669" s="15">
        <f>Table5[[#This Row],[Net Sales Revenue]]/Table5[[#This Row],[Units Sold]]</f>
        <v>41.5</v>
      </c>
      <c r="R669">
        <f>VLOOKUP(Table5[[#This Row],[Product ID]],'Product Master'!$A$1:$E$10,5,FALSE)</f>
        <v>28</v>
      </c>
      <c r="S669" s="15">
        <f>Table5[[#This Row],[standard product cost per unit]]*Table5[[#This Row],[Units Sold]]</f>
        <v>38416</v>
      </c>
      <c r="T669" s="15">
        <f>Table5[[#This Row],[Cost of Sales]]-Table5[[#This Row],[Standard cost]]</f>
        <v>3073.2799999999988</v>
      </c>
      <c r="U669" s="15">
        <f>Table5[[#This Row],[Net Sales Revenue]]-Table5[[#This Row],[Cost of Sales]]</f>
        <v>15448.720000000001</v>
      </c>
      <c r="V669" s="17">
        <f>Table5[[#This Row],[GrossProfit]]/Table5[[#This Row],[Net Sales Revenue]]</f>
        <v>0.27132530120481929</v>
      </c>
    </row>
    <row r="670" spans="1:22" ht="14.25" customHeight="1" x14ac:dyDescent="0.25">
      <c r="A670" s="1" t="s">
        <v>750</v>
      </c>
      <c r="B670" s="1" t="s">
        <v>712</v>
      </c>
      <c r="C670" s="1" t="s">
        <v>56</v>
      </c>
      <c r="D670" s="1" t="s">
        <v>13</v>
      </c>
      <c r="E670" s="1" t="s">
        <v>15</v>
      </c>
      <c r="F670" s="1">
        <v>2134</v>
      </c>
      <c r="G670" s="14">
        <v>28</v>
      </c>
      <c r="H670" s="1">
        <v>0.13</v>
      </c>
      <c r="I670" s="14">
        <v>51984.24</v>
      </c>
      <c r="J670" s="14">
        <v>34570.800000000003</v>
      </c>
      <c r="K670" s="15">
        <f>Table5[[#This Row],[Selling Price]]*Table5[[#This Row],[Units Sold]]</f>
        <v>59752</v>
      </c>
      <c r="L670" t="str">
        <f t="shared" si="10"/>
        <v>2024-03</v>
      </c>
      <c r="M670" t="str">
        <f>VLOOKUP(Table5[[#This Row],[Store ID]],Table4[[Store ID]:[Store Location]],2)</f>
        <v>Leeds</v>
      </c>
      <c r="N670" t="str">
        <f>VLOOKUP(Table5[[#This Row],[Store ID]],Table4[[Store ID]:[Region]],3)</f>
        <v>North</v>
      </c>
      <c r="O670" t="str">
        <f>VLOOKUP(Table5[[#This Row],[Product ID]],'Product Master'!$A$2:$D$10,4)</f>
        <v>Supplier C</v>
      </c>
      <c r="P670" s="15">
        <f>Table5[[#This Row],[Total Revenue]]-Table5[[#This Row],[Net Sales Revenue]]</f>
        <v>7767.760000000002</v>
      </c>
      <c r="Q670" s="15">
        <f>Table5[[#This Row],[Net Sales Revenue]]/Table5[[#This Row],[Units Sold]]</f>
        <v>24.36</v>
      </c>
      <c r="R670">
        <f>VLOOKUP(Table5[[#This Row],[Product ID]],'Product Master'!$A$1:$E$10,5,FALSE)</f>
        <v>15</v>
      </c>
      <c r="S670" s="15">
        <f>Table5[[#This Row],[standard product cost per unit]]*Table5[[#This Row],[Units Sold]]</f>
        <v>32010</v>
      </c>
      <c r="T670" s="15">
        <f>Table5[[#This Row],[Cost of Sales]]-Table5[[#This Row],[Standard cost]]</f>
        <v>2560.8000000000029</v>
      </c>
      <c r="U670" s="15">
        <f>Table5[[#This Row],[Net Sales Revenue]]-Table5[[#This Row],[Cost of Sales]]</f>
        <v>17413.439999999995</v>
      </c>
      <c r="V670" s="17">
        <f>Table5[[#This Row],[GrossProfit]]/Table5[[#This Row],[Net Sales Revenue]]</f>
        <v>0.334975369458128</v>
      </c>
    </row>
    <row r="671" spans="1:22" ht="14.25" customHeight="1" x14ac:dyDescent="0.25">
      <c r="A671" s="1" t="s">
        <v>751</v>
      </c>
      <c r="B671" s="1" t="s">
        <v>712</v>
      </c>
      <c r="C671" s="1" t="s">
        <v>56</v>
      </c>
      <c r="D671" s="1" t="s">
        <v>17</v>
      </c>
      <c r="E671" s="1" t="s">
        <v>15</v>
      </c>
      <c r="F671" s="1">
        <v>2204</v>
      </c>
      <c r="G671" s="14">
        <v>35</v>
      </c>
      <c r="H671" s="1">
        <v>0.16</v>
      </c>
      <c r="I671" s="14">
        <v>64797.599999999999</v>
      </c>
      <c r="J671" s="14">
        <v>42845.760000000002</v>
      </c>
      <c r="K671" s="15">
        <f>Table5[[#This Row],[Selling Price]]*Table5[[#This Row],[Units Sold]]</f>
        <v>77140</v>
      </c>
      <c r="L671" t="str">
        <f t="shared" si="10"/>
        <v>2024-03</v>
      </c>
      <c r="M671" t="str">
        <f>VLOOKUP(Table5[[#This Row],[Store ID]],Table4[[Store ID]:[Store Location]],2)</f>
        <v>Leeds</v>
      </c>
      <c r="N671" t="str">
        <f>VLOOKUP(Table5[[#This Row],[Store ID]],Table4[[Store ID]:[Region]],3)</f>
        <v>North</v>
      </c>
      <c r="O671" t="str">
        <f>VLOOKUP(Table5[[#This Row],[Product ID]],'Product Master'!$A$2:$D$10,4)</f>
        <v>Supplier C</v>
      </c>
      <c r="P671" s="15">
        <f>Table5[[#This Row],[Total Revenue]]-Table5[[#This Row],[Net Sales Revenue]]</f>
        <v>12342.400000000001</v>
      </c>
      <c r="Q671" s="15">
        <f>Table5[[#This Row],[Net Sales Revenue]]/Table5[[#This Row],[Units Sold]]</f>
        <v>29.4</v>
      </c>
      <c r="R671">
        <f>VLOOKUP(Table5[[#This Row],[Product ID]],'Product Master'!$A$1:$E$10,5,FALSE)</f>
        <v>18</v>
      </c>
      <c r="S671" s="15">
        <f>Table5[[#This Row],[standard product cost per unit]]*Table5[[#This Row],[Units Sold]]</f>
        <v>39672</v>
      </c>
      <c r="T671" s="15">
        <f>Table5[[#This Row],[Cost of Sales]]-Table5[[#This Row],[Standard cost]]</f>
        <v>3173.760000000002</v>
      </c>
      <c r="U671" s="15">
        <f>Table5[[#This Row],[Net Sales Revenue]]-Table5[[#This Row],[Cost of Sales]]</f>
        <v>21951.839999999997</v>
      </c>
      <c r="V671" s="17">
        <f>Table5[[#This Row],[GrossProfit]]/Table5[[#This Row],[Net Sales Revenue]]</f>
        <v>0.33877551020408159</v>
      </c>
    </row>
    <row r="672" spans="1:22" ht="14.25" customHeight="1" x14ac:dyDescent="0.25">
      <c r="A672" s="1" t="s">
        <v>752</v>
      </c>
      <c r="B672" s="1" t="s">
        <v>712</v>
      </c>
      <c r="C672" s="1" t="s">
        <v>56</v>
      </c>
      <c r="D672" s="1" t="s">
        <v>19</v>
      </c>
      <c r="E672" s="1" t="s">
        <v>21</v>
      </c>
      <c r="F672" s="1">
        <v>2745</v>
      </c>
      <c r="G672" s="14">
        <v>18</v>
      </c>
      <c r="H672" s="1">
        <v>0.12</v>
      </c>
      <c r="I672" s="14">
        <v>43480.800000000003</v>
      </c>
      <c r="J672" s="14">
        <v>26681.4</v>
      </c>
      <c r="K672" s="15">
        <f>Table5[[#This Row],[Selling Price]]*Table5[[#This Row],[Units Sold]]</f>
        <v>49410</v>
      </c>
      <c r="L672" t="str">
        <f t="shared" si="10"/>
        <v>2024-03</v>
      </c>
      <c r="M672" t="str">
        <f>VLOOKUP(Table5[[#This Row],[Store ID]],Table4[[Store ID]:[Store Location]],2)</f>
        <v>Leeds</v>
      </c>
      <c r="N672" t="str">
        <f>VLOOKUP(Table5[[#This Row],[Store ID]],Table4[[Store ID]:[Region]],3)</f>
        <v>North</v>
      </c>
      <c r="O672" t="str">
        <f>VLOOKUP(Table5[[#This Row],[Product ID]],'Product Master'!$A$2:$D$10,4)</f>
        <v>Supplier D</v>
      </c>
      <c r="P672" s="15">
        <f>Table5[[#This Row],[Total Revenue]]-Table5[[#This Row],[Net Sales Revenue]]</f>
        <v>5929.1999999999971</v>
      </c>
      <c r="Q672" s="15">
        <f>Table5[[#This Row],[Net Sales Revenue]]/Table5[[#This Row],[Units Sold]]</f>
        <v>15.840000000000002</v>
      </c>
      <c r="R672">
        <f>VLOOKUP(Table5[[#This Row],[Product ID]],'Product Master'!$A$1:$E$10,5,FALSE)</f>
        <v>9</v>
      </c>
      <c r="S672" s="15">
        <f>Table5[[#This Row],[standard product cost per unit]]*Table5[[#This Row],[Units Sold]]</f>
        <v>24705</v>
      </c>
      <c r="T672" s="15">
        <f>Table5[[#This Row],[Cost of Sales]]-Table5[[#This Row],[Standard cost]]</f>
        <v>1976.4000000000015</v>
      </c>
      <c r="U672" s="15">
        <f>Table5[[#This Row],[Net Sales Revenue]]-Table5[[#This Row],[Cost of Sales]]</f>
        <v>16799.400000000001</v>
      </c>
      <c r="V672" s="17">
        <f>Table5[[#This Row],[GrossProfit]]/Table5[[#This Row],[Net Sales Revenue]]</f>
        <v>0.38636363636363635</v>
      </c>
    </row>
    <row r="673" spans="1:22" ht="14.25" customHeight="1" x14ac:dyDescent="0.25">
      <c r="A673" s="1" t="s">
        <v>753</v>
      </c>
      <c r="B673" s="1" t="s">
        <v>712</v>
      </c>
      <c r="C673" s="1" t="s">
        <v>56</v>
      </c>
      <c r="D673" s="1" t="s">
        <v>23</v>
      </c>
      <c r="E673" s="1" t="s">
        <v>21</v>
      </c>
      <c r="F673" s="1">
        <v>2503</v>
      </c>
      <c r="G673" s="14">
        <v>30</v>
      </c>
      <c r="H673" s="1">
        <v>0.12</v>
      </c>
      <c r="I673" s="14">
        <v>66079.199999999997</v>
      </c>
      <c r="J673" s="14">
        <v>37845.360000000001</v>
      </c>
      <c r="K673" s="15">
        <f>Table5[[#This Row],[Selling Price]]*Table5[[#This Row],[Units Sold]]</f>
        <v>75090</v>
      </c>
      <c r="L673" t="str">
        <f t="shared" si="10"/>
        <v>2024-03</v>
      </c>
      <c r="M673" t="str">
        <f>VLOOKUP(Table5[[#This Row],[Store ID]],Table4[[Store ID]:[Store Location]],2)</f>
        <v>Leeds</v>
      </c>
      <c r="N673" t="str">
        <f>VLOOKUP(Table5[[#This Row],[Store ID]],Table4[[Store ID]:[Region]],3)</f>
        <v>North</v>
      </c>
      <c r="O673" t="str">
        <f>VLOOKUP(Table5[[#This Row],[Product ID]],'Product Master'!$A$2:$D$10,4)</f>
        <v>Supplier D</v>
      </c>
      <c r="P673" s="15">
        <f>Table5[[#This Row],[Total Revenue]]-Table5[[#This Row],[Net Sales Revenue]]</f>
        <v>9010.8000000000029</v>
      </c>
      <c r="Q673" s="15">
        <f>Table5[[#This Row],[Net Sales Revenue]]/Table5[[#This Row],[Units Sold]]</f>
        <v>26.4</v>
      </c>
      <c r="R673">
        <f>VLOOKUP(Table5[[#This Row],[Product ID]],'Product Master'!$A$1:$E$10,5,FALSE)</f>
        <v>14</v>
      </c>
      <c r="S673" s="15">
        <f>Table5[[#This Row],[standard product cost per unit]]*Table5[[#This Row],[Units Sold]]</f>
        <v>35042</v>
      </c>
      <c r="T673" s="15">
        <f>Table5[[#This Row],[Cost of Sales]]-Table5[[#This Row],[Standard cost]]</f>
        <v>2803.3600000000006</v>
      </c>
      <c r="U673" s="15">
        <f>Table5[[#This Row],[Net Sales Revenue]]-Table5[[#This Row],[Cost of Sales]]</f>
        <v>28233.839999999997</v>
      </c>
      <c r="V673" s="17">
        <f>Table5[[#This Row],[GrossProfit]]/Table5[[#This Row],[Net Sales Revenue]]</f>
        <v>0.42727272727272725</v>
      </c>
    </row>
    <row r="674" spans="1:22" ht="14.25" customHeight="1" x14ac:dyDescent="0.25">
      <c r="A674" s="1" t="s">
        <v>754</v>
      </c>
      <c r="B674" s="1" t="s">
        <v>712</v>
      </c>
      <c r="C674" s="1" t="s">
        <v>56</v>
      </c>
      <c r="D674" s="1" t="s">
        <v>25</v>
      </c>
      <c r="E674" s="1" t="s">
        <v>27</v>
      </c>
      <c r="F674" s="1">
        <v>2644</v>
      </c>
      <c r="G674" s="14">
        <v>40</v>
      </c>
      <c r="H674" s="1">
        <v>0.14000000000000001</v>
      </c>
      <c r="I674" s="14">
        <v>90953.600000000006</v>
      </c>
      <c r="J674" s="14">
        <v>57110.400000000001</v>
      </c>
      <c r="K674" s="15">
        <f>Table5[[#This Row],[Selling Price]]*Table5[[#This Row],[Units Sold]]</f>
        <v>105760</v>
      </c>
      <c r="L674" t="str">
        <f t="shared" si="10"/>
        <v>2024-03</v>
      </c>
      <c r="M674" t="str">
        <f>VLOOKUP(Table5[[#This Row],[Store ID]],Table4[[Store ID]:[Store Location]],2)</f>
        <v>Leeds</v>
      </c>
      <c r="N674" t="str">
        <f>VLOOKUP(Table5[[#This Row],[Store ID]],Table4[[Store ID]:[Region]],3)</f>
        <v>North</v>
      </c>
      <c r="O674" t="str">
        <f>VLOOKUP(Table5[[#This Row],[Product ID]],'Product Master'!$A$2:$D$10,4)</f>
        <v>Supplier E</v>
      </c>
      <c r="P674" s="15">
        <f>Table5[[#This Row],[Total Revenue]]-Table5[[#This Row],[Net Sales Revenue]]</f>
        <v>14806.399999999994</v>
      </c>
      <c r="Q674" s="15">
        <f>Table5[[#This Row],[Net Sales Revenue]]/Table5[[#This Row],[Units Sold]]</f>
        <v>34.400000000000006</v>
      </c>
      <c r="R674">
        <f>VLOOKUP(Table5[[#This Row],[Product ID]],'Product Master'!$A$1:$E$10,5,FALSE)</f>
        <v>20</v>
      </c>
      <c r="S674" s="15">
        <f>Table5[[#This Row],[standard product cost per unit]]*Table5[[#This Row],[Units Sold]]</f>
        <v>52880</v>
      </c>
      <c r="T674" s="15">
        <f>Table5[[#This Row],[Cost of Sales]]-Table5[[#This Row],[Standard cost]]</f>
        <v>4230.4000000000015</v>
      </c>
      <c r="U674" s="15">
        <f>Table5[[#This Row],[Net Sales Revenue]]-Table5[[#This Row],[Cost of Sales]]</f>
        <v>33843.200000000004</v>
      </c>
      <c r="V674" s="17">
        <f>Table5[[#This Row],[GrossProfit]]/Table5[[#This Row],[Net Sales Revenue]]</f>
        <v>0.372093023255814</v>
      </c>
    </row>
    <row r="675" spans="1:22" ht="14.25" customHeight="1" x14ac:dyDescent="0.25">
      <c r="A675" s="1" t="s">
        <v>755</v>
      </c>
      <c r="B675" s="1" t="s">
        <v>712</v>
      </c>
      <c r="C675" s="1" t="s">
        <v>56</v>
      </c>
      <c r="D675" s="1" t="s">
        <v>29</v>
      </c>
      <c r="E675" s="1" t="s">
        <v>31</v>
      </c>
      <c r="F675" s="1">
        <v>1852</v>
      </c>
      <c r="G675" s="14">
        <v>10</v>
      </c>
      <c r="H675" s="1">
        <v>0.15</v>
      </c>
      <c r="I675" s="14">
        <v>15742</v>
      </c>
      <c r="J675" s="14">
        <v>8000.64</v>
      </c>
      <c r="K675" s="15">
        <f>Table5[[#This Row],[Selling Price]]*Table5[[#This Row],[Units Sold]]</f>
        <v>18520</v>
      </c>
      <c r="L675" t="str">
        <f t="shared" si="10"/>
        <v>2024-03</v>
      </c>
      <c r="M675" t="str">
        <f>VLOOKUP(Table5[[#This Row],[Store ID]],Table4[[Store ID]:[Store Location]],2)</f>
        <v>Leeds</v>
      </c>
      <c r="N675" t="str">
        <f>VLOOKUP(Table5[[#This Row],[Store ID]],Table4[[Store ID]:[Region]],3)</f>
        <v>North</v>
      </c>
      <c r="O675" t="str">
        <f>VLOOKUP(Table5[[#This Row],[Product ID]],'Product Master'!$A$2:$D$10,4)</f>
        <v>Supplier F</v>
      </c>
      <c r="P675" s="15">
        <f>Table5[[#This Row],[Total Revenue]]-Table5[[#This Row],[Net Sales Revenue]]</f>
        <v>2778</v>
      </c>
      <c r="Q675" s="15">
        <f>Table5[[#This Row],[Net Sales Revenue]]/Table5[[#This Row],[Units Sold]]</f>
        <v>8.5</v>
      </c>
      <c r="R675">
        <f>VLOOKUP(Table5[[#This Row],[Product ID]],'Product Master'!$A$1:$E$10,5,FALSE)</f>
        <v>4</v>
      </c>
      <c r="S675" s="15">
        <f>Table5[[#This Row],[standard product cost per unit]]*Table5[[#This Row],[Units Sold]]</f>
        <v>7408</v>
      </c>
      <c r="T675" s="15">
        <f>Table5[[#This Row],[Cost of Sales]]-Table5[[#This Row],[Standard cost]]</f>
        <v>592.64000000000033</v>
      </c>
      <c r="U675" s="15">
        <f>Table5[[#This Row],[Net Sales Revenue]]-Table5[[#This Row],[Cost of Sales]]</f>
        <v>7741.36</v>
      </c>
      <c r="V675" s="17">
        <f>Table5[[#This Row],[GrossProfit]]/Table5[[#This Row],[Net Sales Revenue]]</f>
        <v>0.49176470588235294</v>
      </c>
    </row>
    <row r="676" spans="1:22" ht="14.25" customHeight="1" x14ac:dyDescent="0.25">
      <c r="A676" s="1" t="s">
        <v>756</v>
      </c>
      <c r="B676" s="1" t="s">
        <v>712</v>
      </c>
      <c r="C676" s="1" t="s">
        <v>56</v>
      </c>
      <c r="D676" s="1" t="s">
        <v>33</v>
      </c>
      <c r="E676" s="1" t="s">
        <v>31</v>
      </c>
      <c r="F676" s="1">
        <v>1403</v>
      </c>
      <c r="G676" s="14">
        <v>22</v>
      </c>
      <c r="H676" s="1">
        <v>0.15</v>
      </c>
      <c r="I676" s="14">
        <v>26236.1</v>
      </c>
      <c r="J676" s="14">
        <v>15152.4</v>
      </c>
      <c r="K676" s="15">
        <f>Table5[[#This Row],[Selling Price]]*Table5[[#This Row],[Units Sold]]</f>
        <v>30866</v>
      </c>
      <c r="L676" t="str">
        <f t="shared" si="10"/>
        <v>2024-03</v>
      </c>
      <c r="M676" t="str">
        <f>VLOOKUP(Table5[[#This Row],[Store ID]],Table4[[Store ID]:[Store Location]],2)</f>
        <v>Leeds</v>
      </c>
      <c r="N676" t="str">
        <f>VLOOKUP(Table5[[#This Row],[Store ID]],Table4[[Store ID]:[Region]],3)</f>
        <v>North</v>
      </c>
      <c r="O676" t="str">
        <f>VLOOKUP(Table5[[#This Row],[Product ID]],'Product Master'!$A$2:$D$10,4)</f>
        <v>Supplier F</v>
      </c>
      <c r="P676" s="15">
        <f>Table5[[#This Row],[Total Revenue]]-Table5[[#This Row],[Net Sales Revenue]]</f>
        <v>4629.9000000000015</v>
      </c>
      <c r="Q676" s="15">
        <f>Table5[[#This Row],[Net Sales Revenue]]/Table5[[#This Row],[Units Sold]]</f>
        <v>18.7</v>
      </c>
      <c r="R676">
        <f>VLOOKUP(Table5[[#This Row],[Product ID]],'Product Master'!$A$1:$E$10,5,FALSE)</f>
        <v>10</v>
      </c>
      <c r="S676" s="15">
        <f>Table5[[#This Row],[standard product cost per unit]]*Table5[[#This Row],[Units Sold]]</f>
        <v>14030</v>
      </c>
      <c r="T676" s="15">
        <f>Table5[[#This Row],[Cost of Sales]]-Table5[[#This Row],[Standard cost]]</f>
        <v>1122.3999999999996</v>
      </c>
      <c r="U676" s="15">
        <f>Table5[[#This Row],[Net Sales Revenue]]-Table5[[#This Row],[Cost of Sales]]</f>
        <v>11083.699999999999</v>
      </c>
      <c r="V676" s="17">
        <f>Table5[[#This Row],[GrossProfit]]/Table5[[#This Row],[Net Sales Revenue]]</f>
        <v>0.42245989304812831</v>
      </c>
    </row>
    <row r="677" spans="1:22" ht="14.25" customHeight="1" x14ac:dyDescent="0.25">
      <c r="A677" s="1" t="s">
        <v>757</v>
      </c>
      <c r="B677" s="1" t="s">
        <v>758</v>
      </c>
      <c r="C677" s="1" t="s">
        <v>40</v>
      </c>
      <c r="D677" s="1" t="s">
        <v>6</v>
      </c>
      <c r="E677" s="1" t="s">
        <v>8</v>
      </c>
      <c r="F677" s="1">
        <v>2411</v>
      </c>
      <c r="G677" s="14">
        <v>24</v>
      </c>
      <c r="H677" s="1">
        <v>0.17</v>
      </c>
      <c r="I677" s="14">
        <v>48027.12</v>
      </c>
      <c r="J677" s="14">
        <v>31246.560000000001</v>
      </c>
      <c r="K677" s="15">
        <f>Table5[[#This Row],[Selling Price]]*Table5[[#This Row],[Units Sold]]</f>
        <v>57864</v>
      </c>
      <c r="L677" t="str">
        <f t="shared" si="10"/>
        <v>2024-04</v>
      </c>
      <c r="M677" t="str">
        <f>VLOOKUP(Table5[[#This Row],[Store ID]],Table4[[Store ID]:[Store Location]],2)</f>
        <v>Manchester</v>
      </c>
      <c r="N677" t="str">
        <f>VLOOKUP(Table5[[#This Row],[Store ID]],Table4[[Store ID]:[Region]],3)</f>
        <v>North</v>
      </c>
      <c r="O677" t="str">
        <f>VLOOKUP(Table5[[#This Row],[Product ID]],'Product Master'!$A$2:$D$10,4)</f>
        <v>Supplier A</v>
      </c>
      <c r="P677" s="15">
        <f>Table5[[#This Row],[Total Revenue]]-Table5[[#This Row],[Net Sales Revenue]]</f>
        <v>9836.8799999999974</v>
      </c>
      <c r="Q677" s="15">
        <f>Table5[[#This Row],[Net Sales Revenue]]/Table5[[#This Row],[Units Sold]]</f>
        <v>19.920000000000002</v>
      </c>
      <c r="R677">
        <f>VLOOKUP(Table5[[#This Row],[Product ID]],'Product Master'!$A$1:$E$10,5,FALSE)</f>
        <v>12</v>
      </c>
      <c r="S677" s="15">
        <f>Table5[[#This Row],[standard product cost per unit]]*Table5[[#This Row],[Units Sold]]</f>
        <v>28932</v>
      </c>
      <c r="T677" s="15">
        <f>Table5[[#This Row],[Cost of Sales]]-Table5[[#This Row],[Standard cost]]</f>
        <v>2314.5600000000013</v>
      </c>
      <c r="U677" s="15">
        <f>Table5[[#This Row],[Net Sales Revenue]]-Table5[[#This Row],[Cost of Sales]]</f>
        <v>16780.560000000001</v>
      </c>
      <c r="V677" s="17">
        <f>Table5[[#This Row],[GrossProfit]]/Table5[[#This Row],[Net Sales Revenue]]</f>
        <v>0.3493975903614458</v>
      </c>
    </row>
    <row r="678" spans="1:22" ht="14.25" customHeight="1" x14ac:dyDescent="0.25">
      <c r="A678" s="1" t="s">
        <v>759</v>
      </c>
      <c r="B678" s="1" t="s">
        <v>758</v>
      </c>
      <c r="C678" s="1" t="s">
        <v>40</v>
      </c>
      <c r="D678" s="1" t="s">
        <v>10</v>
      </c>
      <c r="E678" s="1" t="s">
        <v>8</v>
      </c>
      <c r="F678" s="1">
        <v>1729</v>
      </c>
      <c r="G678" s="14">
        <v>50</v>
      </c>
      <c r="H678" s="1">
        <v>0.16</v>
      </c>
      <c r="I678" s="14">
        <v>72618</v>
      </c>
      <c r="J678" s="14">
        <v>52284.959999999999</v>
      </c>
      <c r="K678" s="15">
        <f>Table5[[#This Row],[Selling Price]]*Table5[[#This Row],[Units Sold]]</f>
        <v>86450</v>
      </c>
      <c r="L678" t="str">
        <f t="shared" si="10"/>
        <v>2024-04</v>
      </c>
      <c r="M678" t="str">
        <f>VLOOKUP(Table5[[#This Row],[Store ID]],Table4[[Store ID]:[Store Location]],2)</f>
        <v>Manchester</v>
      </c>
      <c r="N678" t="str">
        <f>VLOOKUP(Table5[[#This Row],[Store ID]],Table4[[Store ID]:[Region]],3)</f>
        <v>North</v>
      </c>
      <c r="O678" t="str">
        <f>VLOOKUP(Table5[[#This Row],[Product ID]],'Product Master'!$A$2:$D$10,4)</f>
        <v>Supplier B</v>
      </c>
      <c r="P678" s="15">
        <f>Table5[[#This Row],[Total Revenue]]-Table5[[#This Row],[Net Sales Revenue]]</f>
        <v>13832</v>
      </c>
      <c r="Q678" s="15">
        <f>Table5[[#This Row],[Net Sales Revenue]]/Table5[[#This Row],[Units Sold]]</f>
        <v>42</v>
      </c>
      <c r="R678">
        <f>VLOOKUP(Table5[[#This Row],[Product ID]],'Product Master'!$A$1:$E$10,5,FALSE)</f>
        <v>28</v>
      </c>
      <c r="S678" s="15">
        <f>Table5[[#This Row],[standard product cost per unit]]*Table5[[#This Row],[Units Sold]]</f>
        <v>48412</v>
      </c>
      <c r="T678" s="15">
        <f>Table5[[#This Row],[Cost of Sales]]-Table5[[#This Row],[Standard cost]]</f>
        <v>3872.9599999999991</v>
      </c>
      <c r="U678" s="15">
        <f>Table5[[#This Row],[Net Sales Revenue]]-Table5[[#This Row],[Cost of Sales]]</f>
        <v>20333.04</v>
      </c>
      <c r="V678" s="17">
        <f>Table5[[#This Row],[GrossProfit]]/Table5[[#This Row],[Net Sales Revenue]]</f>
        <v>0.28000000000000003</v>
      </c>
    </row>
    <row r="679" spans="1:22" ht="14.25" customHeight="1" x14ac:dyDescent="0.25">
      <c r="A679" s="1" t="s">
        <v>760</v>
      </c>
      <c r="B679" s="1" t="s">
        <v>758</v>
      </c>
      <c r="C679" s="1" t="s">
        <v>40</v>
      </c>
      <c r="D679" s="1" t="s">
        <v>13</v>
      </c>
      <c r="E679" s="1" t="s">
        <v>15</v>
      </c>
      <c r="F679" s="1">
        <v>2450</v>
      </c>
      <c r="G679" s="14">
        <v>28</v>
      </c>
      <c r="H679" s="1">
        <v>0.16</v>
      </c>
      <c r="I679" s="14">
        <v>57624</v>
      </c>
      <c r="J679" s="14">
        <v>39690</v>
      </c>
      <c r="K679" s="15">
        <f>Table5[[#This Row],[Selling Price]]*Table5[[#This Row],[Units Sold]]</f>
        <v>68600</v>
      </c>
      <c r="L679" t="str">
        <f t="shared" si="10"/>
        <v>2024-04</v>
      </c>
      <c r="M679" t="str">
        <f>VLOOKUP(Table5[[#This Row],[Store ID]],Table4[[Store ID]:[Store Location]],2)</f>
        <v>Manchester</v>
      </c>
      <c r="N679" t="str">
        <f>VLOOKUP(Table5[[#This Row],[Store ID]],Table4[[Store ID]:[Region]],3)</f>
        <v>North</v>
      </c>
      <c r="O679" t="str">
        <f>VLOOKUP(Table5[[#This Row],[Product ID]],'Product Master'!$A$2:$D$10,4)</f>
        <v>Supplier C</v>
      </c>
      <c r="P679" s="15">
        <f>Table5[[#This Row],[Total Revenue]]-Table5[[#This Row],[Net Sales Revenue]]</f>
        <v>10976</v>
      </c>
      <c r="Q679" s="15">
        <f>Table5[[#This Row],[Net Sales Revenue]]/Table5[[#This Row],[Units Sold]]</f>
        <v>23.52</v>
      </c>
      <c r="R679">
        <f>VLOOKUP(Table5[[#This Row],[Product ID]],'Product Master'!$A$1:$E$10,5,FALSE)</f>
        <v>15</v>
      </c>
      <c r="S679" s="15">
        <f>Table5[[#This Row],[standard product cost per unit]]*Table5[[#This Row],[Units Sold]]</f>
        <v>36750</v>
      </c>
      <c r="T679" s="15">
        <f>Table5[[#This Row],[Cost of Sales]]-Table5[[#This Row],[Standard cost]]</f>
        <v>2940</v>
      </c>
      <c r="U679" s="15">
        <f>Table5[[#This Row],[Net Sales Revenue]]-Table5[[#This Row],[Cost of Sales]]</f>
        <v>17934</v>
      </c>
      <c r="V679" s="17">
        <f>Table5[[#This Row],[GrossProfit]]/Table5[[#This Row],[Net Sales Revenue]]</f>
        <v>0.31122448979591838</v>
      </c>
    </row>
    <row r="680" spans="1:22" ht="14.25" customHeight="1" x14ac:dyDescent="0.25">
      <c r="A680" s="1" t="s">
        <v>761</v>
      </c>
      <c r="B680" s="1" t="s">
        <v>758</v>
      </c>
      <c r="C680" s="1" t="s">
        <v>40</v>
      </c>
      <c r="D680" s="1" t="s">
        <v>17</v>
      </c>
      <c r="E680" s="1" t="s">
        <v>15</v>
      </c>
      <c r="F680" s="1">
        <v>2754</v>
      </c>
      <c r="G680" s="14">
        <v>35</v>
      </c>
      <c r="H680" s="1">
        <v>0.14000000000000001</v>
      </c>
      <c r="I680" s="14">
        <v>82895.399999999994</v>
      </c>
      <c r="J680" s="14">
        <v>53537.760000000002</v>
      </c>
      <c r="K680" s="15">
        <f>Table5[[#This Row],[Selling Price]]*Table5[[#This Row],[Units Sold]]</f>
        <v>96390</v>
      </c>
      <c r="L680" t="str">
        <f t="shared" si="10"/>
        <v>2024-04</v>
      </c>
      <c r="M680" t="str">
        <f>VLOOKUP(Table5[[#This Row],[Store ID]],Table4[[Store ID]:[Store Location]],2)</f>
        <v>Manchester</v>
      </c>
      <c r="N680" t="str">
        <f>VLOOKUP(Table5[[#This Row],[Store ID]],Table4[[Store ID]:[Region]],3)</f>
        <v>North</v>
      </c>
      <c r="O680" t="str">
        <f>VLOOKUP(Table5[[#This Row],[Product ID]],'Product Master'!$A$2:$D$10,4)</f>
        <v>Supplier C</v>
      </c>
      <c r="P680" s="15">
        <f>Table5[[#This Row],[Total Revenue]]-Table5[[#This Row],[Net Sales Revenue]]</f>
        <v>13494.600000000006</v>
      </c>
      <c r="Q680" s="15">
        <f>Table5[[#This Row],[Net Sales Revenue]]/Table5[[#This Row],[Units Sold]]</f>
        <v>30.099999999999998</v>
      </c>
      <c r="R680">
        <f>VLOOKUP(Table5[[#This Row],[Product ID]],'Product Master'!$A$1:$E$10,5,FALSE)</f>
        <v>18</v>
      </c>
      <c r="S680" s="15">
        <f>Table5[[#This Row],[standard product cost per unit]]*Table5[[#This Row],[Units Sold]]</f>
        <v>49572</v>
      </c>
      <c r="T680" s="15">
        <f>Table5[[#This Row],[Cost of Sales]]-Table5[[#This Row],[Standard cost]]</f>
        <v>3965.760000000002</v>
      </c>
      <c r="U680" s="15">
        <f>Table5[[#This Row],[Net Sales Revenue]]-Table5[[#This Row],[Cost of Sales]]</f>
        <v>29357.639999999992</v>
      </c>
      <c r="V680" s="17">
        <f>Table5[[#This Row],[GrossProfit]]/Table5[[#This Row],[Net Sales Revenue]]</f>
        <v>0.3541528239202657</v>
      </c>
    </row>
    <row r="681" spans="1:22" ht="14.25" customHeight="1" x14ac:dyDescent="0.25">
      <c r="A681" s="1" t="s">
        <v>762</v>
      </c>
      <c r="B681" s="1" t="s">
        <v>758</v>
      </c>
      <c r="C681" s="1" t="s">
        <v>40</v>
      </c>
      <c r="D681" s="1" t="s">
        <v>19</v>
      </c>
      <c r="E681" s="1" t="s">
        <v>21</v>
      </c>
      <c r="F681" s="1">
        <v>2802</v>
      </c>
      <c r="G681" s="14">
        <v>18</v>
      </c>
      <c r="H681" s="1">
        <v>0.16</v>
      </c>
      <c r="I681" s="14">
        <v>42366.239999999998</v>
      </c>
      <c r="J681" s="14">
        <v>27235.439999999999</v>
      </c>
      <c r="K681" s="15">
        <f>Table5[[#This Row],[Selling Price]]*Table5[[#This Row],[Units Sold]]</f>
        <v>50436</v>
      </c>
      <c r="L681" t="str">
        <f t="shared" si="10"/>
        <v>2024-04</v>
      </c>
      <c r="M681" t="str">
        <f>VLOOKUP(Table5[[#This Row],[Store ID]],Table4[[Store ID]:[Store Location]],2)</f>
        <v>Manchester</v>
      </c>
      <c r="N681" t="str">
        <f>VLOOKUP(Table5[[#This Row],[Store ID]],Table4[[Store ID]:[Region]],3)</f>
        <v>North</v>
      </c>
      <c r="O681" t="str">
        <f>VLOOKUP(Table5[[#This Row],[Product ID]],'Product Master'!$A$2:$D$10,4)</f>
        <v>Supplier D</v>
      </c>
      <c r="P681" s="15">
        <f>Table5[[#This Row],[Total Revenue]]-Table5[[#This Row],[Net Sales Revenue]]</f>
        <v>8069.760000000002</v>
      </c>
      <c r="Q681" s="15">
        <f>Table5[[#This Row],[Net Sales Revenue]]/Table5[[#This Row],[Units Sold]]</f>
        <v>15.12</v>
      </c>
      <c r="R681">
        <f>VLOOKUP(Table5[[#This Row],[Product ID]],'Product Master'!$A$1:$E$10,5,FALSE)</f>
        <v>9</v>
      </c>
      <c r="S681" s="15">
        <f>Table5[[#This Row],[standard product cost per unit]]*Table5[[#This Row],[Units Sold]]</f>
        <v>25218</v>
      </c>
      <c r="T681" s="15">
        <f>Table5[[#This Row],[Cost of Sales]]-Table5[[#This Row],[Standard cost]]</f>
        <v>2017.4399999999987</v>
      </c>
      <c r="U681" s="15">
        <f>Table5[[#This Row],[Net Sales Revenue]]-Table5[[#This Row],[Cost of Sales]]</f>
        <v>15130.8</v>
      </c>
      <c r="V681" s="17">
        <f>Table5[[#This Row],[GrossProfit]]/Table5[[#This Row],[Net Sales Revenue]]</f>
        <v>0.35714285714285715</v>
      </c>
    </row>
    <row r="682" spans="1:22" ht="14.25" customHeight="1" x14ac:dyDescent="0.25">
      <c r="A682" s="1" t="s">
        <v>763</v>
      </c>
      <c r="B682" s="1" t="s">
        <v>758</v>
      </c>
      <c r="C682" s="1" t="s">
        <v>40</v>
      </c>
      <c r="D682" s="1" t="s">
        <v>23</v>
      </c>
      <c r="E682" s="1" t="s">
        <v>21</v>
      </c>
      <c r="F682" s="1">
        <v>2503</v>
      </c>
      <c r="G682" s="14">
        <v>30</v>
      </c>
      <c r="H682" s="1">
        <v>0.17</v>
      </c>
      <c r="I682" s="14">
        <v>62324.7</v>
      </c>
      <c r="J682" s="14">
        <v>37845.360000000001</v>
      </c>
      <c r="K682" s="15">
        <f>Table5[[#This Row],[Selling Price]]*Table5[[#This Row],[Units Sold]]</f>
        <v>75090</v>
      </c>
      <c r="L682" t="str">
        <f t="shared" si="10"/>
        <v>2024-04</v>
      </c>
      <c r="M682" t="str">
        <f>VLOOKUP(Table5[[#This Row],[Store ID]],Table4[[Store ID]:[Store Location]],2)</f>
        <v>Manchester</v>
      </c>
      <c r="N682" t="str">
        <f>VLOOKUP(Table5[[#This Row],[Store ID]],Table4[[Store ID]:[Region]],3)</f>
        <v>North</v>
      </c>
      <c r="O682" t="str">
        <f>VLOOKUP(Table5[[#This Row],[Product ID]],'Product Master'!$A$2:$D$10,4)</f>
        <v>Supplier D</v>
      </c>
      <c r="P682" s="15">
        <f>Table5[[#This Row],[Total Revenue]]-Table5[[#This Row],[Net Sales Revenue]]</f>
        <v>12765.300000000003</v>
      </c>
      <c r="Q682" s="15">
        <f>Table5[[#This Row],[Net Sales Revenue]]/Table5[[#This Row],[Units Sold]]</f>
        <v>24.9</v>
      </c>
      <c r="R682">
        <f>VLOOKUP(Table5[[#This Row],[Product ID]],'Product Master'!$A$1:$E$10,5,FALSE)</f>
        <v>14</v>
      </c>
      <c r="S682" s="15">
        <f>Table5[[#This Row],[standard product cost per unit]]*Table5[[#This Row],[Units Sold]]</f>
        <v>35042</v>
      </c>
      <c r="T682" s="15">
        <f>Table5[[#This Row],[Cost of Sales]]-Table5[[#This Row],[Standard cost]]</f>
        <v>2803.3600000000006</v>
      </c>
      <c r="U682" s="15">
        <f>Table5[[#This Row],[Net Sales Revenue]]-Table5[[#This Row],[Cost of Sales]]</f>
        <v>24479.339999999997</v>
      </c>
      <c r="V682" s="17">
        <f>Table5[[#This Row],[GrossProfit]]/Table5[[#This Row],[Net Sales Revenue]]</f>
        <v>0.39277108433734936</v>
      </c>
    </row>
    <row r="683" spans="1:22" ht="14.25" customHeight="1" x14ac:dyDescent="0.25">
      <c r="A683" s="1" t="s">
        <v>764</v>
      </c>
      <c r="B683" s="1" t="s">
        <v>758</v>
      </c>
      <c r="C683" s="1" t="s">
        <v>40</v>
      </c>
      <c r="D683" s="1" t="s">
        <v>25</v>
      </c>
      <c r="E683" s="1" t="s">
        <v>27</v>
      </c>
      <c r="F683" s="1">
        <v>1575</v>
      </c>
      <c r="G683" s="14">
        <v>40</v>
      </c>
      <c r="H683" s="1">
        <v>0.15</v>
      </c>
      <c r="I683" s="14">
        <v>53550</v>
      </c>
      <c r="J683" s="14">
        <v>34020</v>
      </c>
      <c r="K683" s="15">
        <f>Table5[[#This Row],[Selling Price]]*Table5[[#This Row],[Units Sold]]</f>
        <v>63000</v>
      </c>
      <c r="L683" t="str">
        <f t="shared" si="10"/>
        <v>2024-04</v>
      </c>
      <c r="M683" t="str">
        <f>VLOOKUP(Table5[[#This Row],[Store ID]],Table4[[Store ID]:[Store Location]],2)</f>
        <v>Manchester</v>
      </c>
      <c r="N683" t="str">
        <f>VLOOKUP(Table5[[#This Row],[Store ID]],Table4[[Store ID]:[Region]],3)</f>
        <v>North</v>
      </c>
      <c r="O683" t="str">
        <f>VLOOKUP(Table5[[#This Row],[Product ID]],'Product Master'!$A$2:$D$10,4)</f>
        <v>Supplier E</v>
      </c>
      <c r="P683" s="15">
        <f>Table5[[#This Row],[Total Revenue]]-Table5[[#This Row],[Net Sales Revenue]]</f>
        <v>9450</v>
      </c>
      <c r="Q683" s="15">
        <f>Table5[[#This Row],[Net Sales Revenue]]/Table5[[#This Row],[Units Sold]]</f>
        <v>34</v>
      </c>
      <c r="R683">
        <f>VLOOKUP(Table5[[#This Row],[Product ID]],'Product Master'!$A$1:$E$10,5,FALSE)</f>
        <v>20</v>
      </c>
      <c r="S683" s="15">
        <f>Table5[[#This Row],[standard product cost per unit]]*Table5[[#This Row],[Units Sold]]</f>
        <v>31500</v>
      </c>
      <c r="T683" s="15">
        <f>Table5[[#This Row],[Cost of Sales]]-Table5[[#This Row],[Standard cost]]</f>
        <v>2520</v>
      </c>
      <c r="U683" s="15">
        <f>Table5[[#This Row],[Net Sales Revenue]]-Table5[[#This Row],[Cost of Sales]]</f>
        <v>19530</v>
      </c>
      <c r="V683" s="17">
        <f>Table5[[#This Row],[GrossProfit]]/Table5[[#This Row],[Net Sales Revenue]]</f>
        <v>0.36470588235294116</v>
      </c>
    </row>
    <row r="684" spans="1:22" ht="14.25" customHeight="1" x14ac:dyDescent="0.25">
      <c r="A684" s="1" t="s">
        <v>765</v>
      </c>
      <c r="B684" s="1" t="s">
        <v>758</v>
      </c>
      <c r="C684" s="1" t="s">
        <v>40</v>
      </c>
      <c r="D684" s="1" t="s">
        <v>29</v>
      </c>
      <c r="E684" s="1" t="s">
        <v>31</v>
      </c>
      <c r="F684" s="1">
        <v>1786</v>
      </c>
      <c r="G684" s="14">
        <v>10</v>
      </c>
      <c r="H684" s="1">
        <v>0.16</v>
      </c>
      <c r="I684" s="14">
        <v>15002.4</v>
      </c>
      <c r="J684" s="14">
        <v>7715.52</v>
      </c>
      <c r="K684" s="15">
        <f>Table5[[#This Row],[Selling Price]]*Table5[[#This Row],[Units Sold]]</f>
        <v>17860</v>
      </c>
      <c r="L684" t="str">
        <f t="shared" si="10"/>
        <v>2024-04</v>
      </c>
      <c r="M684" t="str">
        <f>VLOOKUP(Table5[[#This Row],[Store ID]],Table4[[Store ID]:[Store Location]],2)</f>
        <v>Manchester</v>
      </c>
      <c r="N684" t="str">
        <f>VLOOKUP(Table5[[#This Row],[Store ID]],Table4[[Store ID]:[Region]],3)</f>
        <v>North</v>
      </c>
      <c r="O684" t="str">
        <f>VLOOKUP(Table5[[#This Row],[Product ID]],'Product Master'!$A$2:$D$10,4)</f>
        <v>Supplier F</v>
      </c>
      <c r="P684" s="15">
        <f>Table5[[#This Row],[Total Revenue]]-Table5[[#This Row],[Net Sales Revenue]]</f>
        <v>2857.6000000000004</v>
      </c>
      <c r="Q684" s="15">
        <f>Table5[[#This Row],[Net Sales Revenue]]/Table5[[#This Row],[Units Sold]]</f>
        <v>8.4</v>
      </c>
      <c r="R684">
        <f>VLOOKUP(Table5[[#This Row],[Product ID]],'Product Master'!$A$1:$E$10,5,FALSE)</f>
        <v>4</v>
      </c>
      <c r="S684" s="15">
        <f>Table5[[#This Row],[standard product cost per unit]]*Table5[[#This Row],[Units Sold]]</f>
        <v>7144</v>
      </c>
      <c r="T684" s="15">
        <f>Table5[[#This Row],[Cost of Sales]]-Table5[[#This Row],[Standard cost]]</f>
        <v>571.52000000000044</v>
      </c>
      <c r="U684" s="15">
        <f>Table5[[#This Row],[Net Sales Revenue]]-Table5[[#This Row],[Cost of Sales]]</f>
        <v>7286.8799999999992</v>
      </c>
      <c r="V684" s="17">
        <f>Table5[[#This Row],[GrossProfit]]/Table5[[#This Row],[Net Sales Revenue]]</f>
        <v>0.48571428571428565</v>
      </c>
    </row>
    <row r="685" spans="1:22" ht="14.25" customHeight="1" x14ac:dyDescent="0.25">
      <c r="A685" s="1" t="s">
        <v>766</v>
      </c>
      <c r="B685" s="1" t="s">
        <v>758</v>
      </c>
      <c r="C685" s="1" t="s">
        <v>40</v>
      </c>
      <c r="D685" s="1" t="s">
        <v>33</v>
      </c>
      <c r="E685" s="1" t="s">
        <v>31</v>
      </c>
      <c r="F685" s="1">
        <v>1403</v>
      </c>
      <c r="G685" s="14">
        <v>22</v>
      </c>
      <c r="H685" s="1">
        <v>0.17</v>
      </c>
      <c r="I685" s="14">
        <v>25618.78</v>
      </c>
      <c r="J685" s="14">
        <v>15152.4</v>
      </c>
      <c r="K685" s="15">
        <f>Table5[[#This Row],[Selling Price]]*Table5[[#This Row],[Units Sold]]</f>
        <v>30866</v>
      </c>
      <c r="L685" t="str">
        <f t="shared" si="10"/>
        <v>2024-04</v>
      </c>
      <c r="M685" t="str">
        <f>VLOOKUP(Table5[[#This Row],[Store ID]],Table4[[Store ID]:[Store Location]],2)</f>
        <v>Manchester</v>
      </c>
      <c r="N685" t="str">
        <f>VLOOKUP(Table5[[#This Row],[Store ID]],Table4[[Store ID]:[Region]],3)</f>
        <v>North</v>
      </c>
      <c r="O685" t="str">
        <f>VLOOKUP(Table5[[#This Row],[Product ID]],'Product Master'!$A$2:$D$10,4)</f>
        <v>Supplier F</v>
      </c>
      <c r="P685" s="15">
        <f>Table5[[#This Row],[Total Revenue]]-Table5[[#This Row],[Net Sales Revenue]]</f>
        <v>5247.2200000000012</v>
      </c>
      <c r="Q685" s="15">
        <f>Table5[[#This Row],[Net Sales Revenue]]/Table5[[#This Row],[Units Sold]]</f>
        <v>18.259999999999998</v>
      </c>
      <c r="R685">
        <f>VLOOKUP(Table5[[#This Row],[Product ID]],'Product Master'!$A$1:$E$10,5,FALSE)</f>
        <v>10</v>
      </c>
      <c r="S685" s="15">
        <f>Table5[[#This Row],[standard product cost per unit]]*Table5[[#This Row],[Units Sold]]</f>
        <v>14030</v>
      </c>
      <c r="T685" s="15">
        <f>Table5[[#This Row],[Cost of Sales]]-Table5[[#This Row],[Standard cost]]</f>
        <v>1122.3999999999996</v>
      </c>
      <c r="U685" s="15">
        <f>Table5[[#This Row],[Net Sales Revenue]]-Table5[[#This Row],[Cost of Sales]]</f>
        <v>10466.379999999999</v>
      </c>
      <c r="V685" s="17">
        <f>Table5[[#This Row],[GrossProfit]]/Table5[[#This Row],[Net Sales Revenue]]</f>
        <v>0.40854326396495072</v>
      </c>
    </row>
    <row r="686" spans="1:22" ht="14.25" customHeight="1" x14ac:dyDescent="0.25">
      <c r="A686" s="1" t="s">
        <v>767</v>
      </c>
      <c r="B686" s="1" t="s">
        <v>758</v>
      </c>
      <c r="C686" s="1" t="s">
        <v>44</v>
      </c>
      <c r="D686" s="1" t="s">
        <v>6</v>
      </c>
      <c r="E686" s="1" t="s">
        <v>8</v>
      </c>
      <c r="F686" s="1">
        <v>1425</v>
      </c>
      <c r="G686" s="14">
        <v>24</v>
      </c>
      <c r="H686" s="1">
        <v>0.17</v>
      </c>
      <c r="I686" s="14">
        <v>28386</v>
      </c>
      <c r="J686" s="14">
        <v>18468</v>
      </c>
      <c r="K686" s="15">
        <f>Table5[[#This Row],[Selling Price]]*Table5[[#This Row],[Units Sold]]</f>
        <v>34200</v>
      </c>
      <c r="L686" t="str">
        <f t="shared" si="10"/>
        <v>2024-04</v>
      </c>
      <c r="M686" t="str">
        <f>VLOOKUP(Table5[[#This Row],[Store ID]],Table4[[Store ID]:[Store Location]],2)</f>
        <v>Birmingham</v>
      </c>
      <c r="N686" t="str">
        <f>VLOOKUP(Table5[[#This Row],[Store ID]],Table4[[Store ID]:[Region]],3)</f>
        <v>Midlands</v>
      </c>
      <c r="O686" t="str">
        <f>VLOOKUP(Table5[[#This Row],[Product ID]],'Product Master'!$A$2:$D$10,4)</f>
        <v>Supplier A</v>
      </c>
      <c r="P686" s="15">
        <f>Table5[[#This Row],[Total Revenue]]-Table5[[#This Row],[Net Sales Revenue]]</f>
        <v>5814</v>
      </c>
      <c r="Q686" s="15">
        <f>Table5[[#This Row],[Net Sales Revenue]]/Table5[[#This Row],[Units Sold]]</f>
        <v>19.920000000000002</v>
      </c>
      <c r="R686">
        <f>VLOOKUP(Table5[[#This Row],[Product ID]],'Product Master'!$A$1:$E$10,5,FALSE)</f>
        <v>12</v>
      </c>
      <c r="S686" s="15">
        <f>Table5[[#This Row],[standard product cost per unit]]*Table5[[#This Row],[Units Sold]]</f>
        <v>17100</v>
      </c>
      <c r="T686" s="15">
        <f>Table5[[#This Row],[Cost of Sales]]-Table5[[#This Row],[Standard cost]]</f>
        <v>1368</v>
      </c>
      <c r="U686" s="15">
        <f>Table5[[#This Row],[Net Sales Revenue]]-Table5[[#This Row],[Cost of Sales]]</f>
        <v>9918</v>
      </c>
      <c r="V686" s="17">
        <f>Table5[[#This Row],[GrossProfit]]/Table5[[#This Row],[Net Sales Revenue]]</f>
        <v>0.3493975903614458</v>
      </c>
    </row>
    <row r="687" spans="1:22" ht="14.25" customHeight="1" x14ac:dyDescent="0.25">
      <c r="A687" s="1" t="s">
        <v>768</v>
      </c>
      <c r="B687" s="1" t="s">
        <v>758</v>
      </c>
      <c r="C687" s="1" t="s">
        <v>44</v>
      </c>
      <c r="D687" s="1" t="s">
        <v>10</v>
      </c>
      <c r="E687" s="1" t="s">
        <v>8</v>
      </c>
      <c r="F687" s="1">
        <v>2156</v>
      </c>
      <c r="G687" s="14">
        <v>50</v>
      </c>
      <c r="H687" s="1">
        <v>0.13</v>
      </c>
      <c r="I687" s="14">
        <v>93786</v>
      </c>
      <c r="J687" s="14">
        <v>65197.440000000002</v>
      </c>
      <c r="K687" s="15">
        <f>Table5[[#This Row],[Selling Price]]*Table5[[#This Row],[Units Sold]]</f>
        <v>107800</v>
      </c>
      <c r="L687" t="str">
        <f t="shared" si="10"/>
        <v>2024-04</v>
      </c>
      <c r="M687" t="str">
        <f>VLOOKUP(Table5[[#This Row],[Store ID]],Table4[[Store ID]:[Store Location]],2)</f>
        <v>Birmingham</v>
      </c>
      <c r="N687" t="str">
        <f>VLOOKUP(Table5[[#This Row],[Store ID]],Table4[[Store ID]:[Region]],3)</f>
        <v>Midlands</v>
      </c>
      <c r="O687" t="str">
        <f>VLOOKUP(Table5[[#This Row],[Product ID]],'Product Master'!$A$2:$D$10,4)</f>
        <v>Supplier B</v>
      </c>
      <c r="P687" s="15">
        <f>Table5[[#This Row],[Total Revenue]]-Table5[[#This Row],[Net Sales Revenue]]</f>
        <v>14014</v>
      </c>
      <c r="Q687" s="15">
        <f>Table5[[#This Row],[Net Sales Revenue]]/Table5[[#This Row],[Units Sold]]</f>
        <v>43.5</v>
      </c>
      <c r="R687">
        <f>VLOOKUP(Table5[[#This Row],[Product ID]],'Product Master'!$A$1:$E$10,5,FALSE)</f>
        <v>28</v>
      </c>
      <c r="S687" s="15">
        <f>Table5[[#This Row],[standard product cost per unit]]*Table5[[#This Row],[Units Sold]]</f>
        <v>60368</v>
      </c>
      <c r="T687" s="15">
        <f>Table5[[#This Row],[Cost of Sales]]-Table5[[#This Row],[Standard cost]]</f>
        <v>4829.4400000000023</v>
      </c>
      <c r="U687" s="15">
        <f>Table5[[#This Row],[Net Sales Revenue]]-Table5[[#This Row],[Cost of Sales]]</f>
        <v>28588.559999999998</v>
      </c>
      <c r="V687" s="17">
        <f>Table5[[#This Row],[GrossProfit]]/Table5[[#This Row],[Net Sales Revenue]]</f>
        <v>0.30482758620689654</v>
      </c>
    </row>
    <row r="688" spans="1:22" ht="14.25" customHeight="1" x14ac:dyDescent="0.25">
      <c r="A688" s="1" t="s">
        <v>769</v>
      </c>
      <c r="B688" s="1" t="s">
        <v>758</v>
      </c>
      <c r="C688" s="1" t="s">
        <v>44</v>
      </c>
      <c r="D688" s="1" t="s">
        <v>13</v>
      </c>
      <c r="E688" s="1" t="s">
        <v>15</v>
      </c>
      <c r="F688" s="1">
        <v>1438</v>
      </c>
      <c r="G688" s="14">
        <v>28</v>
      </c>
      <c r="H688" s="1">
        <v>0.12</v>
      </c>
      <c r="I688" s="14">
        <v>35432.32</v>
      </c>
      <c r="J688" s="14">
        <v>23295.599999999999</v>
      </c>
      <c r="K688" s="15">
        <f>Table5[[#This Row],[Selling Price]]*Table5[[#This Row],[Units Sold]]</f>
        <v>40264</v>
      </c>
      <c r="L688" t="str">
        <f t="shared" si="10"/>
        <v>2024-04</v>
      </c>
      <c r="M688" t="str">
        <f>VLOOKUP(Table5[[#This Row],[Store ID]],Table4[[Store ID]:[Store Location]],2)</f>
        <v>Birmingham</v>
      </c>
      <c r="N688" t="str">
        <f>VLOOKUP(Table5[[#This Row],[Store ID]],Table4[[Store ID]:[Region]],3)</f>
        <v>Midlands</v>
      </c>
      <c r="O688" t="str">
        <f>VLOOKUP(Table5[[#This Row],[Product ID]],'Product Master'!$A$2:$D$10,4)</f>
        <v>Supplier C</v>
      </c>
      <c r="P688" s="15">
        <f>Table5[[#This Row],[Total Revenue]]-Table5[[#This Row],[Net Sales Revenue]]</f>
        <v>4831.68</v>
      </c>
      <c r="Q688" s="15">
        <f>Table5[[#This Row],[Net Sales Revenue]]/Table5[[#This Row],[Units Sold]]</f>
        <v>24.64</v>
      </c>
      <c r="R688">
        <f>VLOOKUP(Table5[[#This Row],[Product ID]],'Product Master'!$A$1:$E$10,5,FALSE)</f>
        <v>15</v>
      </c>
      <c r="S688" s="15">
        <f>Table5[[#This Row],[standard product cost per unit]]*Table5[[#This Row],[Units Sold]]</f>
        <v>21570</v>
      </c>
      <c r="T688" s="15">
        <f>Table5[[#This Row],[Cost of Sales]]-Table5[[#This Row],[Standard cost]]</f>
        <v>1725.5999999999985</v>
      </c>
      <c r="U688" s="15">
        <f>Table5[[#This Row],[Net Sales Revenue]]-Table5[[#This Row],[Cost of Sales]]</f>
        <v>12136.720000000001</v>
      </c>
      <c r="V688" s="17">
        <f>Table5[[#This Row],[GrossProfit]]/Table5[[#This Row],[Net Sales Revenue]]</f>
        <v>0.34253246753246758</v>
      </c>
    </row>
    <row r="689" spans="1:22" ht="14.25" customHeight="1" x14ac:dyDescent="0.25">
      <c r="A689" s="1" t="s">
        <v>770</v>
      </c>
      <c r="B689" s="1" t="s">
        <v>758</v>
      </c>
      <c r="C689" s="1" t="s">
        <v>44</v>
      </c>
      <c r="D689" s="1" t="s">
        <v>17</v>
      </c>
      <c r="E689" s="1" t="s">
        <v>15</v>
      </c>
      <c r="F689" s="1">
        <v>1804</v>
      </c>
      <c r="G689" s="14">
        <v>35</v>
      </c>
      <c r="H689" s="1">
        <v>0.16</v>
      </c>
      <c r="I689" s="14">
        <v>53037.599999999999</v>
      </c>
      <c r="J689" s="14">
        <v>35069.760000000002</v>
      </c>
      <c r="K689" s="15">
        <f>Table5[[#This Row],[Selling Price]]*Table5[[#This Row],[Units Sold]]</f>
        <v>63140</v>
      </c>
      <c r="L689" t="str">
        <f t="shared" si="10"/>
        <v>2024-04</v>
      </c>
      <c r="M689" t="str">
        <f>VLOOKUP(Table5[[#This Row],[Store ID]],Table4[[Store ID]:[Store Location]],2)</f>
        <v>Birmingham</v>
      </c>
      <c r="N689" t="str">
        <f>VLOOKUP(Table5[[#This Row],[Store ID]],Table4[[Store ID]:[Region]],3)</f>
        <v>Midlands</v>
      </c>
      <c r="O689" t="str">
        <f>VLOOKUP(Table5[[#This Row],[Product ID]],'Product Master'!$A$2:$D$10,4)</f>
        <v>Supplier C</v>
      </c>
      <c r="P689" s="15">
        <f>Table5[[#This Row],[Total Revenue]]-Table5[[#This Row],[Net Sales Revenue]]</f>
        <v>10102.400000000001</v>
      </c>
      <c r="Q689" s="15">
        <f>Table5[[#This Row],[Net Sales Revenue]]/Table5[[#This Row],[Units Sold]]</f>
        <v>29.4</v>
      </c>
      <c r="R689">
        <f>VLOOKUP(Table5[[#This Row],[Product ID]],'Product Master'!$A$1:$E$10,5,FALSE)</f>
        <v>18</v>
      </c>
      <c r="S689" s="15">
        <f>Table5[[#This Row],[standard product cost per unit]]*Table5[[#This Row],[Units Sold]]</f>
        <v>32472</v>
      </c>
      <c r="T689" s="15">
        <f>Table5[[#This Row],[Cost of Sales]]-Table5[[#This Row],[Standard cost]]</f>
        <v>2597.760000000002</v>
      </c>
      <c r="U689" s="15">
        <f>Table5[[#This Row],[Net Sales Revenue]]-Table5[[#This Row],[Cost of Sales]]</f>
        <v>17967.839999999997</v>
      </c>
      <c r="V689" s="17">
        <f>Table5[[#This Row],[GrossProfit]]/Table5[[#This Row],[Net Sales Revenue]]</f>
        <v>0.33877551020408159</v>
      </c>
    </row>
    <row r="690" spans="1:22" ht="14.25" customHeight="1" x14ac:dyDescent="0.25">
      <c r="A690" s="1" t="s">
        <v>771</v>
      </c>
      <c r="B690" s="1" t="s">
        <v>758</v>
      </c>
      <c r="C690" s="1" t="s">
        <v>44</v>
      </c>
      <c r="D690" s="1" t="s">
        <v>19</v>
      </c>
      <c r="E690" s="1" t="s">
        <v>21</v>
      </c>
      <c r="F690" s="1">
        <v>2780</v>
      </c>
      <c r="G690" s="14">
        <v>18</v>
      </c>
      <c r="H690" s="1">
        <v>0.15</v>
      </c>
      <c r="I690" s="14">
        <v>42534</v>
      </c>
      <c r="J690" s="14">
        <v>27021.599999999999</v>
      </c>
      <c r="K690" s="15">
        <f>Table5[[#This Row],[Selling Price]]*Table5[[#This Row],[Units Sold]]</f>
        <v>50040</v>
      </c>
      <c r="L690" t="str">
        <f t="shared" si="10"/>
        <v>2024-04</v>
      </c>
      <c r="M690" t="str">
        <f>VLOOKUP(Table5[[#This Row],[Store ID]],Table4[[Store ID]:[Store Location]],2)</f>
        <v>Birmingham</v>
      </c>
      <c r="N690" t="str">
        <f>VLOOKUP(Table5[[#This Row],[Store ID]],Table4[[Store ID]:[Region]],3)</f>
        <v>Midlands</v>
      </c>
      <c r="O690" t="str">
        <f>VLOOKUP(Table5[[#This Row],[Product ID]],'Product Master'!$A$2:$D$10,4)</f>
        <v>Supplier D</v>
      </c>
      <c r="P690" s="15">
        <f>Table5[[#This Row],[Total Revenue]]-Table5[[#This Row],[Net Sales Revenue]]</f>
        <v>7506</v>
      </c>
      <c r="Q690" s="15">
        <f>Table5[[#This Row],[Net Sales Revenue]]/Table5[[#This Row],[Units Sold]]</f>
        <v>15.3</v>
      </c>
      <c r="R690">
        <f>VLOOKUP(Table5[[#This Row],[Product ID]],'Product Master'!$A$1:$E$10,5,FALSE)</f>
        <v>9</v>
      </c>
      <c r="S690" s="15">
        <f>Table5[[#This Row],[standard product cost per unit]]*Table5[[#This Row],[Units Sold]]</f>
        <v>25020</v>
      </c>
      <c r="T690" s="15">
        <f>Table5[[#This Row],[Cost of Sales]]-Table5[[#This Row],[Standard cost]]</f>
        <v>2001.5999999999985</v>
      </c>
      <c r="U690" s="15">
        <f>Table5[[#This Row],[Net Sales Revenue]]-Table5[[#This Row],[Cost of Sales]]</f>
        <v>15512.400000000001</v>
      </c>
      <c r="V690" s="17">
        <f>Table5[[#This Row],[GrossProfit]]/Table5[[#This Row],[Net Sales Revenue]]</f>
        <v>0.36470588235294121</v>
      </c>
    </row>
    <row r="691" spans="1:22" ht="14.25" customHeight="1" x14ac:dyDescent="0.25">
      <c r="A691" s="1" t="s">
        <v>772</v>
      </c>
      <c r="B691" s="1" t="s">
        <v>758</v>
      </c>
      <c r="C691" s="1" t="s">
        <v>44</v>
      </c>
      <c r="D691" s="1" t="s">
        <v>23</v>
      </c>
      <c r="E691" s="1" t="s">
        <v>21</v>
      </c>
      <c r="F691" s="1">
        <v>1500</v>
      </c>
      <c r="G691" s="14">
        <v>30</v>
      </c>
      <c r="H691" s="1">
        <v>0.16</v>
      </c>
      <c r="I691" s="14">
        <v>37800</v>
      </c>
      <c r="J691" s="14">
        <v>22680</v>
      </c>
      <c r="K691" s="15">
        <f>Table5[[#This Row],[Selling Price]]*Table5[[#This Row],[Units Sold]]</f>
        <v>45000</v>
      </c>
      <c r="L691" t="str">
        <f t="shared" si="10"/>
        <v>2024-04</v>
      </c>
      <c r="M691" t="str">
        <f>VLOOKUP(Table5[[#This Row],[Store ID]],Table4[[Store ID]:[Store Location]],2)</f>
        <v>Birmingham</v>
      </c>
      <c r="N691" t="str">
        <f>VLOOKUP(Table5[[#This Row],[Store ID]],Table4[[Store ID]:[Region]],3)</f>
        <v>Midlands</v>
      </c>
      <c r="O691" t="str">
        <f>VLOOKUP(Table5[[#This Row],[Product ID]],'Product Master'!$A$2:$D$10,4)</f>
        <v>Supplier D</v>
      </c>
      <c r="P691" s="15">
        <f>Table5[[#This Row],[Total Revenue]]-Table5[[#This Row],[Net Sales Revenue]]</f>
        <v>7200</v>
      </c>
      <c r="Q691" s="15">
        <f>Table5[[#This Row],[Net Sales Revenue]]/Table5[[#This Row],[Units Sold]]</f>
        <v>25.2</v>
      </c>
      <c r="R691">
        <f>VLOOKUP(Table5[[#This Row],[Product ID]],'Product Master'!$A$1:$E$10,5,FALSE)</f>
        <v>14</v>
      </c>
      <c r="S691" s="15">
        <f>Table5[[#This Row],[standard product cost per unit]]*Table5[[#This Row],[Units Sold]]</f>
        <v>21000</v>
      </c>
      <c r="T691" s="15">
        <f>Table5[[#This Row],[Cost of Sales]]-Table5[[#This Row],[Standard cost]]</f>
        <v>1680</v>
      </c>
      <c r="U691" s="15">
        <f>Table5[[#This Row],[Net Sales Revenue]]-Table5[[#This Row],[Cost of Sales]]</f>
        <v>15120</v>
      </c>
      <c r="V691" s="17">
        <f>Table5[[#This Row],[GrossProfit]]/Table5[[#This Row],[Net Sales Revenue]]</f>
        <v>0.4</v>
      </c>
    </row>
    <row r="692" spans="1:22" ht="14.25" customHeight="1" x14ac:dyDescent="0.25">
      <c r="A692" s="1" t="s">
        <v>773</v>
      </c>
      <c r="B692" s="1" t="s">
        <v>758</v>
      </c>
      <c r="C692" s="1" t="s">
        <v>44</v>
      </c>
      <c r="D692" s="1" t="s">
        <v>25</v>
      </c>
      <c r="E692" s="1" t="s">
        <v>27</v>
      </c>
      <c r="F692" s="1">
        <v>2371</v>
      </c>
      <c r="G692" s="14">
        <v>40</v>
      </c>
      <c r="H692" s="1">
        <v>0.14000000000000001</v>
      </c>
      <c r="I692" s="14">
        <v>81562.399999999994</v>
      </c>
      <c r="J692" s="14">
        <v>51213.599999999999</v>
      </c>
      <c r="K692" s="15">
        <f>Table5[[#This Row],[Selling Price]]*Table5[[#This Row],[Units Sold]]</f>
        <v>94840</v>
      </c>
      <c r="L692" t="str">
        <f t="shared" si="10"/>
        <v>2024-04</v>
      </c>
      <c r="M692" t="str">
        <f>VLOOKUP(Table5[[#This Row],[Store ID]],Table4[[Store ID]:[Store Location]],2)</f>
        <v>Birmingham</v>
      </c>
      <c r="N692" t="str">
        <f>VLOOKUP(Table5[[#This Row],[Store ID]],Table4[[Store ID]:[Region]],3)</f>
        <v>Midlands</v>
      </c>
      <c r="O692" t="str">
        <f>VLOOKUP(Table5[[#This Row],[Product ID]],'Product Master'!$A$2:$D$10,4)</f>
        <v>Supplier E</v>
      </c>
      <c r="P692" s="15">
        <f>Table5[[#This Row],[Total Revenue]]-Table5[[#This Row],[Net Sales Revenue]]</f>
        <v>13277.600000000006</v>
      </c>
      <c r="Q692" s="15">
        <f>Table5[[#This Row],[Net Sales Revenue]]/Table5[[#This Row],[Units Sold]]</f>
        <v>34.4</v>
      </c>
      <c r="R692">
        <f>VLOOKUP(Table5[[#This Row],[Product ID]],'Product Master'!$A$1:$E$10,5,FALSE)</f>
        <v>20</v>
      </c>
      <c r="S692" s="15">
        <f>Table5[[#This Row],[standard product cost per unit]]*Table5[[#This Row],[Units Sold]]</f>
        <v>47420</v>
      </c>
      <c r="T692" s="15">
        <f>Table5[[#This Row],[Cost of Sales]]-Table5[[#This Row],[Standard cost]]</f>
        <v>3793.5999999999985</v>
      </c>
      <c r="U692" s="15">
        <f>Table5[[#This Row],[Net Sales Revenue]]-Table5[[#This Row],[Cost of Sales]]</f>
        <v>30348.799999999996</v>
      </c>
      <c r="V692" s="17">
        <f>Table5[[#This Row],[GrossProfit]]/Table5[[#This Row],[Net Sales Revenue]]</f>
        <v>0.37209302325581395</v>
      </c>
    </row>
    <row r="693" spans="1:22" ht="14.25" customHeight="1" x14ac:dyDescent="0.25">
      <c r="A693" s="1" t="s">
        <v>774</v>
      </c>
      <c r="B693" s="1" t="s">
        <v>758</v>
      </c>
      <c r="C693" s="1" t="s">
        <v>44</v>
      </c>
      <c r="D693" s="1" t="s">
        <v>29</v>
      </c>
      <c r="E693" s="1" t="s">
        <v>31</v>
      </c>
      <c r="F693" s="1">
        <v>1650</v>
      </c>
      <c r="G693" s="14">
        <v>10</v>
      </c>
      <c r="H693" s="1">
        <v>0.13</v>
      </c>
      <c r="I693" s="14">
        <v>14355</v>
      </c>
      <c r="J693" s="14">
        <v>7128</v>
      </c>
      <c r="K693" s="15">
        <f>Table5[[#This Row],[Selling Price]]*Table5[[#This Row],[Units Sold]]</f>
        <v>16500</v>
      </c>
      <c r="L693" t="str">
        <f t="shared" si="10"/>
        <v>2024-04</v>
      </c>
      <c r="M693" t="str">
        <f>VLOOKUP(Table5[[#This Row],[Store ID]],Table4[[Store ID]:[Store Location]],2)</f>
        <v>Birmingham</v>
      </c>
      <c r="N693" t="str">
        <f>VLOOKUP(Table5[[#This Row],[Store ID]],Table4[[Store ID]:[Region]],3)</f>
        <v>Midlands</v>
      </c>
      <c r="O693" t="str">
        <f>VLOOKUP(Table5[[#This Row],[Product ID]],'Product Master'!$A$2:$D$10,4)</f>
        <v>Supplier F</v>
      </c>
      <c r="P693" s="15">
        <f>Table5[[#This Row],[Total Revenue]]-Table5[[#This Row],[Net Sales Revenue]]</f>
        <v>2145</v>
      </c>
      <c r="Q693" s="15">
        <f>Table5[[#This Row],[Net Sales Revenue]]/Table5[[#This Row],[Units Sold]]</f>
        <v>8.6999999999999993</v>
      </c>
      <c r="R693">
        <f>VLOOKUP(Table5[[#This Row],[Product ID]],'Product Master'!$A$1:$E$10,5,FALSE)</f>
        <v>4</v>
      </c>
      <c r="S693" s="15">
        <f>Table5[[#This Row],[standard product cost per unit]]*Table5[[#This Row],[Units Sold]]</f>
        <v>6600</v>
      </c>
      <c r="T693" s="15">
        <f>Table5[[#This Row],[Cost of Sales]]-Table5[[#This Row],[Standard cost]]</f>
        <v>528</v>
      </c>
      <c r="U693" s="15">
        <f>Table5[[#This Row],[Net Sales Revenue]]-Table5[[#This Row],[Cost of Sales]]</f>
        <v>7227</v>
      </c>
      <c r="V693" s="17">
        <f>Table5[[#This Row],[GrossProfit]]/Table5[[#This Row],[Net Sales Revenue]]</f>
        <v>0.50344827586206897</v>
      </c>
    </row>
    <row r="694" spans="1:22" ht="14.25" customHeight="1" x14ac:dyDescent="0.25">
      <c r="A694" s="1" t="s">
        <v>775</v>
      </c>
      <c r="B694" s="1" t="s">
        <v>758</v>
      </c>
      <c r="C694" s="1" t="s">
        <v>44</v>
      </c>
      <c r="D694" s="1" t="s">
        <v>33</v>
      </c>
      <c r="E694" s="1" t="s">
        <v>31</v>
      </c>
      <c r="F694" s="1">
        <v>2098</v>
      </c>
      <c r="G694" s="14">
        <v>22</v>
      </c>
      <c r="H694" s="1">
        <v>0.15</v>
      </c>
      <c r="I694" s="14">
        <v>39232.6</v>
      </c>
      <c r="J694" s="14">
        <v>22658.400000000001</v>
      </c>
      <c r="K694" s="15">
        <f>Table5[[#This Row],[Selling Price]]*Table5[[#This Row],[Units Sold]]</f>
        <v>46156</v>
      </c>
      <c r="L694" t="str">
        <f t="shared" si="10"/>
        <v>2024-04</v>
      </c>
      <c r="M694" t="str">
        <f>VLOOKUP(Table5[[#This Row],[Store ID]],Table4[[Store ID]:[Store Location]],2)</f>
        <v>Birmingham</v>
      </c>
      <c r="N694" t="str">
        <f>VLOOKUP(Table5[[#This Row],[Store ID]],Table4[[Store ID]:[Region]],3)</f>
        <v>Midlands</v>
      </c>
      <c r="O694" t="str">
        <f>VLOOKUP(Table5[[#This Row],[Product ID]],'Product Master'!$A$2:$D$10,4)</f>
        <v>Supplier F</v>
      </c>
      <c r="P694" s="15">
        <f>Table5[[#This Row],[Total Revenue]]-Table5[[#This Row],[Net Sales Revenue]]</f>
        <v>6923.4000000000015</v>
      </c>
      <c r="Q694" s="15">
        <f>Table5[[#This Row],[Net Sales Revenue]]/Table5[[#This Row],[Units Sold]]</f>
        <v>18.7</v>
      </c>
      <c r="R694">
        <f>VLOOKUP(Table5[[#This Row],[Product ID]],'Product Master'!$A$1:$E$10,5,FALSE)</f>
        <v>10</v>
      </c>
      <c r="S694" s="15">
        <f>Table5[[#This Row],[standard product cost per unit]]*Table5[[#This Row],[Units Sold]]</f>
        <v>20980</v>
      </c>
      <c r="T694" s="15">
        <f>Table5[[#This Row],[Cost of Sales]]-Table5[[#This Row],[Standard cost]]</f>
        <v>1678.4000000000015</v>
      </c>
      <c r="U694" s="15">
        <f>Table5[[#This Row],[Net Sales Revenue]]-Table5[[#This Row],[Cost of Sales]]</f>
        <v>16574.199999999997</v>
      </c>
      <c r="V694" s="17">
        <f>Table5[[#This Row],[GrossProfit]]/Table5[[#This Row],[Net Sales Revenue]]</f>
        <v>0.42245989304812831</v>
      </c>
    </row>
    <row r="695" spans="1:22" ht="14.25" customHeight="1" x14ac:dyDescent="0.25">
      <c r="A695" s="1" t="s">
        <v>776</v>
      </c>
      <c r="B695" s="1" t="s">
        <v>758</v>
      </c>
      <c r="C695" s="1" t="s">
        <v>48</v>
      </c>
      <c r="D695" s="1" t="s">
        <v>6</v>
      </c>
      <c r="E695" s="1" t="s">
        <v>8</v>
      </c>
      <c r="F695" s="1">
        <v>2019</v>
      </c>
      <c r="G695" s="14">
        <v>24</v>
      </c>
      <c r="H695" s="1">
        <v>0.14000000000000001</v>
      </c>
      <c r="I695" s="14">
        <v>41672.160000000003</v>
      </c>
      <c r="J695" s="14">
        <v>26166.240000000002</v>
      </c>
      <c r="K695" s="15">
        <f>Table5[[#This Row],[Selling Price]]*Table5[[#This Row],[Units Sold]]</f>
        <v>48456</v>
      </c>
      <c r="L695" t="str">
        <f t="shared" si="10"/>
        <v>2024-04</v>
      </c>
      <c r="M695" t="str">
        <f>VLOOKUP(Table5[[#This Row],[Store ID]],Table4[[Store ID]:[Store Location]],2)</f>
        <v>London Stratford</v>
      </c>
      <c r="N695" t="str">
        <f>VLOOKUP(Table5[[#This Row],[Store ID]],Table4[[Store ID]:[Region]],3)</f>
        <v>South</v>
      </c>
      <c r="O695" t="str">
        <f>VLOOKUP(Table5[[#This Row],[Product ID]],'Product Master'!$A$2:$D$10,4)</f>
        <v>Supplier A</v>
      </c>
      <c r="P695" s="15">
        <f>Table5[[#This Row],[Total Revenue]]-Table5[[#This Row],[Net Sales Revenue]]</f>
        <v>6783.8399999999965</v>
      </c>
      <c r="Q695" s="15">
        <f>Table5[[#This Row],[Net Sales Revenue]]/Table5[[#This Row],[Units Sold]]</f>
        <v>20.64</v>
      </c>
      <c r="R695">
        <f>VLOOKUP(Table5[[#This Row],[Product ID]],'Product Master'!$A$1:$E$10,5,FALSE)</f>
        <v>12</v>
      </c>
      <c r="S695" s="15">
        <f>Table5[[#This Row],[standard product cost per unit]]*Table5[[#This Row],[Units Sold]]</f>
        <v>24228</v>
      </c>
      <c r="T695" s="15">
        <f>Table5[[#This Row],[Cost of Sales]]-Table5[[#This Row],[Standard cost]]</f>
        <v>1938.2400000000016</v>
      </c>
      <c r="U695" s="15">
        <f>Table5[[#This Row],[Net Sales Revenue]]-Table5[[#This Row],[Cost of Sales]]</f>
        <v>15505.920000000002</v>
      </c>
      <c r="V695" s="17">
        <f>Table5[[#This Row],[GrossProfit]]/Table5[[#This Row],[Net Sales Revenue]]</f>
        <v>0.37209302325581395</v>
      </c>
    </row>
    <row r="696" spans="1:22" ht="14.25" customHeight="1" x14ac:dyDescent="0.25">
      <c r="A696" s="1" t="s">
        <v>777</v>
      </c>
      <c r="B696" s="1" t="s">
        <v>758</v>
      </c>
      <c r="C696" s="1" t="s">
        <v>48</v>
      </c>
      <c r="D696" s="1" t="s">
        <v>10</v>
      </c>
      <c r="E696" s="1" t="s">
        <v>8</v>
      </c>
      <c r="F696" s="1">
        <v>1817</v>
      </c>
      <c r="G696" s="14">
        <v>50</v>
      </c>
      <c r="H696" s="1">
        <v>0.14000000000000001</v>
      </c>
      <c r="I696" s="14">
        <v>78131</v>
      </c>
      <c r="J696" s="14">
        <v>54946.080000000002</v>
      </c>
      <c r="K696" s="15">
        <f>Table5[[#This Row],[Selling Price]]*Table5[[#This Row],[Units Sold]]</f>
        <v>90850</v>
      </c>
      <c r="L696" t="str">
        <f t="shared" si="10"/>
        <v>2024-04</v>
      </c>
      <c r="M696" t="str">
        <f>VLOOKUP(Table5[[#This Row],[Store ID]],Table4[[Store ID]:[Store Location]],2)</f>
        <v>London Stratford</v>
      </c>
      <c r="N696" t="str">
        <f>VLOOKUP(Table5[[#This Row],[Store ID]],Table4[[Store ID]:[Region]],3)</f>
        <v>South</v>
      </c>
      <c r="O696" t="str">
        <f>VLOOKUP(Table5[[#This Row],[Product ID]],'Product Master'!$A$2:$D$10,4)</f>
        <v>Supplier B</v>
      </c>
      <c r="P696" s="15">
        <f>Table5[[#This Row],[Total Revenue]]-Table5[[#This Row],[Net Sales Revenue]]</f>
        <v>12719</v>
      </c>
      <c r="Q696" s="15">
        <f>Table5[[#This Row],[Net Sales Revenue]]/Table5[[#This Row],[Units Sold]]</f>
        <v>43</v>
      </c>
      <c r="R696">
        <f>VLOOKUP(Table5[[#This Row],[Product ID]],'Product Master'!$A$1:$E$10,5,FALSE)</f>
        <v>28</v>
      </c>
      <c r="S696" s="15">
        <f>Table5[[#This Row],[standard product cost per unit]]*Table5[[#This Row],[Units Sold]]</f>
        <v>50876</v>
      </c>
      <c r="T696" s="15">
        <f>Table5[[#This Row],[Cost of Sales]]-Table5[[#This Row],[Standard cost]]</f>
        <v>4070.0800000000017</v>
      </c>
      <c r="U696" s="15">
        <f>Table5[[#This Row],[Net Sales Revenue]]-Table5[[#This Row],[Cost of Sales]]</f>
        <v>23184.92</v>
      </c>
      <c r="V696" s="17">
        <f>Table5[[#This Row],[GrossProfit]]/Table5[[#This Row],[Net Sales Revenue]]</f>
        <v>0.29674418604651159</v>
      </c>
    </row>
    <row r="697" spans="1:22" ht="14.25" customHeight="1" x14ac:dyDescent="0.25">
      <c r="A697" s="1" t="s">
        <v>778</v>
      </c>
      <c r="B697" s="1" t="s">
        <v>758</v>
      </c>
      <c r="C697" s="1" t="s">
        <v>48</v>
      </c>
      <c r="D697" s="1" t="s">
        <v>13</v>
      </c>
      <c r="E697" s="1" t="s">
        <v>15</v>
      </c>
      <c r="F697" s="1">
        <v>3000</v>
      </c>
      <c r="G697" s="14">
        <v>28</v>
      </c>
      <c r="H697" s="1">
        <v>0.15</v>
      </c>
      <c r="I697" s="14">
        <v>71400</v>
      </c>
      <c r="J697" s="14">
        <v>48600</v>
      </c>
      <c r="K697" s="15">
        <f>Table5[[#This Row],[Selling Price]]*Table5[[#This Row],[Units Sold]]</f>
        <v>84000</v>
      </c>
      <c r="L697" t="str">
        <f t="shared" si="10"/>
        <v>2024-04</v>
      </c>
      <c r="M697" t="str">
        <f>VLOOKUP(Table5[[#This Row],[Store ID]],Table4[[Store ID]:[Store Location]],2)</f>
        <v>London Stratford</v>
      </c>
      <c r="N697" t="str">
        <f>VLOOKUP(Table5[[#This Row],[Store ID]],Table4[[Store ID]:[Region]],3)</f>
        <v>South</v>
      </c>
      <c r="O697" t="str">
        <f>VLOOKUP(Table5[[#This Row],[Product ID]],'Product Master'!$A$2:$D$10,4)</f>
        <v>Supplier C</v>
      </c>
      <c r="P697" s="15">
        <f>Table5[[#This Row],[Total Revenue]]-Table5[[#This Row],[Net Sales Revenue]]</f>
        <v>12600</v>
      </c>
      <c r="Q697" s="15">
        <f>Table5[[#This Row],[Net Sales Revenue]]/Table5[[#This Row],[Units Sold]]</f>
        <v>23.8</v>
      </c>
      <c r="R697">
        <f>VLOOKUP(Table5[[#This Row],[Product ID]],'Product Master'!$A$1:$E$10,5,FALSE)</f>
        <v>15</v>
      </c>
      <c r="S697" s="15">
        <f>Table5[[#This Row],[standard product cost per unit]]*Table5[[#This Row],[Units Sold]]</f>
        <v>45000</v>
      </c>
      <c r="T697" s="15">
        <f>Table5[[#This Row],[Cost of Sales]]-Table5[[#This Row],[Standard cost]]</f>
        <v>3600</v>
      </c>
      <c r="U697" s="15">
        <f>Table5[[#This Row],[Net Sales Revenue]]-Table5[[#This Row],[Cost of Sales]]</f>
        <v>22800</v>
      </c>
      <c r="V697" s="17">
        <f>Table5[[#This Row],[GrossProfit]]/Table5[[#This Row],[Net Sales Revenue]]</f>
        <v>0.31932773109243695</v>
      </c>
    </row>
    <row r="698" spans="1:22" ht="14.25" customHeight="1" x14ac:dyDescent="0.25">
      <c r="A698" s="1" t="s">
        <v>779</v>
      </c>
      <c r="B698" s="1" t="s">
        <v>758</v>
      </c>
      <c r="C698" s="1" t="s">
        <v>48</v>
      </c>
      <c r="D698" s="1" t="s">
        <v>17</v>
      </c>
      <c r="E698" s="1" t="s">
        <v>15</v>
      </c>
      <c r="F698" s="1">
        <v>2468</v>
      </c>
      <c r="G698" s="14">
        <v>35</v>
      </c>
      <c r="H698" s="1">
        <v>0.14000000000000001</v>
      </c>
      <c r="I698" s="14">
        <v>74286.8</v>
      </c>
      <c r="J698" s="14">
        <v>47977.919999999998</v>
      </c>
      <c r="K698" s="15">
        <f>Table5[[#This Row],[Selling Price]]*Table5[[#This Row],[Units Sold]]</f>
        <v>86380</v>
      </c>
      <c r="L698" t="str">
        <f t="shared" si="10"/>
        <v>2024-04</v>
      </c>
      <c r="M698" t="str">
        <f>VLOOKUP(Table5[[#This Row],[Store ID]],Table4[[Store ID]:[Store Location]],2)</f>
        <v>London Stratford</v>
      </c>
      <c r="N698" t="str">
        <f>VLOOKUP(Table5[[#This Row],[Store ID]],Table4[[Store ID]:[Region]],3)</f>
        <v>South</v>
      </c>
      <c r="O698" t="str">
        <f>VLOOKUP(Table5[[#This Row],[Product ID]],'Product Master'!$A$2:$D$10,4)</f>
        <v>Supplier C</v>
      </c>
      <c r="P698" s="15">
        <f>Table5[[#This Row],[Total Revenue]]-Table5[[#This Row],[Net Sales Revenue]]</f>
        <v>12093.199999999997</v>
      </c>
      <c r="Q698" s="15">
        <f>Table5[[#This Row],[Net Sales Revenue]]/Table5[[#This Row],[Units Sold]]</f>
        <v>30.1</v>
      </c>
      <c r="R698">
        <f>VLOOKUP(Table5[[#This Row],[Product ID]],'Product Master'!$A$1:$E$10,5,FALSE)</f>
        <v>18</v>
      </c>
      <c r="S698" s="15">
        <f>Table5[[#This Row],[standard product cost per unit]]*Table5[[#This Row],[Units Sold]]</f>
        <v>44424</v>
      </c>
      <c r="T698" s="15">
        <f>Table5[[#This Row],[Cost of Sales]]-Table5[[#This Row],[Standard cost]]</f>
        <v>3553.9199999999983</v>
      </c>
      <c r="U698" s="15">
        <f>Table5[[#This Row],[Net Sales Revenue]]-Table5[[#This Row],[Cost of Sales]]</f>
        <v>26308.880000000005</v>
      </c>
      <c r="V698" s="17">
        <f>Table5[[#This Row],[GrossProfit]]/Table5[[#This Row],[Net Sales Revenue]]</f>
        <v>0.35415282392026581</v>
      </c>
    </row>
    <row r="699" spans="1:22" ht="14.25" customHeight="1" x14ac:dyDescent="0.25">
      <c r="A699" s="1" t="s">
        <v>780</v>
      </c>
      <c r="B699" s="1" t="s">
        <v>758</v>
      </c>
      <c r="C699" s="1" t="s">
        <v>48</v>
      </c>
      <c r="D699" s="1" t="s">
        <v>19</v>
      </c>
      <c r="E699" s="1" t="s">
        <v>21</v>
      </c>
      <c r="F699" s="1">
        <v>1729</v>
      </c>
      <c r="G699" s="14">
        <v>18</v>
      </c>
      <c r="H699" s="1">
        <v>0.15</v>
      </c>
      <c r="I699" s="14">
        <v>26453.7</v>
      </c>
      <c r="J699" s="14">
        <v>16805.88</v>
      </c>
      <c r="K699" s="15">
        <f>Table5[[#This Row],[Selling Price]]*Table5[[#This Row],[Units Sold]]</f>
        <v>31122</v>
      </c>
      <c r="L699" t="str">
        <f t="shared" si="10"/>
        <v>2024-04</v>
      </c>
      <c r="M699" t="str">
        <f>VLOOKUP(Table5[[#This Row],[Store ID]],Table4[[Store ID]:[Store Location]],2)</f>
        <v>London Stratford</v>
      </c>
      <c r="N699" t="str">
        <f>VLOOKUP(Table5[[#This Row],[Store ID]],Table4[[Store ID]:[Region]],3)</f>
        <v>South</v>
      </c>
      <c r="O699" t="str">
        <f>VLOOKUP(Table5[[#This Row],[Product ID]],'Product Master'!$A$2:$D$10,4)</f>
        <v>Supplier D</v>
      </c>
      <c r="P699" s="15">
        <f>Table5[[#This Row],[Total Revenue]]-Table5[[#This Row],[Net Sales Revenue]]</f>
        <v>4668.2999999999993</v>
      </c>
      <c r="Q699" s="15">
        <f>Table5[[#This Row],[Net Sales Revenue]]/Table5[[#This Row],[Units Sold]]</f>
        <v>15.3</v>
      </c>
      <c r="R699">
        <f>VLOOKUP(Table5[[#This Row],[Product ID]],'Product Master'!$A$1:$E$10,5,FALSE)</f>
        <v>9</v>
      </c>
      <c r="S699" s="15">
        <f>Table5[[#This Row],[standard product cost per unit]]*Table5[[#This Row],[Units Sold]]</f>
        <v>15561</v>
      </c>
      <c r="T699" s="15">
        <f>Table5[[#This Row],[Cost of Sales]]-Table5[[#This Row],[Standard cost]]</f>
        <v>1244.880000000001</v>
      </c>
      <c r="U699" s="15">
        <f>Table5[[#This Row],[Net Sales Revenue]]-Table5[[#This Row],[Cost of Sales]]</f>
        <v>9647.82</v>
      </c>
      <c r="V699" s="17">
        <f>Table5[[#This Row],[GrossProfit]]/Table5[[#This Row],[Net Sales Revenue]]</f>
        <v>0.36470588235294116</v>
      </c>
    </row>
    <row r="700" spans="1:22" ht="14.25" customHeight="1" x14ac:dyDescent="0.25">
      <c r="A700" s="1" t="s">
        <v>781</v>
      </c>
      <c r="B700" s="1" t="s">
        <v>758</v>
      </c>
      <c r="C700" s="1" t="s">
        <v>48</v>
      </c>
      <c r="D700" s="1" t="s">
        <v>23</v>
      </c>
      <c r="E700" s="1" t="s">
        <v>21</v>
      </c>
      <c r="F700" s="1">
        <v>2019</v>
      </c>
      <c r="G700" s="14">
        <v>30</v>
      </c>
      <c r="H700" s="1">
        <v>0.13</v>
      </c>
      <c r="I700" s="14">
        <v>52695.9</v>
      </c>
      <c r="J700" s="14">
        <v>30527.279999999999</v>
      </c>
      <c r="K700" s="15">
        <f>Table5[[#This Row],[Selling Price]]*Table5[[#This Row],[Units Sold]]</f>
        <v>60570</v>
      </c>
      <c r="L700" t="str">
        <f t="shared" si="10"/>
        <v>2024-04</v>
      </c>
      <c r="M700" t="str">
        <f>VLOOKUP(Table5[[#This Row],[Store ID]],Table4[[Store ID]:[Store Location]],2)</f>
        <v>London Stratford</v>
      </c>
      <c r="N700" t="str">
        <f>VLOOKUP(Table5[[#This Row],[Store ID]],Table4[[Store ID]:[Region]],3)</f>
        <v>South</v>
      </c>
      <c r="O700" t="str">
        <f>VLOOKUP(Table5[[#This Row],[Product ID]],'Product Master'!$A$2:$D$10,4)</f>
        <v>Supplier D</v>
      </c>
      <c r="P700" s="15">
        <f>Table5[[#This Row],[Total Revenue]]-Table5[[#This Row],[Net Sales Revenue]]</f>
        <v>7874.0999999999985</v>
      </c>
      <c r="Q700" s="15">
        <f>Table5[[#This Row],[Net Sales Revenue]]/Table5[[#This Row],[Units Sold]]</f>
        <v>26.1</v>
      </c>
      <c r="R700">
        <f>VLOOKUP(Table5[[#This Row],[Product ID]],'Product Master'!$A$1:$E$10,5,FALSE)</f>
        <v>14</v>
      </c>
      <c r="S700" s="15">
        <f>Table5[[#This Row],[standard product cost per unit]]*Table5[[#This Row],[Units Sold]]</f>
        <v>28266</v>
      </c>
      <c r="T700" s="15">
        <f>Table5[[#This Row],[Cost of Sales]]-Table5[[#This Row],[Standard cost]]</f>
        <v>2261.2799999999988</v>
      </c>
      <c r="U700" s="15">
        <f>Table5[[#This Row],[Net Sales Revenue]]-Table5[[#This Row],[Cost of Sales]]</f>
        <v>22168.620000000003</v>
      </c>
      <c r="V700" s="17">
        <f>Table5[[#This Row],[GrossProfit]]/Table5[[#This Row],[Net Sales Revenue]]</f>
        <v>0.42068965517241386</v>
      </c>
    </row>
    <row r="701" spans="1:22" ht="14.25" customHeight="1" x14ac:dyDescent="0.25">
      <c r="A701" s="1" t="s">
        <v>782</v>
      </c>
      <c r="B701" s="1" t="s">
        <v>758</v>
      </c>
      <c r="C701" s="1" t="s">
        <v>48</v>
      </c>
      <c r="D701" s="1" t="s">
        <v>25</v>
      </c>
      <c r="E701" s="1" t="s">
        <v>27</v>
      </c>
      <c r="F701" s="1">
        <v>2076</v>
      </c>
      <c r="G701" s="14">
        <v>40</v>
      </c>
      <c r="H701" s="1">
        <v>0.16</v>
      </c>
      <c r="I701" s="14">
        <v>69753.600000000006</v>
      </c>
      <c r="J701" s="14">
        <v>44841.599999999999</v>
      </c>
      <c r="K701" s="15">
        <f>Table5[[#This Row],[Selling Price]]*Table5[[#This Row],[Units Sold]]</f>
        <v>83040</v>
      </c>
      <c r="L701" t="str">
        <f t="shared" si="10"/>
        <v>2024-04</v>
      </c>
      <c r="M701" t="str">
        <f>VLOOKUP(Table5[[#This Row],[Store ID]],Table4[[Store ID]:[Store Location]],2)</f>
        <v>London Stratford</v>
      </c>
      <c r="N701" t="str">
        <f>VLOOKUP(Table5[[#This Row],[Store ID]],Table4[[Store ID]:[Region]],3)</f>
        <v>South</v>
      </c>
      <c r="O701" t="str">
        <f>VLOOKUP(Table5[[#This Row],[Product ID]],'Product Master'!$A$2:$D$10,4)</f>
        <v>Supplier E</v>
      </c>
      <c r="P701" s="15">
        <f>Table5[[#This Row],[Total Revenue]]-Table5[[#This Row],[Net Sales Revenue]]</f>
        <v>13286.399999999994</v>
      </c>
      <c r="Q701" s="15">
        <f>Table5[[#This Row],[Net Sales Revenue]]/Table5[[#This Row],[Units Sold]]</f>
        <v>33.6</v>
      </c>
      <c r="R701">
        <f>VLOOKUP(Table5[[#This Row],[Product ID]],'Product Master'!$A$1:$E$10,5,FALSE)</f>
        <v>20</v>
      </c>
      <c r="S701" s="15">
        <f>Table5[[#This Row],[standard product cost per unit]]*Table5[[#This Row],[Units Sold]]</f>
        <v>41520</v>
      </c>
      <c r="T701" s="15">
        <f>Table5[[#This Row],[Cost of Sales]]-Table5[[#This Row],[Standard cost]]</f>
        <v>3321.5999999999985</v>
      </c>
      <c r="U701" s="15">
        <f>Table5[[#This Row],[Net Sales Revenue]]-Table5[[#This Row],[Cost of Sales]]</f>
        <v>24912.000000000007</v>
      </c>
      <c r="V701" s="17">
        <f>Table5[[#This Row],[GrossProfit]]/Table5[[#This Row],[Net Sales Revenue]]</f>
        <v>0.35714285714285721</v>
      </c>
    </row>
    <row r="702" spans="1:22" ht="14.25" customHeight="1" x14ac:dyDescent="0.25">
      <c r="A702" s="1" t="s">
        <v>783</v>
      </c>
      <c r="B702" s="1" t="s">
        <v>758</v>
      </c>
      <c r="C702" s="1" t="s">
        <v>48</v>
      </c>
      <c r="D702" s="1" t="s">
        <v>29</v>
      </c>
      <c r="E702" s="1" t="s">
        <v>31</v>
      </c>
      <c r="F702" s="1">
        <v>1597</v>
      </c>
      <c r="G702" s="14">
        <v>10</v>
      </c>
      <c r="H702" s="1">
        <v>0.17</v>
      </c>
      <c r="I702" s="14">
        <v>13255.1</v>
      </c>
      <c r="J702" s="14">
        <v>6899.04</v>
      </c>
      <c r="K702" s="15">
        <f>Table5[[#This Row],[Selling Price]]*Table5[[#This Row],[Units Sold]]</f>
        <v>15970</v>
      </c>
      <c r="L702" t="str">
        <f t="shared" si="10"/>
        <v>2024-04</v>
      </c>
      <c r="M702" t="str">
        <f>VLOOKUP(Table5[[#This Row],[Store ID]],Table4[[Store ID]:[Store Location]],2)</f>
        <v>London Stratford</v>
      </c>
      <c r="N702" t="str">
        <f>VLOOKUP(Table5[[#This Row],[Store ID]],Table4[[Store ID]:[Region]],3)</f>
        <v>South</v>
      </c>
      <c r="O702" t="str">
        <f>VLOOKUP(Table5[[#This Row],[Product ID]],'Product Master'!$A$2:$D$10,4)</f>
        <v>Supplier F</v>
      </c>
      <c r="P702" s="15">
        <f>Table5[[#This Row],[Total Revenue]]-Table5[[#This Row],[Net Sales Revenue]]</f>
        <v>2714.8999999999996</v>
      </c>
      <c r="Q702" s="15">
        <f>Table5[[#This Row],[Net Sales Revenue]]/Table5[[#This Row],[Units Sold]]</f>
        <v>8.3000000000000007</v>
      </c>
      <c r="R702">
        <f>VLOOKUP(Table5[[#This Row],[Product ID]],'Product Master'!$A$1:$E$10,5,FALSE)</f>
        <v>4</v>
      </c>
      <c r="S702" s="15">
        <f>Table5[[#This Row],[standard product cost per unit]]*Table5[[#This Row],[Units Sold]]</f>
        <v>6388</v>
      </c>
      <c r="T702" s="15">
        <f>Table5[[#This Row],[Cost of Sales]]-Table5[[#This Row],[Standard cost]]</f>
        <v>511.03999999999996</v>
      </c>
      <c r="U702" s="15">
        <f>Table5[[#This Row],[Net Sales Revenue]]-Table5[[#This Row],[Cost of Sales]]</f>
        <v>6356.06</v>
      </c>
      <c r="V702" s="17">
        <f>Table5[[#This Row],[GrossProfit]]/Table5[[#This Row],[Net Sales Revenue]]</f>
        <v>0.47951807228915666</v>
      </c>
    </row>
    <row r="703" spans="1:22" ht="14.25" customHeight="1" x14ac:dyDescent="0.25">
      <c r="A703" s="1" t="s">
        <v>784</v>
      </c>
      <c r="B703" s="1" t="s">
        <v>758</v>
      </c>
      <c r="C703" s="1" t="s">
        <v>48</v>
      </c>
      <c r="D703" s="1" t="s">
        <v>33</v>
      </c>
      <c r="E703" s="1" t="s">
        <v>31</v>
      </c>
      <c r="F703" s="1">
        <v>1927</v>
      </c>
      <c r="G703" s="14">
        <v>22</v>
      </c>
      <c r="H703" s="1">
        <v>0.16</v>
      </c>
      <c r="I703" s="14">
        <v>35610.959999999999</v>
      </c>
      <c r="J703" s="14">
        <v>20811.599999999999</v>
      </c>
      <c r="K703" s="15">
        <f>Table5[[#This Row],[Selling Price]]*Table5[[#This Row],[Units Sold]]</f>
        <v>42394</v>
      </c>
      <c r="L703" t="str">
        <f t="shared" si="10"/>
        <v>2024-04</v>
      </c>
      <c r="M703" t="str">
        <f>VLOOKUP(Table5[[#This Row],[Store ID]],Table4[[Store ID]:[Store Location]],2)</f>
        <v>London Stratford</v>
      </c>
      <c r="N703" t="str">
        <f>VLOOKUP(Table5[[#This Row],[Store ID]],Table4[[Store ID]:[Region]],3)</f>
        <v>South</v>
      </c>
      <c r="O703" t="str">
        <f>VLOOKUP(Table5[[#This Row],[Product ID]],'Product Master'!$A$2:$D$10,4)</f>
        <v>Supplier F</v>
      </c>
      <c r="P703" s="15">
        <f>Table5[[#This Row],[Total Revenue]]-Table5[[#This Row],[Net Sales Revenue]]</f>
        <v>6783.0400000000009</v>
      </c>
      <c r="Q703" s="15">
        <f>Table5[[#This Row],[Net Sales Revenue]]/Table5[[#This Row],[Units Sold]]</f>
        <v>18.48</v>
      </c>
      <c r="R703">
        <f>VLOOKUP(Table5[[#This Row],[Product ID]],'Product Master'!$A$1:$E$10,5,FALSE)</f>
        <v>10</v>
      </c>
      <c r="S703" s="15">
        <f>Table5[[#This Row],[standard product cost per unit]]*Table5[[#This Row],[Units Sold]]</f>
        <v>19270</v>
      </c>
      <c r="T703" s="15">
        <f>Table5[[#This Row],[Cost of Sales]]-Table5[[#This Row],[Standard cost]]</f>
        <v>1541.5999999999985</v>
      </c>
      <c r="U703" s="15">
        <f>Table5[[#This Row],[Net Sales Revenue]]-Table5[[#This Row],[Cost of Sales]]</f>
        <v>14799.36</v>
      </c>
      <c r="V703" s="17">
        <f>Table5[[#This Row],[GrossProfit]]/Table5[[#This Row],[Net Sales Revenue]]</f>
        <v>0.41558441558441561</v>
      </c>
    </row>
    <row r="704" spans="1:22" ht="14.25" customHeight="1" x14ac:dyDescent="0.25">
      <c r="A704" s="1" t="s">
        <v>785</v>
      </c>
      <c r="B704" s="1" t="s">
        <v>758</v>
      </c>
      <c r="C704" s="1" t="s">
        <v>52</v>
      </c>
      <c r="D704" s="1" t="s">
        <v>6</v>
      </c>
      <c r="E704" s="1" t="s">
        <v>8</v>
      </c>
      <c r="F704" s="1">
        <v>1821</v>
      </c>
      <c r="G704" s="14">
        <v>24</v>
      </c>
      <c r="H704" s="1">
        <v>0.14000000000000001</v>
      </c>
      <c r="I704" s="14">
        <v>37585.440000000002</v>
      </c>
      <c r="J704" s="14">
        <v>23600.16</v>
      </c>
      <c r="K704" s="15">
        <f>Table5[[#This Row],[Selling Price]]*Table5[[#This Row],[Units Sold]]</f>
        <v>43704</v>
      </c>
      <c r="L704" t="str">
        <f t="shared" si="10"/>
        <v>2024-04</v>
      </c>
      <c r="M704" t="str">
        <f>VLOOKUP(Table5[[#This Row],[Store ID]],Table4[[Store ID]:[Store Location]],2)</f>
        <v>Glasgow</v>
      </c>
      <c r="N704" t="str">
        <f>VLOOKUP(Table5[[#This Row],[Store ID]],Table4[[Store ID]:[Region]],3)</f>
        <v>Scotland</v>
      </c>
      <c r="O704" t="str">
        <f>VLOOKUP(Table5[[#This Row],[Product ID]],'Product Master'!$A$2:$D$10,4)</f>
        <v>Supplier A</v>
      </c>
      <c r="P704" s="15">
        <f>Table5[[#This Row],[Total Revenue]]-Table5[[#This Row],[Net Sales Revenue]]</f>
        <v>6118.5599999999977</v>
      </c>
      <c r="Q704" s="15">
        <f>Table5[[#This Row],[Net Sales Revenue]]/Table5[[#This Row],[Units Sold]]</f>
        <v>20.64</v>
      </c>
      <c r="R704">
        <f>VLOOKUP(Table5[[#This Row],[Product ID]],'Product Master'!$A$1:$E$10,5,FALSE)</f>
        <v>12</v>
      </c>
      <c r="S704" s="15">
        <f>Table5[[#This Row],[standard product cost per unit]]*Table5[[#This Row],[Units Sold]]</f>
        <v>21852</v>
      </c>
      <c r="T704" s="15">
        <f>Table5[[#This Row],[Cost of Sales]]-Table5[[#This Row],[Standard cost]]</f>
        <v>1748.1599999999999</v>
      </c>
      <c r="U704" s="15">
        <f>Table5[[#This Row],[Net Sales Revenue]]-Table5[[#This Row],[Cost of Sales]]</f>
        <v>13985.280000000002</v>
      </c>
      <c r="V704" s="17">
        <f>Table5[[#This Row],[GrossProfit]]/Table5[[#This Row],[Net Sales Revenue]]</f>
        <v>0.372093023255814</v>
      </c>
    </row>
    <row r="705" spans="1:22" ht="14.25" customHeight="1" x14ac:dyDescent="0.25">
      <c r="A705" s="1" t="s">
        <v>786</v>
      </c>
      <c r="B705" s="1" t="s">
        <v>758</v>
      </c>
      <c r="C705" s="1" t="s">
        <v>52</v>
      </c>
      <c r="D705" s="1" t="s">
        <v>10</v>
      </c>
      <c r="E705" s="1" t="s">
        <v>8</v>
      </c>
      <c r="F705" s="1">
        <v>2767</v>
      </c>
      <c r="G705" s="14">
        <v>50</v>
      </c>
      <c r="H705" s="1">
        <v>0.15</v>
      </c>
      <c r="I705" s="14">
        <v>117597.5</v>
      </c>
      <c r="J705" s="14">
        <v>83674.080000000002</v>
      </c>
      <c r="K705" s="15">
        <f>Table5[[#This Row],[Selling Price]]*Table5[[#This Row],[Units Sold]]</f>
        <v>138350</v>
      </c>
      <c r="L705" t="str">
        <f t="shared" si="10"/>
        <v>2024-04</v>
      </c>
      <c r="M705" t="str">
        <f>VLOOKUP(Table5[[#This Row],[Store ID]],Table4[[Store ID]:[Store Location]],2)</f>
        <v>Glasgow</v>
      </c>
      <c r="N705" t="str">
        <f>VLOOKUP(Table5[[#This Row],[Store ID]],Table4[[Store ID]:[Region]],3)</f>
        <v>Scotland</v>
      </c>
      <c r="O705" t="str">
        <f>VLOOKUP(Table5[[#This Row],[Product ID]],'Product Master'!$A$2:$D$10,4)</f>
        <v>Supplier B</v>
      </c>
      <c r="P705" s="15">
        <f>Table5[[#This Row],[Total Revenue]]-Table5[[#This Row],[Net Sales Revenue]]</f>
        <v>20752.5</v>
      </c>
      <c r="Q705" s="15">
        <f>Table5[[#This Row],[Net Sales Revenue]]/Table5[[#This Row],[Units Sold]]</f>
        <v>42.5</v>
      </c>
      <c r="R705">
        <f>VLOOKUP(Table5[[#This Row],[Product ID]],'Product Master'!$A$1:$E$10,5,FALSE)</f>
        <v>28</v>
      </c>
      <c r="S705" s="15">
        <f>Table5[[#This Row],[standard product cost per unit]]*Table5[[#This Row],[Units Sold]]</f>
        <v>77476</v>
      </c>
      <c r="T705" s="15">
        <f>Table5[[#This Row],[Cost of Sales]]-Table5[[#This Row],[Standard cost]]</f>
        <v>6198.0800000000017</v>
      </c>
      <c r="U705" s="15">
        <f>Table5[[#This Row],[Net Sales Revenue]]-Table5[[#This Row],[Cost of Sales]]</f>
        <v>33923.42</v>
      </c>
      <c r="V705" s="17">
        <f>Table5[[#This Row],[GrossProfit]]/Table5[[#This Row],[Net Sales Revenue]]</f>
        <v>0.28847058823529409</v>
      </c>
    </row>
    <row r="706" spans="1:22" ht="14.25" customHeight="1" x14ac:dyDescent="0.25">
      <c r="A706" s="1" t="s">
        <v>787</v>
      </c>
      <c r="B706" s="1" t="s">
        <v>758</v>
      </c>
      <c r="C706" s="1" t="s">
        <v>52</v>
      </c>
      <c r="D706" s="1" t="s">
        <v>13</v>
      </c>
      <c r="E706" s="1" t="s">
        <v>15</v>
      </c>
      <c r="F706" s="1">
        <v>2974</v>
      </c>
      <c r="G706" s="14">
        <v>28</v>
      </c>
      <c r="H706" s="1">
        <v>0.13</v>
      </c>
      <c r="I706" s="14">
        <v>72446.64</v>
      </c>
      <c r="J706" s="14">
        <v>48178.8</v>
      </c>
      <c r="K706" s="15">
        <f>Table5[[#This Row],[Selling Price]]*Table5[[#This Row],[Units Sold]]</f>
        <v>83272</v>
      </c>
      <c r="L706" t="str">
        <f t="shared" ref="L706:L769" si="11">TEXT(B706,"yyyy-mm")</f>
        <v>2024-04</v>
      </c>
      <c r="M706" t="str">
        <f>VLOOKUP(Table5[[#This Row],[Store ID]],Table4[[Store ID]:[Store Location]],2)</f>
        <v>Glasgow</v>
      </c>
      <c r="N706" t="str">
        <f>VLOOKUP(Table5[[#This Row],[Store ID]],Table4[[Store ID]:[Region]],3)</f>
        <v>Scotland</v>
      </c>
      <c r="O706" t="str">
        <f>VLOOKUP(Table5[[#This Row],[Product ID]],'Product Master'!$A$2:$D$10,4)</f>
        <v>Supplier C</v>
      </c>
      <c r="P706" s="15">
        <f>Table5[[#This Row],[Total Revenue]]-Table5[[#This Row],[Net Sales Revenue]]</f>
        <v>10825.36</v>
      </c>
      <c r="Q706" s="15">
        <f>Table5[[#This Row],[Net Sales Revenue]]/Table5[[#This Row],[Units Sold]]</f>
        <v>24.36</v>
      </c>
      <c r="R706">
        <f>VLOOKUP(Table5[[#This Row],[Product ID]],'Product Master'!$A$1:$E$10,5,FALSE)</f>
        <v>15</v>
      </c>
      <c r="S706" s="15">
        <f>Table5[[#This Row],[standard product cost per unit]]*Table5[[#This Row],[Units Sold]]</f>
        <v>44610</v>
      </c>
      <c r="T706" s="15">
        <f>Table5[[#This Row],[Cost of Sales]]-Table5[[#This Row],[Standard cost]]</f>
        <v>3568.8000000000029</v>
      </c>
      <c r="U706" s="15">
        <f>Table5[[#This Row],[Net Sales Revenue]]-Table5[[#This Row],[Cost of Sales]]</f>
        <v>24267.839999999997</v>
      </c>
      <c r="V706" s="17">
        <f>Table5[[#This Row],[GrossProfit]]/Table5[[#This Row],[Net Sales Revenue]]</f>
        <v>0.33497536945812806</v>
      </c>
    </row>
    <row r="707" spans="1:22" ht="14.25" customHeight="1" x14ac:dyDescent="0.25">
      <c r="A707" s="1" t="s">
        <v>788</v>
      </c>
      <c r="B707" s="1" t="s">
        <v>758</v>
      </c>
      <c r="C707" s="1" t="s">
        <v>52</v>
      </c>
      <c r="D707" s="1" t="s">
        <v>17</v>
      </c>
      <c r="E707" s="1" t="s">
        <v>15</v>
      </c>
      <c r="F707" s="1">
        <v>2279</v>
      </c>
      <c r="G707" s="14">
        <v>35</v>
      </c>
      <c r="H707" s="1">
        <v>0.16</v>
      </c>
      <c r="I707" s="14">
        <v>67002.600000000006</v>
      </c>
      <c r="J707" s="14">
        <v>44303.76</v>
      </c>
      <c r="K707" s="15">
        <f>Table5[[#This Row],[Selling Price]]*Table5[[#This Row],[Units Sold]]</f>
        <v>79765</v>
      </c>
      <c r="L707" t="str">
        <f t="shared" si="11"/>
        <v>2024-04</v>
      </c>
      <c r="M707" t="str">
        <f>VLOOKUP(Table5[[#This Row],[Store ID]],Table4[[Store ID]:[Store Location]],2)</f>
        <v>Glasgow</v>
      </c>
      <c r="N707" t="str">
        <f>VLOOKUP(Table5[[#This Row],[Store ID]],Table4[[Store ID]:[Region]],3)</f>
        <v>Scotland</v>
      </c>
      <c r="O707" t="str">
        <f>VLOOKUP(Table5[[#This Row],[Product ID]],'Product Master'!$A$2:$D$10,4)</f>
        <v>Supplier C</v>
      </c>
      <c r="P707" s="15">
        <f>Table5[[#This Row],[Total Revenue]]-Table5[[#This Row],[Net Sales Revenue]]</f>
        <v>12762.399999999994</v>
      </c>
      <c r="Q707" s="15">
        <f>Table5[[#This Row],[Net Sales Revenue]]/Table5[[#This Row],[Units Sold]]</f>
        <v>29.400000000000002</v>
      </c>
      <c r="R707">
        <f>VLOOKUP(Table5[[#This Row],[Product ID]],'Product Master'!$A$1:$E$10,5,FALSE)</f>
        <v>18</v>
      </c>
      <c r="S707" s="15">
        <f>Table5[[#This Row],[standard product cost per unit]]*Table5[[#This Row],[Units Sold]]</f>
        <v>41022</v>
      </c>
      <c r="T707" s="15">
        <f>Table5[[#This Row],[Cost of Sales]]-Table5[[#This Row],[Standard cost]]</f>
        <v>3281.760000000002</v>
      </c>
      <c r="U707" s="15">
        <f>Table5[[#This Row],[Net Sales Revenue]]-Table5[[#This Row],[Cost of Sales]]</f>
        <v>22698.840000000004</v>
      </c>
      <c r="V707" s="17">
        <f>Table5[[#This Row],[GrossProfit]]/Table5[[#This Row],[Net Sales Revenue]]</f>
        <v>0.33877551020408164</v>
      </c>
    </row>
    <row r="708" spans="1:22" ht="14.25" customHeight="1" x14ac:dyDescent="0.25">
      <c r="A708" s="1" t="s">
        <v>789</v>
      </c>
      <c r="B708" s="1" t="s">
        <v>758</v>
      </c>
      <c r="C708" s="1" t="s">
        <v>52</v>
      </c>
      <c r="D708" s="1" t="s">
        <v>19</v>
      </c>
      <c r="E708" s="1" t="s">
        <v>21</v>
      </c>
      <c r="F708" s="1">
        <v>1799</v>
      </c>
      <c r="G708" s="14">
        <v>18</v>
      </c>
      <c r="H708" s="1">
        <v>0.15</v>
      </c>
      <c r="I708" s="14">
        <v>27524.7</v>
      </c>
      <c r="J708" s="14">
        <v>17486.28</v>
      </c>
      <c r="K708" s="15">
        <f>Table5[[#This Row],[Selling Price]]*Table5[[#This Row],[Units Sold]]</f>
        <v>32382</v>
      </c>
      <c r="L708" t="str">
        <f t="shared" si="11"/>
        <v>2024-04</v>
      </c>
      <c r="M708" t="str">
        <f>VLOOKUP(Table5[[#This Row],[Store ID]],Table4[[Store ID]:[Store Location]],2)</f>
        <v>Glasgow</v>
      </c>
      <c r="N708" t="str">
        <f>VLOOKUP(Table5[[#This Row],[Store ID]],Table4[[Store ID]:[Region]],3)</f>
        <v>Scotland</v>
      </c>
      <c r="O708" t="str">
        <f>VLOOKUP(Table5[[#This Row],[Product ID]],'Product Master'!$A$2:$D$10,4)</f>
        <v>Supplier D</v>
      </c>
      <c r="P708" s="15">
        <f>Table5[[#This Row],[Total Revenue]]-Table5[[#This Row],[Net Sales Revenue]]</f>
        <v>4857.2999999999993</v>
      </c>
      <c r="Q708" s="15">
        <f>Table5[[#This Row],[Net Sales Revenue]]/Table5[[#This Row],[Units Sold]]</f>
        <v>15.3</v>
      </c>
      <c r="R708">
        <f>VLOOKUP(Table5[[#This Row],[Product ID]],'Product Master'!$A$1:$E$10,5,FALSE)</f>
        <v>9</v>
      </c>
      <c r="S708" s="15">
        <f>Table5[[#This Row],[standard product cost per unit]]*Table5[[#This Row],[Units Sold]]</f>
        <v>16191</v>
      </c>
      <c r="T708" s="15">
        <f>Table5[[#This Row],[Cost of Sales]]-Table5[[#This Row],[Standard cost]]</f>
        <v>1295.2799999999988</v>
      </c>
      <c r="U708" s="15">
        <f>Table5[[#This Row],[Net Sales Revenue]]-Table5[[#This Row],[Cost of Sales]]</f>
        <v>10038.420000000002</v>
      </c>
      <c r="V708" s="17">
        <f>Table5[[#This Row],[GrossProfit]]/Table5[[#This Row],[Net Sales Revenue]]</f>
        <v>0.36470588235294121</v>
      </c>
    </row>
    <row r="709" spans="1:22" ht="14.25" customHeight="1" x14ac:dyDescent="0.25">
      <c r="A709" s="1" t="s">
        <v>790</v>
      </c>
      <c r="B709" s="1" t="s">
        <v>758</v>
      </c>
      <c r="C709" s="1" t="s">
        <v>52</v>
      </c>
      <c r="D709" s="1" t="s">
        <v>23</v>
      </c>
      <c r="E709" s="1" t="s">
        <v>21</v>
      </c>
      <c r="F709" s="1">
        <v>2851</v>
      </c>
      <c r="G709" s="14">
        <v>30</v>
      </c>
      <c r="H709" s="1">
        <v>0.14000000000000001</v>
      </c>
      <c r="I709" s="14">
        <v>73555.8</v>
      </c>
      <c r="J709" s="14">
        <v>43107.12</v>
      </c>
      <c r="K709" s="15">
        <f>Table5[[#This Row],[Selling Price]]*Table5[[#This Row],[Units Sold]]</f>
        <v>85530</v>
      </c>
      <c r="L709" t="str">
        <f t="shared" si="11"/>
        <v>2024-04</v>
      </c>
      <c r="M709" t="str">
        <f>VLOOKUP(Table5[[#This Row],[Store ID]],Table4[[Store ID]:[Store Location]],2)</f>
        <v>Glasgow</v>
      </c>
      <c r="N709" t="str">
        <f>VLOOKUP(Table5[[#This Row],[Store ID]],Table4[[Store ID]:[Region]],3)</f>
        <v>Scotland</v>
      </c>
      <c r="O709" t="str">
        <f>VLOOKUP(Table5[[#This Row],[Product ID]],'Product Master'!$A$2:$D$10,4)</f>
        <v>Supplier D</v>
      </c>
      <c r="P709" s="15">
        <f>Table5[[#This Row],[Total Revenue]]-Table5[[#This Row],[Net Sales Revenue]]</f>
        <v>11974.199999999997</v>
      </c>
      <c r="Q709" s="15">
        <f>Table5[[#This Row],[Net Sales Revenue]]/Table5[[#This Row],[Units Sold]]</f>
        <v>25.8</v>
      </c>
      <c r="R709">
        <f>VLOOKUP(Table5[[#This Row],[Product ID]],'Product Master'!$A$1:$E$10,5,FALSE)</f>
        <v>14</v>
      </c>
      <c r="S709" s="15">
        <f>Table5[[#This Row],[standard product cost per unit]]*Table5[[#This Row],[Units Sold]]</f>
        <v>39914</v>
      </c>
      <c r="T709" s="15">
        <f>Table5[[#This Row],[Cost of Sales]]-Table5[[#This Row],[Standard cost]]</f>
        <v>3193.1200000000026</v>
      </c>
      <c r="U709" s="15">
        <f>Table5[[#This Row],[Net Sales Revenue]]-Table5[[#This Row],[Cost of Sales]]</f>
        <v>30448.68</v>
      </c>
      <c r="V709" s="17">
        <f>Table5[[#This Row],[GrossProfit]]/Table5[[#This Row],[Net Sales Revenue]]</f>
        <v>0.413953488372093</v>
      </c>
    </row>
    <row r="710" spans="1:22" ht="14.25" customHeight="1" x14ac:dyDescent="0.25">
      <c r="A710" s="1" t="s">
        <v>791</v>
      </c>
      <c r="B710" s="1" t="s">
        <v>758</v>
      </c>
      <c r="C710" s="1" t="s">
        <v>52</v>
      </c>
      <c r="D710" s="1" t="s">
        <v>25</v>
      </c>
      <c r="E710" s="1" t="s">
        <v>27</v>
      </c>
      <c r="F710" s="1">
        <v>2983</v>
      </c>
      <c r="G710" s="14">
        <v>40</v>
      </c>
      <c r="H710" s="1">
        <v>0.17</v>
      </c>
      <c r="I710" s="14">
        <v>99035.6</v>
      </c>
      <c r="J710" s="14">
        <v>64432.800000000003</v>
      </c>
      <c r="K710" s="15">
        <f>Table5[[#This Row],[Selling Price]]*Table5[[#This Row],[Units Sold]]</f>
        <v>119320</v>
      </c>
      <c r="L710" t="str">
        <f t="shared" si="11"/>
        <v>2024-04</v>
      </c>
      <c r="M710" t="str">
        <f>VLOOKUP(Table5[[#This Row],[Store ID]],Table4[[Store ID]:[Store Location]],2)</f>
        <v>Glasgow</v>
      </c>
      <c r="N710" t="str">
        <f>VLOOKUP(Table5[[#This Row],[Store ID]],Table4[[Store ID]:[Region]],3)</f>
        <v>Scotland</v>
      </c>
      <c r="O710" t="str">
        <f>VLOOKUP(Table5[[#This Row],[Product ID]],'Product Master'!$A$2:$D$10,4)</f>
        <v>Supplier E</v>
      </c>
      <c r="P710" s="15">
        <f>Table5[[#This Row],[Total Revenue]]-Table5[[#This Row],[Net Sales Revenue]]</f>
        <v>20284.399999999994</v>
      </c>
      <c r="Q710" s="15">
        <f>Table5[[#This Row],[Net Sales Revenue]]/Table5[[#This Row],[Units Sold]]</f>
        <v>33.200000000000003</v>
      </c>
      <c r="R710">
        <f>VLOOKUP(Table5[[#This Row],[Product ID]],'Product Master'!$A$1:$E$10,5,FALSE)</f>
        <v>20</v>
      </c>
      <c r="S710" s="15">
        <f>Table5[[#This Row],[standard product cost per unit]]*Table5[[#This Row],[Units Sold]]</f>
        <v>59660</v>
      </c>
      <c r="T710" s="15">
        <f>Table5[[#This Row],[Cost of Sales]]-Table5[[#This Row],[Standard cost]]</f>
        <v>4772.8000000000029</v>
      </c>
      <c r="U710" s="15">
        <f>Table5[[#This Row],[Net Sales Revenue]]-Table5[[#This Row],[Cost of Sales]]</f>
        <v>34602.800000000003</v>
      </c>
      <c r="V710" s="17">
        <f>Table5[[#This Row],[GrossProfit]]/Table5[[#This Row],[Net Sales Revenue]]</f>
        <v>0.3493975903614458</v>
      </c>
    </row>
    <row r="711" spans="1:22" ht="14.25" customHeight="1" x14ac:dyDescent="0.25">
      <c r="A711" s="1" t="s">
        <v>792</v>
      </c>
      <c r="B711" s="1" t="s">
        <v>758</v>
      </c>
      <c r="C711" s="1" t="s">
        <v>52</v>
      </c>
      <c r="D711" s="1" t="s">
        <v>29</v>
      </c>
      <c r="E711" s="1" t="s">
        <v>31</v>
      </c>
      <c r="F711" s="1">
        <v>2552</v>
      </c>
      <c r="G711" s="14">
        <v>10</v>
      </c>
      <c r="H711" s="1">
        <v>0.17</v>
      </c>
      <c r="I711" s="14">
        <v>21181.599999999999</v>
      </c>
      <c r="J711" s="14">
        <v>11024.64</v>
      </c>
      <c r="K711" s="15">
        <f>Table5[[#This Row],[Selling Price]]*Table5[[#This Row],[Units Sold]]</f>
        <v>25520</v>
      </c>
      <c r="L711" t="str">
        <f t="shared" si="11"/>
        <v>2024-04</v>
      </c>
      <c r="M711" t="str">
        <f>VLOOKUP(Table5[[#This Row],[Store ID]],Table4[[Store ID]:[Store Location]],2)</f>
        <v>Glasgow</v>
      </c>
      <c r="N711" t="str">
        <f>VLOOKUP(Table5[[#This Row],[Store ID]],Table4[[Store ID]:[Region]],3)</f>
        <v>Scotland</v>
      </c>
      <c r="O711" t="str">
        <f>VLOOKUP(Table5[[#This Row],[Product ID]],'Product Master'!$A$2:$D$10,4)</f>
        <v>Supplier F</v>
      </c>
      <c r="P711" s="15">
        <f>Table5[[#This Row],[Total Revenue]]-Table5[[#This Row],[Net Sales Revenue]]</f>
        <v>4338.4000000000015</v>
      </c>
      <c r="Q711" s="15">
        <f>Table5[[#This Row],[Net Sales Revenue]]/Table5[[#This Row],[Units Sold]]</f>
        <v>8.2999999999999989</v>
      </c>
      <c r="R711">
        <f>VLOOKUP(Table5[[#This Row],[Product ID]],'Product Master'!$A$1:$E$10,5,FALSE)</f>
        <v>4</v>
      </c>
      <c r="S711" s="15">
        <f>Table5[[#This Row],[standard product cost per unit]]*Table5[[#This Row],[Units Sold]]</f>
        <v>10208</v>
      </c>
      <c r="T711" s="15">
        <f>Table5[[#This Row],[Cost of Sales]]-Table5[[#This Row],[Standard cost]]</f>
        <v>816.63999999999942</v>
      </c>
      <c r="U711" s="15">
        <f>Table5[[#This Row],[Net Sales Revenue]]-Table5[[#This Row],[Cost of Sales]]</f>
        <v>10156.959999999999</v>
      </c>
      <c r="V711" s="17">
        <f>Table5[[#This Row],[GrossProfit]]/Table5[[#This Row],[Net Sales Revenue]]</f>
        <v>0.4795180722891566</v>
      </c>
    </row>
    <row r="712" spans="1:22" ht="14.25" customHeight="1" x14ac:dyDescent="0.25">
      <c r="A712" s="1" t="s">
        <v>793</v>
      </c>
      <c r="B712" s="1" t="s">
        <v>758</v>
      </c>
      <c r="C712" s="1" t="s">
        <v>52</v>
      </c>
      <c r="D712" s="1" t="s">
        <v>33</v>
      </c>
      <c r="E712" s="1" t="s">
        <v>31</v>
      </c>
      <c r="F712" s="1">
        <v>2965</v>
      </c>
      <c r="G712" s="14">
        <v>22</v>
      </c>
      <c r="H712" s="1">
        <v>0.14000000000000001</v>
      </c>
      <c r="I712" s="14">
        <v>56097.8</v>
      </c>
      <c r="J712" s="14">
        <v>32022</v>
      </c>
      <c r="K712" s="15">
        <f>Table5[[#This Row],[Selling Price]]*Table5[[#This Row],[Units Sold]]</f>
        <v>65230</v>
      </c>
      <c r="L712" t="str">
        <f t="shared" si="11"/>
        <v>2024-04</v>
      </c>
      <c r="M712" t="str">
        <f>VLOOKUP(Table5[[#This Row],[Store ID]],Table4[[Store ID]:[Store Location]],2)</f>
        <v>Glasgow</v>
      </c>
      <c r="N712" t="str">
        <f>VLOOKUP(Table5[[#This Row],[Store ID]],Table4[[Store ID]:[Region]],3)</f>
        <v>Scotland</v>
      </c>
      <c r="O712" t="str">
        <f>VLOOKUP(Table5[[#This Row],[Product ID]],'Product Master'!$A$2:$D$10,4)</f>
        <v>Supplier F</v>
      </c>
      <c r="P712" s="15">
        <f>Table5[[#This Row],[Total Revenue]]-Table5[[#This Row],[Net Sales Revenue]]</f>
        <v>9132.1999999999971</v>
      </c>
      <c r="Q712" s="15">
        <f>Table5[[#This Row],[Net Sales Revenue]]/Table5[[#This Row],[Units Sold]]</f>
        <v>18.920000000000002</v>
      </c>
      <c r="R712">
        <f>VLOOKUP(Table5[[#This Row],[Product ID]],'Product Master'!$A$1:$E$10,5,FALSE)</f>
        <v>10</v>
      </c>
      <c r="S712" s="15">
        <f>Table5[[#This Row],[standard product cost per unit]]*Table5[[#This Row],[Units Sold]]</f>
        <v>29650</v>
      </c>
      <c r="T712" s="15">
        <f>Table5[[#This Row],[Cost of Sales]]-Table5[[#This Row],[Standard cost]]</f>
        <v>2372</v>
      </c>
      <c r="U712" s="15">
        <f>Table5[[#This Row],[Net Sales Revenue]]-Table5[[#This Row],[Cost of Sales]]</f>
        <v>24075.800000000003</v>
      </c>
      <c r="V712" s="17">
        <f>Table5[[#This Row],[GrossProfit]]/Table5[[#This Row],[Net Sales Revenue]]</f>
        <v>0.42917547568710362</v>
      </c>
    </row>
    <row r="713" spans="1:22" ht="14.25" customHeight="1" x14ac:dyDescent="0.25">
      <c r="A713" s="1" t="s">
        <v>794</v>
      </c>
      <c r="B713" s="1" t="s">
        <v>758</v>
      </c>
      <c r="C713" s="1" t="s">
        <v>56</v>
      </c>
      <c r="D713" s="1" t="s">
        <v>6</v>
      </c>
      <c r="E713" s="1" t="s">
        <v>8</v>
      </c>
      <c r="F713" s="1">
        <v>1667</v>
      </c>
      <c r="G713" s="14">
        <v>24</v>
      </c>
      <c r="H713" s="1">
        <v>0.13</v>
      </c>
      <c r="I713" s="14">
        <v>34806.959999999999</v>
      </c>
      <c r="J713" s="14">
        <v>21604.32</v>
      </c>
      <c r="K713" s="15">
        <f>Table5[[#This Row],[Selling Price]]*Table5[[#This Row],[Units Sold]]</f>
        <v>40008</v>
      </c>
      <c r="L713" t="str">
        <f t="shared" si="11"/>
        <v>2024-04</v>
      </c>
      <c r="M713" t="str">
        <f>VLOOKUP(Table5[[#This Row],[Store ID]],Table4[[Store ID]:[Store Location]],2)</f>
        <v>Leeds</v>
      </c>
      <c r="N713" t="str">
        <f>VLOOKUP(Table5[[#This Row],[Store ID]],Table4[[Store ID]:[Region]],3)</f>
        <v>North</v>
      </c>
      <c r="O713" t="str">
        <f>VLOOKUP(Table5[[#This Row],[Product ID]],'Product Master'!$A$2:$D$10,4)</f>
        <v>Supplier A</v>
      </c>
      <c r="P713" s="15">
        <f>Table5[[#This Row],[Total Revenue]]-Table5[[#This Row],[Net Sales Revenue]]</f>
        <v>5201.0400000000009</v>
      </c>
      <c r="Q713" s="15">
        <f>Table5[[#This Row],[Net Sales Revenue]]/Table5[[#This Row],[Units Sold]]</f>
        <v>20.88</v>
      </c>
      <c r="R713">
        <f>VLOOKUP(Table5[[#This Row],[Product ID]],'Product Master'!$A$1:$E$10,5,FALSE)</f>
        <v>12</v>
      </c>
      <c r="S713" s="15">
        <f>Table5[[#This Row],[standard product cost per unit]]*Table5[[#This Row],[Units Sold]]</f>
        <v>20004</v>
      </c>
      <c r="T713" s="15">
        <f>Table5[[#This Row],[Cost of Sales]]-Table5[[#This Row],[Standard cost]]</f>
        <v>1600.3199999999997</v>
      </c>
      <c r="U713" s="15">
        <f>Table5[[#This Row],[Net Sales Revenue]]-Table5[[#This Row],[Cost of Sales]]</f>
        <v>13202.64</v>
      </c>
      <c r="V713" s="17">
        <f>Table5[[#This Row],[GrossProfit]]/Table5[[#This Row],[Net Sales Revenue]]</f>
        <v>0.37931034482758619</v>
      </c>
    </row>
    <row r="714" spans="1:22" ht="14.25" customHeight="1" x14ac:dyDescent="0.25">
      <c r="A714" s="1" t="s">
        <v>795</v>
      </c>
      <c r="B714" s="1" t="s">
        <v>758</v>
      </c>
      <c r="C714" s="1" t="s">
        <v>56</v>
      </c>
      <c r="D714" s="1" t="s">
        <v>10</v>
      </c>
      <c r="E714" s="1" t="s">
        <v>8</v>
      </c>
      <c r="F714" s="1">
        <v>1513</v>
      </c>
      <c r="G714" s="14">
        <v>50</v>
      </c>
      <c r="H714" s="1">
        <v>0.13</v>
      </c>
      <c r="I714" s="14">
        <v>65815.5</v>
      </c>
      <c r="J714" s="14">
        <v>45753.120000000003</v>
      </c>
      <c r="K714" s="15">
        <f>Table5[[#This Row],[Selling Price]]*Table5[[#This Row],[Units Sold]]</f>
        <v>75650</v>
      </c>
      <c r="L714" t="str">
        <f t="shared" si="11"/>
        <v>2024-04</v>
      </c>
      <c r="M714" t="str">
        <f>VLOOKUP(Table5[[#This Row],[Store ID]],Table4[[Store ID]:[Store Location]],2)</f>
        <v>Leeds</v>
      </c>
      <c r="N714" t="str">
        <f>VLOOKUP(Table5[[#This Row],[Store ID]],Table4[[Store ID]:[Region]],3)</f>
        <v>North</v>
      </c>
      <c r="O714" t="str">
        <f>VLOOKUP(Table5[[#This Row],[Product ID]],'Product Master'!$A$2:$D$10,4)</f>
        <v>Supplier B</v>
      </c>
      <c r="P714" s="15">
        <f>Table5[[#This Row],[Total Revenue]]-Table5[[#This Row],[Net Sales Revenue]]</f>
        <v>9834.5</v>
      </c>
      <c r="Q714" s="15">
        <f>Table5[[#This Row],[Net Sales Revenue]]/Table5[[#This Row],[Units Sold]]</f>
        <v>43.5</v>
      </c>
      <c r="R714">
        <f>VLOOKUP(Table5[[#This Row],[Product ID]],'Product Master'!$A$1:$E$10,5,FALSE)</f>
        <v>28</v>
      </c>
      <c r="S714" s="15">
        <f>Table5[[#This Row],[standard product cost per unit]]*Table5[[#This Row],[Units Sold]]</f>
        <v>42364</v>
      </c>
      <c r="T714" s="15">
        <f>Table5[[#This Row],[Cost of Sales]]-Table5[[#This Row],[Standard cost]]</f>
        <v>3389.1200000000026</v>
      </c>
      <c r="U714" s="15">
        <f>Table5[[#This Row],[Net Sales Revenue]]-Table5[[#This Row],[Cost of Sales]]</f>
        <v>20062.379999999997</v>
      </c>
      <c r="V714" s="17">
        <f>Table5[[#This Row],[GrossProfit]]/Table5[[#This Row],[Net Sales Revenue]]</f>
        <v>0.30482758620689654</v>
      </c>
    </row>
    <row r="715" spans="1:22" ht="14.25" customHeight="1" x14ac:dyDescent="0.25">
      <c r="A715" s="1" t="s">
        <v>796</v>
      </c>
      <c r="B715" s="1" t="s">
        <v>758</v>
      </c>
      <c r="C715" s="1" t="s">
        <v>56</v>
      </c>
      <c r="D715" s="1" t="s">
        <v>13</v>
      </c>
      <c r="E715" s="1" t="s">
        <v>15</v>
      </c>
      <c r="F715" s="1">
        <v>2926</v>
      </c>
      <c r="G715" s="14">
        <v>28</v>
      </c>
      <c r="H715" s="1">
        <v>0.15</v>
      </c>
      <c r="I715" s="14">
        <v>69638.8</v>
      </c>
      <c r="J715" s="14">
        <v>47401.2</v>
      </c>
      <c r="K715" s="15">
        <f>Table5[[#This Row],[Selling Price]]*Table5[[#This Row],[Units Sold]]</f>
        <v>81928</v>
      </c>
      <c r="L715" t="str">
        <f t="shared" si="11"/>
        <v>2024-04</v>
      </c>
      <c r="M715" t="str">
        <f>VLOOKUP(Table5[[#This Row],[Store ID]],Table4[[Store ID]:[Store Location]],2)</f>
        <v>Leeds</v>
      </c>
      <c r="N715" t="str">
        <f>VLOOKUP(Table5[[#This Row],[Store ID]],Table4[[Store ID]:[Region]],3)</f>
        <v>North</v>
      </c>
      <c r="O715" t="str">
        <f>VLOOKUP(Table5[[#This Row],[Product ID]],'Product Master'!$A$2:$D$10,4)</f>
        <v>Supplier C</v>
      </c>
      <c r="P715" s="15">
        <f>Table5[[#This Row],[Total Revenue]]-Table5[[#This Row],[Net Sales Revenue]]</f>
        <v>12289.199999999997</v>
      </c>
      <c r="Q715" s="15">
        <f>Table5[[#This Row],[Net Sales Revenue]]/Table5[[#This Row],[Units Sold]]</f>
        <v>23.8</v>
      </c>
      <c r="R715">
        <f>VLOOKUP(Table5[[#This Row],[Product ID]],'Product Master'!$A$1:$E$10,5,FALSE)</f>
        <v>15</v>
      </c>
      <c r="S715" s="15">
        <f>Table5[[#This Row],[standard product cost per unit]]*Table5[[#This Row],[Units Sold]]</f>
        <v>43890</v>
      </c>
      <c r="T715" s="15">
        <f>Table5[[#This Row],[Cost of Sales]]-Table5[[#This Row],[Standard cost]]</f>
        <v>3511.1999999999971</v>
      </c>
      <c r="U715" s="15">
        <f>Table5[[#This Row],[Net Sales Revenue]]-Table5[[#This Row],[Cost of Sales]]</f>
        <v>22237.600000000006</v>
      </c>
      <c r="V715" s="17">
        <f>Table5[[#This Row],[GrossProfit]]/Table5[[#This Row],[Net Sales Revenue]]</f>
        <v>0.31932773109243706</v>
      </c>
    </row>
    <row r="716" spans="1:22" ht="14.25" customHeight="1" x14ac:dyDescent="0.25">
      <c r="A716" s="1" t="s">
        <v>797</v>
      </c>
      <c r="B716" s="1" t="s">
        <v>758</v>
      </c>
      <c r="C716" s="1" t="s">
        <v>56</v>
      </c>
      <c r="D716" s="1" t="s">
        <v>17</v>
      </c>
      <c r="E716" s="1" t="s">
        <v>15</v>
      </c>
      <c r="F716" s="1">
        <v>2578</v>
      </c>
      <c r="G716" s="14">
        <v>35</v>
      </c>
      <c r="H716" s="1">
        <v>0.15</v>
      </c>
      <c r="I716" s="14">
        <v>76695.5</v>
      </c>
      <c r="J716" s="14">
        <v>50116.32</v>
      </c>
      <c r="K716" s="15">
        <f>Table5[[#This Row],[Selling Price]]*Table5[[#This Row],[Units Sold]]</f>
        <v>90230</v>
      </c>
      <c r="L716" t="str">
        <f t="shared" si="11"/>
        <v>2024-04</v>
      </c>
      <c r="M716" t="str">
        <f>VLOOKUP(Table5[[#This Row],[Store ID]],Table4[[Store ID]:[Store Location]],2)</f>
        <v>Leeds</v>
      </c>
      <c r="N716" t="str">
        <f>VLOOKUP(Table5[[#This Row],[Store ID]],Table4[[Store ID]:[Region]],3)</f>
        <v>North</v>
      </c>
      <c r="O716" t="str">
        <f>VLOOKUP(Table5[[#This Row],[Product ID]],'Product Master'!$A$2:$D$10,4)</f>
        <v>Supplier C</v>
      </c>
      <c r="P716" s="15">
        <f>Table5[[#This Row],[Total Revenue]]-Table5[[#This Row],[Net Sales Revenue]]</f>
        <v>13534.5</v>
      </c>
      <c r="Q716" s="15">
        <f>Table5[[#This Row],[Net Sales Revenue]]/Table5[[#This Row],[Units Sold]]</f>
        <v>29.75</v>
      </c>
      <c r="R716">
        <f>VLOOKUP(Table5[[#This Row],[Product ID]],'Product Master'!$A$1:$E$10,5,FALSE)</f>
        <v>18</v>
      </c>
      <c r="S716" s="15">
        <f>Table5[[#This Row],[standard product cost per unit]]*Table5[[#This Row],[Units Sold]]</f>
        <v>46404</v>
      </c>
      <c r="T716" s="15">
        <f>Table5[[#This Row],[Cost of Sales]]-Table5[[#This Row],[Standard cost]]</f>
        <v>3712.3199999999997</v>
      </c>
      <c r="U716" s="15">
        <f>Table5[[#This Row],[Net Sales Revenue]]-Table5[[#This Row],[Cost of Sales]]</f>
        <v>26579.18</v>
      </c>
      <c r="V716" s="17">
        <f>Table5[[#This Row],[GrossProfit]]/Table5[[#This Row],[Net Sales Revenue]]</f>
        <v>0.34655462184873947</v>
      </c>
    </row>
    <row r="717" spans="1:22" ht="14.25" customHeight="1" x14ac:dyDescent="0.25">
      <c r="A717" s="1" t="s">
        <v>798</v>
      </c>
      <c r="B717" s="1" t="s">
        <v>758</v>
      </c>
      <c r="C717" s="1" t="s">
        <v>56</v>
      </c>
      <c r="D717" s="1" t="s">
        <v>19</v>
      </c>
      <c r="E717" s="1" t="s">
        <v>21</v>
      </c>
      <c r="F717" s="1">
        <v>1702</v>
      </c>
      <c r="G717" s="14">
        <v>18</v>
      </c>
      <c r="H717" s="1">
        <v>0.13</v>
      </c>
      <c r="I717" s="14">
        <v>26653.32</v>
      </c>
      <c r="J717" s="14">
        <v>16543.439999999999</v>
      </c>
      <c r="K717" s="15">
        <f>Table5[[#This Row],[Selling Price]]*Table5[[#This Row],[Units Sold]]</f>
        <v>30636</v>
      </c>
      <c r="L717" t="str">
        <f t="shared" si="11"/>
        <v>2024-04</v>
      </c>
      <c r="M717" t="str">
        <f>VLOOKUP(Table5[[#This Row],[Store ID]],Table4[[Store ID]:[Store Location]],2)</f>
        <v>Leeds</v>
      </c>
      <c r="N717" t="str">
        <f>VLOOKUP(Table5[[#This Row],[Store ID]],Table4[[Store ID]:[Region]],3)</f>
        <v>North</v>
      </c>
      <c r="O717" t="str">
        <f>VLOOKUP(Table5[[#This Row],[Product ID]],'Product Master'!$A$2:$D$10,4)</f>
        <v>Supplier D</v>
      </c>
      <c r="P717" s="15">
        <f>Table5[[#This Row],[Total Revenue]]-Table5[[#This Row],[Net Sales Revenue]]</f>
        <v>3982.6800000000003</v>
      </c>
      <c r="Q717" s="15">
        <f>Table5[[#This Row],[Net Sales Revenue]]/Table5[[#This Row],[Units Sold]]</f>
        <v>15.66</v>
      </c>
      <c r="R717">
        <f>VLOOKUP(Table5[[#This Row],[Product ID]],'Product Master'!$A$1:$E$10,5,FALSE)</f>
        <v>9</v>
      </c>
      <c r="S717" s="15">
        <f>Table5[[#This Row],[standard product cost per unit]]*Table5[[#This Row],[Units Sold]]</f>
        <v>15318</v>
      </c>
      <c r="T717" s="15">
        <f>Table5[[#This Row],[Cost of Sales]]-Table5[[#This Row],[Standard cost]]</f>
        <v>1225.4399999999987</v>
      </c>
      <c r="U717" s="15">
        <f>Table5[[#This Row],[Net Sales Revenue]]-Table5[[#This Row],[Cost of Sales]]</f>
        <v>10109.880000000001</v>
      </c>
      <c r="V717" s="17">
        <f>Table5[[#This Row],[GrossProfit]]/Table5[[#This Row],[Net Sales Revenue]]</f>
        <v>0.37931034482758624</v>
      </c>
    </row>
    <row r="718" spans="1:22" ht="14.25" customHeight="1" x14ac:dyDescent="0.25">
      <c r="A718" s="1" t="s">
        <v>799</v>
      </c>
      <c r="B718" s="1" t="s">
        <v>758</v>
      </c>
      <c r="C718" s="1" t="s">
        <v>56</v>
      </c>
      <c r="D718" s="1" t="s">
        <v>23</v>
      </c>
      <c r="E718" s="1" t="s">
        <v>21</v>
      </c>
      <c r="F718" s="1">
        <v>1922</v>
      </c>
      <c r="G718" s="14">
        <v>30</v>
      </c>
      <c r="H718" s="1">
        <v>0.14000000000000001</v>
      </c>
      <c r="I718" s="14">
        <v>49587.6</v>
      </c>
      <c r="J718" s="14">
        <v>29060.639999999999</v>
      </c>
      <c r="K718" s="15">
        <f>Table5[[#This Row],[Selling Price]]*Table5[[#This Row],[Units Sold]]</f>
        <v>57660</v>
      </c>
      <c r="L718" t="str">
        <f t="shared" si="11"/>
        <v>2024-04</v>
      </c>
      <c r="M718" t="str">
        <f>VLOOKUP(Table5[[#This Row],[Store ID]],Table4[[Store ID]:[Store Location]],2)</f>
        <v>Leeds</v>
      </c>
      <c r="N718" t="str">
        <f>VLOOKUP(Table5[[#This Row],[Store ID]],Table4[[Store ID]:[Region]],3)</f>
        <v>North</v>
      </c>
      <c r="O718" t="str">
        <f>VLOOKUP(Table5[[#This Row],[Product ID]],'Product Master'!$A$2:$D$10,4)</f>
        <v>Supplier D</v>
      </c>
      <c r="P718" s="15">
        <f>Table5[[#This Row],[Total Revenue]]-Table5[[#This Row],[Net Sales Revenue]]</f>
        <v>8072.4000000000015</v>
      </c>
      <c r="Q718" s="15">
        <f>Table5[[#This Row],[Net Sales Revenue]]/Table5[[#This Row],[Units Sold]]</f>
        <v>25.8</v>
      </c>
      <c r="R718">
        <f>VLOOKUP(Table5[[#This Row],[Product ID]],'Product Master'!$A$1:$E$10,5,FALSE)</f>
        <v>14</v>
      </c>
      <c r="S718" s="15">
        <f>Table5[[#This Row],[standard product cost per unit]]*Table5[[#This Row],[Units Sold]]</f>
        <v>26908</v>
      </c>
      <c r="T718" s="15">
        <f>Table5[[#This Row],[Cost of Sales]]-Table5[[#This Row],[Standard cost]]</f>
        <v>2152.6399999999994</v>
      </c>
      <c r="U718" s="15">
        <f>Table5[[#This Row],[Net Sales Revenue]]-Table5[[#This Row],[Cost of Sales]]</f>
        <v>20526.96</v>
      </c>
      <c r="V718" s="17">
        <f>Table5[[#This Row],[GrossProfit]]/Table5[[#This Row],[Net Sales Revenue]]</f>
        <v>0.413953488372093</v>
      </c>
    </row>
    <row r="719" spans="1:22" ht="14.25" customHeight="1" x14ac:dyDescent="0.25">
      <c r="A719" s="1" t="s">
        <v>800</v>
      </c>
      <c r="B719" s="1" t="s">
        <v>758</v>
      </c>
      <c r="C719" s="1" t="s">
        <v>56</v>
      </c>
      <c r="D719" s="1" t="s">
        <v>25</v>
      </c>
      <c r="E719" s="1" t="s">
        <v>27</v>
      </c>
      <c r="F719" s="1">
        <v>1878</v>
      </c>
      <c r="G719" s="14">
        <v>40</v>
      </c>
      <c r="H719" s="1">
        <v>0.15</v>
      </c>
      <c r="I719" s="14">
        <v>63852</v>
      </c>
      <c r="J719" s="14">
        <v>40564.800000000003</v>
      </c>
      <c r="K719" s="15">
        <f>Table5[[#This Row],[Selling Price]]*Table5[[#This Row],[Units Sold]]</f>
        <v>75120</v>
      </c>
      <c r="L719" t="str">
        <f t="shared" si="11"/>
        <v>2024-04</v>
      </c>
      <c r="M719" t="str">
        <f>VLOOKUP(Table5[[#This Row],[Store ID]],Table4[[Store ID]:[Store Location]],2)</f>
        <v>Leeds</v>
      </c>
      <c r="N719" t="str">
        <f>VLOOKUP(Table5[[#This Row],[Store ID]],Table4[[Store ID]:[Region]],3)</f>
        <v>North</v>
      </c>
      <c r="O719" t="str">
        <f>VLOOKUP(Table5[[#This Row],[Product ID]],'Product Master'!$A$2:$D$10,4)</f>
        <v>Supplier E</v>
      </c>
      <c r="P719" s="15">
        <f>Table5[[#This Row],[Total Revenue]]-Table5[[#This Row],[Net Sales Revenue]]</f>
        <v>11268</v>
      </c>
      <c r="Q719" s="15">
        <f>Table5[[#This Row],[Net Sales Revenue]]/Table5[[#This Row],[Units Sold]]</f>
        <v>34</v>
      </c>
      <c r="R719">
        <f>VLOOKUP(Table5[[#This Row],[Product ID]],'Product Master'!$A$1:$E$10,5,FALSE)</f>
        <v>20</v>
      </c>
      <c r="S719" s="15">
        <f>Table5[[#This Row],[standard product cost per unit]]*Table5[[#This Row],[Units Sold]]</f>
        <v>37560</v>
      </c>
      <c r="T719" s="15">
        <f>Table5[[#This Row],[Cost of Sales]]-Table5[[#This Row],[Standard cost]]</f>
        <v>3004.8000000000029</v>
      </c>
      <c r="U719" s="15">
        <f>Table5[[#This Row],[Net Sales Revenue]]-Table5[[#This Row],[Cost of Sales]]</f>
        <v>23287.199999999997</v>
      </c>
      <c r="V719" s="17">
        <f>Table5[[#This Row],[GrossProfit]]/Table5[[#This Row],[Net Sales Revenue]]</f>
        <v>0.36470588235294116</v>
      </c>
    </row>
    <row r="720" spans="1:22" ht="14.25" customHeight="1" x14ac:dyDescent="0.25">
      <c r="A720" s="1" t="s">
        <v>801</v>
      </c>
      <c r="B720" s="1" t="s">
        <v>758</v>
      </c>
      <c r="C720" s="1" t="s">
        <v>56</v>
      </c>
      <c r="D720" s="1" t="s">
        <v>29</v>
      </c>
      <c r="E720" s="1" t="s">
        <v>31</v>
      </c>
      <c r="F720" s="1">
        <v>2530</v>
      </c>
      <c r="G720" s="14">
        <v>10</v>
      </c>
      <c r="H720" s="1">
        <v>0.14000000000000001</v>
      </c>
      <c r="I720" s="14">
        <v>21758</v>
      </c>
      <c r="J720" s="14">
        <v>10929.6</v>
      </c>
      <c r="K720" s="15">
        <f>Table5[[#This Row],[Selling Price]]*Table5[[#This Row],[Units Sold]]</f>
        <v>25300</v>
      </c>
      <c r="L720" t="str">
        <f t="shared" si="11"/>
        <v>2024-04</v>
      </c>
      <c r="M720" t="str">
        <f>VLOOKUP(Table5[[#This Row],[Store ID]],Table4[[Store ID]:[Store Location]],2)</f>
        <v>Leeds</v>
      </c>
      <c r="N720" t="str">
        <f>VLOOKUP(Table5[[#This Row],[Store ID]],Table4[[Store ID]:[Region]],3)</f>
        <v>North</v>
      </c>
      <c r="O720" t="str">
        <f>VLOOKUP(Table5[[#This Row],[Product ID]],'Product Master'!$A$2:$D$10,4)</f>
        <v>Supplier F</v>
      </c>
      <c r="P720" s="15">
        <f>Table5[[#This Row],[Total Revenue]]-Table5[[#This Row],[Net Sales Revenue]]</f>
        <v>3542</v>
      </c>
      <c r="Q720" s="15">
        <f>Table5[[#This Row],[Net Sales Revenue]]/Table5[[#This Row],[Units Sold]]</f>
        <v>8.6</v>
      </c>
      <c r="R720">
        <f>VLOOKUP(Table5[[#This Row],[Product ID]],'Product Master'!$A$1:$E$10,5,FALSE)</f>
        <v>4</v>
      </c>
      <c r="S720" s="15">
        <f>Table5[[#This Row],[standard product cost per unit]]*Table5[[#This Row],[Units Sold]]</f>
        <v>10120</v>
      </c>
      <c r="T720" s="15">
        <f>Table5[[#This Row],[Cost of Sales]]-Table5[[#This Row],[Standard cost]]</f>
        <v>809.60000000000036</v>
      </c>
      <c r="U720" s="15">
        <f>Table5[[#This Row],[Net Sales Revenue]]-Table5[[#This Row],[Cost of Sales]]</f>
        <v>10828.4</v>
      </c>
      <c r="V720" s="17">
        <f>Table5[[#This Row],[GrossProfit]]/Table5[[#This Row],[Net Sales Revenue]]</f>
        <v>0.49767441860465117</v>
      </c>
    </row>
    <row r="721" spans="1:22" ht="14.25" customHeight="1" x14ac:dyDescent="0.25">
      <c r="A721" s="1" t="s">
        <v>802</v>
      </c>
      <c r="B721" s="1" t="s">
        <v>758</v>
      </c>
      <c r="C721" s="1" t="s">
        <v>56</v>
      </c>
      <c r="D721" s="1" t="s">
        <v>33</v>
      </c>
      <c r="E721" s="1" t="s">
        <v>31</v>
      </c>
      <c r="F721" s="1">
        <v>1438</v>
      </c>
      <c r="G721" s="14">
        <v>22</v>
      </c>
      <c r="H721" s="1">
        <v>0.14000000000000001</v>
      </c>
      <c r="I721" s="14">
        <v>27206.959999999999</v>
      </c>
      <c r="J721" s="14">
        <v>15530.4</v>
      </c>
      <c r="K721" s="15">
        <f>Table5[[#This Row],[Selling Price]]*Table5[[#This Row],[Units Sold]]</f>
        <v>31636</v>
      </c>
      <c r="L721" t="str">
        <f t="shared" si="11"/>
        <v>2024-04</v>
      </c>
      <c r="M721" t="str">
        <f>VLOOKUP(Table5[[#This Row],[Store ID]],Table4[[Store ID]:[Store Location]],2)</f>
        <v>Leeds</v>
      </c>
      <c r="N721" t="str">
        <f>VLOOKUP(Table5[[#This Row],[Store ID]],Table4[[Store ID]:[Region]],3)</f>
        <v>North</v>
      </c>
      <c r="O721" t="str">
        <f>VLOOKUP(Table5[[#This Row],[Product ID]],'Product Master'!$A$2:$D$10,4)</f>
        <v>Supplier F</v>
      </c>
      <c r="P721" s="15">
        <f>Table5[[#This Row],[Total Revenue]]-Table5[[#This Row],[Net Sales Revenue]]</f>
        <v>4429.0400000000009</v>
      </c>
      <c r="Q721" s="15">
        <f>Table5[[#This Row],[Net Sales Revenue]]/Table5[[#This Row],[Units Sold]]</f>
        <v>18.919999999999998</v>
      </c>
      <c r="R721">
        <f>VLOOKUP(Table5[[#This Row],[Product ID]],'Product Master'!$A$1:$E$10,5,FALSE)</f>
        <v>10</v>
      </c>
      <c r="S721" s="15">
        <f>Table5[[#This Row],[standard product cost per unit]]*Table5[[#This Row],[Units Sold]]</f>
        <v>14380</v>
      </c>
      <c r="T721" s="15">
        <f>Table5[[#This Row],[Cost of Sales]]-Table5[[#This Row],[Standard cost]]</f>
        <v>1150.3999999999996</v>
      </c>
      <c r="U721" s="15">
        <f>Table5[[#This Row],[Net Sales Revenue]]-Table5[[#This Row],[Cost of Sales]]</f>
        <v>11676.56</v>
      </c>
      <c r="V721" s="17">
        <f>Table5[[#This Row],[GrossProfit]]/Table5[[#This Row],[Net Sales Revenue]]</f>
        <v>0.42917547568710357</v>
      </c>
    </row>
    <row r="722" spans="1:22" ht="14.25" customHeight="1" x14ac:dyDescent="0.25">
      <c r="A722" s="1" t="s">
        <v>803</v>
      </c>
      <c r="B722" s="1" t="s">
        <v>804</v>
      </c>
      <c r="C722" s="1" t="s">
        <v>40</v>
      </c>
      <c r="D722" s="1" t="s">
        <v>6</v>
      </c>
      <c r="E722" s="1" t="s">
        <v>8</v>
      </c>
      <c r="F722" s="1">
        <v>2644</v>
      </c>
      <c r="G722" s="14">
        <v>24</v>
      </c>
      <c r="H722" s="1">
        <v>0.14000000000000001</v>
      </c>
      <c r="I722" s="14">
        <v>54572.160000000003</v>
      </c>
      <c r="J722" s="14">
        <v>34266.239999999998</v>
      </c>
      <c r="K722" s="15">
        <f>Table5[[#This Row],[Selling Price]]*Table5[[#This Row],[Units Sold]]</f>
        <v>63456</v>
      </c>
      <c r="L722" t="str">
        <f t="shared" si="11"/>
        <v>2024-05</v>
      </c>
      <c r="M722" t="str">
        <f>VLOOKUP(Table5[[#This Row],[Store ID]],Table4[[Store ID]:[Store Location]],2)</f>
        <v>Manchester</v>
      </c>
      <c r="N722" t="str">
        <f>VLOOKUP(Table5[[#This Row],[Store ID]],Table4[[Store ID]:[Region]],3)</f>
        <v>North</v>
      </c>
      <c r="O722" t="str">
        <f>VLOOKUP(Table5[[#This Row],[Product ID]],'Product Master'!$A$2:$D$10,4)</f>
        <v>Supplier A</v>
      </c>
      <c r="P722" s="15">
        <f>Table5[[#This Row],[Total Revenue]]-Table5[[#This Row],[Net Sales Revenue]]</f>
        <v>8883.8399999999965</v>
      </c>
      <c r="Q722" s="15">
        <f>Table5[[#This Row],[Net Sales Revenue]]/Table5[[#This Row],[Units Sold]]</f>
        <v>20.64</v>
      </c>
      <c r="R722">
        <f>VLOOKUP(Table5[[#This Row],[Product ID]],'Product Master'!$A$1:$E$10,5,FALSE)</f>
        <v>12</v>
      </c>
      <c r="S722" s="15">
        <f>Table5[[#This Row],[standard product cost per unit]]*Table5[[#This Row],[Units Sold]]</f>
        <v>31728</v>
      </c>
      <c r="T722" s="15">
        <f>Table5[[#This Row],[Cost of Sales]]-Table5[[#This Row],[Standard cost]]</f>
        <v>2538.239999999998</v>
      </c>
      <c r="U722" s="15">
        <f>Table5[[#This Row],[Net Sales Revenue]]-Table5[[#This Row],[Cost of Sales]]</f>
        <v>20305.920000000006</v>
      </c>
      <c r="V722" s="17">
        <f>Table5[[#This Row],[GrossProfit]]/Table5[[#This Row],[Net Sales Revenue]]</f>
        <v>0.372093023255814</v>
      </c>
    </row>
    <row r="723" spans="1:22" ht="14.25" customHeight="1" x14ac:dyDescent="0.25">
      <c r="A723" s="1" t="s">
        <v>805</v>
      </c>
      <c r="B723" s="1" t="s">
        <v>804</v>
      </c>
      <c r="C723" s="1" t="s">
        <v>40</v>
      </c>
      <c r="D723" s="1" t="s">
        <v>10</v>
      </c>
      <c r="E723" s="1" t="s">
        <v>8</v>
      </c>
      <c r="F723" s="1">
        <v>2068</v>
      </c>
      <c r="G723" s="14">
        <v>50</v>
      </c>
      <c r="H723" s="1">
        <v>0.13</v>
      </c>
      <c r="I723" s="14">
        <v>89958</v>
      </c>
      <c r="J723" s="14">
        <v>62536.32</v>
      </c>
      <c r="K723" s="15">
        <f>Table5[[#This Row],[Selling Price]]*Table5[[#This Row],[Units Sold]]</f>
        <v>103400</v>
      </c>
      <c r="L723" t="str">
        <f t="shared" si="11"/>
        <v>2024-05</v>
      </c>
      <c r="M723" t="str">
        <f>VLOOKUP(Table5[[#This Row],[Store ID]],Table4[[Store ID]:[Store Location]],2)</f>
        <v>Manchester</v>
      </c>
      <c r="N723" t="str">
        <f>VLOOKUP(Table5[[#This Row],[Store ID]],Table4[[Store ID]:[Region]],3)</f>
        <v>North</v>
      </c>
      <c r="O723" t="str">
        <f>VLOOKUP(Table5[[#This Row],[Product ID]],'Product Master'!$A$2:$D$10,4)</f>
        <v>Supplier B</v>
      </c>
      <c r="P723" s="15">
        <f>Table5[[#This Row],[Total Revenue]]-Table5[[#This Row],[Net Sales Revenue]]</f>
        <v>13442</v>
      </c>
      <c r="Q723" s="15">
        <f>Table5[[#This Row],[Net Sales Revenue]]/Table5[[#This Row],[Units Sold]]</f>
        <v>43.5</v>
      </c>
      <c r="R723">
        <f>VLOOKUP(Table5[[#This Row],[Product ID]],'Product Master'!$A$1:$E$10,5,FALSE)</f>
        <v>28</v>
      </c>
      <c r="S723" s="15">
        <f>Table5[[#This Row],[standard product cost per unit]]*Table5[[#This Row],[Units Sold]]</f>
        <v>57904</v>
      </c>
      <c r="T723" s="15">
        <f>Table5[[#This Row],[Cost of Sales]]-Table5[[#This Row],[Standard cost]]</f>
        <v>4632.32</v>
      </c>
      <c r="U723" s="15">
        <f>Table5[[#This Row],[Net Sales Revenue]]-Table5[[#This Row],[Cost of Sales]]</f>
        <v>27421.68</v>
      </c>
      <c r="V723" s="17">
        <f>Table5[[#This Row],[GrossProfit]]/Table5[[#This Row],[Net Sales Revenue]]</f>
        <v>0.30482758620689654</v>
      </c>
    </row>
    <row r="724" spans="1:22" ht="14.25" customHeight="1" x14ac:dyDescent="0.25">
      <c r="A724" s="1" t="s">
        <v>806</v>
      </c>
      <c r="B724" s="1" t="s">
        <v>804</v>
      </c>
      <c r="C724" s="1" t="s">
        <v>40</v>
      </c>
      <c r="D724" s="1" t="s">
        <v>13</v>
      </c>
      <c r="E724" s="1" t="s">
        <v>15</v>
      </c>
      <c r="F724" s="1">
        <v>2402</v>
      </c>
      <c r="G724" s="14">
        <v>28</v>
      </c>
      <c r="H724" s="1">
        <v>0.16</v>
      </c>
      <c r="I724" s="14">
        <v>56495.040000000001</v>
      </c>
      <c r="J724" s="14">
        <v>38912.400000000001</v>
      </c>
      <c r="K724" s="15">
        <f>Table5[[#This Row],[Selling Price]]*Table5[[#This Row],[Units Sold]]</f>
        <v>67256</v>
      </c>
      <c r="L724" t="str">
        <f t="shared" si="11"/>
        <v>2024-05</v>
      </c>
      <c r="M724" t="str">
        <f>VLOOKUP(Table5[[#This Row],[Store ID]],Table4[[Store ID]:[Store Location]],2)</f>
        <v>Manchester</v>
      </c>
      <c r="N724" t="str">
        <f>VLOOKUP(Table5[[#This Row],[Store ID]],Table4[[Store ID]:[Region]],3)</f>
        <v>North</v>
      </c>
      <c r="O724" t="str">
        <f>VLOOKUP(Table5[[#This Row],[Product ID]],'Product Master'!$A$2:$D$10,4)</f>
        <v>Supplier C</v>
      </c>
      <c r="P724" s="15">
        <f>Table5[[#This Row],[Total Revenue]]-Table5[[#This Row],[Net Sales Revenue]]</f>
        <v>10760.96</v>
      </c>
      <c r="Q724" s="15">
        <f>Table5[[#This Row],[Net Sales Revenue]]/Table5[[#This Row],[Units Sold]]</f>
        <v>23.52</v>
      </c>
      <c r="R724">
        <f>VLOOKUP(Table5[[#This Row],[Product ID]],'Product Master'!$A$1:$E$10,5,FALSE)</f>
        <v>15</v>
      </c>
      <c r="S724" s="15">
        <f>Table5[[#This Row],[standard product cost per unit]]*Table5[[#This Row],[Units Sold]]</f>
        <v>36030</v>
      </c>
      <c r="T724" s="15">
        <f>Table5[[#This Row],[Cost of Sales]]-Table5[[#This Row],[Standard cost]]</f>
        <v>2882.4000000000015</v>
      </c>
      <c r="U724" s="15">
        <f>Table5[[#This Row],[Net Sales Revenue]]-Table5[[#This Row],[Cost of Sales]]</f>
        <v>17582.64</v>
      </c>
      <c r="V724" s="17">
        <f>Table5[[#This Row],[GrossProfit]]/Table5[[#This Row],[Net Sales Revenue]]</f>
        <v>0.31122448979591838</v>
      </c>
    </row>
    <row r="725" spans="1:22" ht="14.25" customHeight="1" x14ac:dyDescent="0.25">
      <c r="A725" s="1" t="s">
        <v>807</v>
      </c>
      <c r="B725" s="1" t="s">
        <v>804</v>
      </c>
      <c r="C725" s="1" t="s">
        <v>40</v>
      </c>
      <c r="D725" s="1" t="s">
        <v>17</v>
      </c>
      <c r="E725" s="1" t="s">
        <v>15</v>
      </c>
      <c r="F725" s="1">
        <v>1570</v>
      </c>
      <c r="G725" s="14">
        <v>35</v>
      </c>
      <c r="H725" s="1">
        <v>0.12</v>
      </c>
      <c r="I725" s="14">
        <v>48356</v>
      </c>
      <c r="J725" s="14">
        <v>30520.799999999999</v>
      </c>
      <c r="K725" s="15">
        <f>Table5[[#This Row],[Selling Price]]*Table5[[#This Row],[Units Sold]]</f>
        <v>54950</v>
      </c>
      <c r="L725" t="str">
        <f t="shared" si="11"/>
        <v>2024-05</v>
      </c>
      <c r="M725" t="str">
        <f>VLOOKUP(Table5[[#This Row],[Store ID]],Table4[[Store ID]:[Store Location]],2)</f>
        <v>Manchester</v>
      </c>
      <c r="N725" t="str">
        <f>VLOOKUP(Table5[[#This Row],[Store ID]],Table4[[Store ID]:[Region]],3)</f>
        <v>North</v>
      </c>
      <c r="O725" t="str">
        <f>VLOOKUP(Table5[[#This Row],[Product ID]],'Product Master'!$A$2:$D$10,4)</f>
        <v>Supplier C</v>
      </c>
      <c r="P725" s="15">
        <f>Table5[[#This Row],[Total Revenue]]-Table5[[#This Row],[Net Sales Revenue]]</f>
        <v>6594</v>
      </c>
      <c r="Q725" s="15">
        <f>Table5[[#This Row],[Net Sales Revenue]]/Table5[[#This Row],[Units Sold]]</f>
        <v>30.8</v>
      </c>
      <c r="R725">
        <f>VLOOKUP(Table5[[#This Row],[Product ID]],'Product Master'!$A$1:$E$10,5,FALSE)</f>
        <v>18</v>
      </c>
      <c r="S725" s="15">
        <f>Table5[[#This Row],[standard product cost per unit]]*Table5[[#This Row],[Units Sold]]</f>
        <v>28260</v>
      </c>
      <c r="T725" s="15">
        <f>Table5[[#This Row],[Cost of Sales]]-Table5[[#This Row],[Standard cost]]</f>
        <v>2260.7999999999993</v>
      </c>
      <c r="U725" s="15">
        <f>Table5[[#This Row],[Net Sales Revenue]]-Table5[[#This Row],[Cost of Sales]]</f>
        <v>17835.2</v>
      </c>
      <c r="V725" s="17">
        <f>Table5[[#This Row],[GrossProfit]]/Table5[[#This Row],[Net Sales Revenue]]</f>
        <v>0.36883116883116884</v>
      </c>
    </row>
    <row r="726" spans="1:22" ht="14.25" customHeight="1" x14ac:dyDescent="0.25">
      <c r="A726" s="1" t="s">
        <v>808</v>
      </c>
      <c r="B726" s="1" t="s">
        <v>804</v>
      </c>
      <c r="C726" s="1" t="s">
        <v>40</v>
      </c>
      <c r="D726" s="1" t="s">
        <v>19</v>
      </c>
      <c r="E726" s="1" t="s">
        <v>21</v>
      </c>
      <c r="F726" s="1">
        <v>2992</v>
      </c>
      <c r="G726" s="14">
        <v>18</v>
      </c>
      <c r="H726" s="1">
        <v>0.16</v>
      </c>
      <c r="I726" s="14">
        <v>45239.040000000001</v>
      </c>
      <c r="J726" s="14">
        <v>29082.240000000002</v>
      </c>
      <c r="K726" s="15">
        <f>Table5[[#This Row],[Selling Price]]*Table5[[#This Row],[Units Sold]]</f>
        <v>53856</v>
      </c>
      <c r="L726" t="str">
        <f t="shared" si="11"/>
        <v>2024-05</v>
      </c>
      <c r="M726" t="str">
        <f>VLOOKUP(Table5[[#This Row],[Store ID]],Table4[[Store ID]:[Store Location]],2)</f>
        <v>Manchester</v>
      </c>
      <c r="N726" t="str">
        <f>VLOOKUP(Table5[[#This Row],[Store ID]],Table4[[Store ID]:[Region]],3)</f>
        <v>North</v>
      </c>
      <c r="O726" t="str">
        <f>VLOOKUP(Table5[[#This Row],[Product ID]],'Product Master'!$A$2:$D$10,4)</f>
        <v>Supplier D</v>
      </c>
      <c r="P726" s="15">
        <f>Table5[[#This Row],[Total Revenue]]-Table5[[#This Row],[Net Sales Revenue]]</f>
        <v>8616.9599999999991</v>
      </c>
      <c r="Q726" s="15">
        <f>Table5[[#This Row],[Net Sales Revenue]]/Table5[[#This Row],[Units Sold]]</f>
        <v>15.120000000000001</v>
      </c>
      <c r="R726">
        <f>VLOOKUP(Table5[[#This Row],[Product ID]],'Product Master'!$A$1:$E$10,5,FALSE)</f>
        <v>9</v>
      </c>
      <c r="S726" s="15">
        <f>Table5[[#This Row],[standard product cost per unit]]*Table5[[#This Row],[Units Sold]]</f>
        <v>26928</v>
      </c>
      <c r="T726" s="15">
        <f>Table5[[#This Row],[Cost of Sales]]-Table5[[#This Row],[Standard cost]]</f>
        <v>2154.2400000000016</v>
      </c>
      <c r="U726" s="15">
        <f>Table5[[#This Row],[Net Sales Revenue]]-Table5[[#This Row],[Cost of Sales]]</f>
        <v>16156.8</v>
      </c>
      <c r="V726" s="17">
        <f>Table5[[#This Row],[GrossProfit]]/Table5[[#This Row],[Net Sales Revenue]]</f>
        <v>0.3571428571428571</v>
      </c>
    </row>
    <row r="727" spans="1:22" ht="14.25" customHeight="1" x14ac:dyDescent="0.25">
      <c r="A727" s="1" t="s">
        <v>809</v>
      </c>
      <c r="B727" s="1" t="s">
        <v>804</v>
      </c>
      <c r="C727" s="1" t="s">
        <v>40</v>
      </c>
      <c r="D727" s="1" t="s">
        <v>23</v>
      </c>
      <c r="E727" s="1" t="s">
        <v>21</v>
      </c>
      <c r="F727" s="1">
        <v>2512</v>
      </c>
      <c r="G727" s="14">
        <v>30</v>
      </c>
      <c r="H727" s="1">
        <v>0.13</v>
      </c>
      <c r="I727" s="14">
        <v>65563.199999999997</v>
      </c>
      <c r="J727" s="14">
        <v>37981.440000000002</v>
      </c>
      <c r="K727" s="15">
        <f>Table5[[#This Row],[Selling Price]]*Table5[[#This Row],[Units Sold]]</f>
        <v>75360</v>
      </c>
      <c r="L727" t="str">
        <f t="shared" si="11"/>
        <v>2024-05</v>
      </c>
      <c r="M727" t="str">
        <f>VLOOKUP(Table5[[#This Row],[Store ID]],Table4[[Store ID]:[Store Location]],2)</f>
        <v>Manchester</v>
      </c>
      <c r="N727" t="str">
        <f>VLOOKUP(Table5[[#This Row],[Store ID]],Table4[[Store ID]:[Region]],3)</f>
        <v>North</v>
      </c>
      <c r="O727" t="str">
        <f>VLOOKUP(Table5[[#This Row],[Product ID]],'Product Master'!$A$2:$D$10,4)</f>
        <v>Supplier D</v>
      </c>
      <c r="P727" s="15">
        <f>Table5[[#This Row],[Total Revenue]]-Table5[[#This Row],[Net Sales Revenue]]</f>
        <v>9796.8000000000029</v>
      </c>
      <c r="Q727" s="15">
        <f>Table5[[#This Row],[Net Sales Revenue]]/Table5[[#This Row],[Units Sold]]</f>
        <v>26.099999999999998</v>
      </c>
      <c r="R727">
        <f>VLOOKUP(Table5[[#This Row],[Product ID]],'Product Master'!$A$1:$E$10,5,FALSE)</f>
        <v>14</v>
      </c>
      <c r="S727" s="15">
        <f>Table5[[#This Row],[standard product cost per unit]]*Table5[[#This Row],[Units Sold]]</f>
        <v>35168</v>
      </c>
      <c r="T727" s="15">
        <f>Table5[[#This Row],[Cost of Sales]]-Table5[[#This Row],[Standard cost]]</f>
        <v>2813.4400000000023</v>
      </c>
      <c r="U727" s="15">
        <f>Table5[[#This Row],[Net Sales Revenue]]-Table5[[#This Row],[Cost of Sales]]</f>
        <v>27581.759999999995</v>
      </c>
      <c r="V727" s="17">
        <f>Table5[[#This Row],[GrossProfit]]/Table5[[#This Row],[Net Sales Revenue]]</f>
        <v>0.42068965517241375</v>
      </c>
    </row>
    <row r="728" spans="1:22" ht="14.25" customHeight="1" x14ac:dyDescent="0.25">
      <c r="A728" s="1" t="s">
        <v>810</v>
      </c>
      <c r="B728" s="1" t="s">
        <v>804</v>
      </c>
      <c r="C728" s="1" t="s">
        <v>40</v>
      </c>
      <c r="D728" s="1" t="s">
        <v>25</v>
      </c>
      <c r="E728" s="1" t="s">
        <v>27</v>
      </c>
      <c r="F728" s="1">
        <v>1746</v>
      </c>
      <c r="G728" s="14">
        <v>40</v>
      </c>
      <c r="H728" s="1">
        <v>0.15</v>
      </c>
      <c r="I728" s="14">
        <v>59364</v>
      </c>
      <c r="J728" s="14">
        <v>37713.599999999999</v>
      </c>
      <c r="K728" s="15">
        <f>Table5[[#This Row],[Selling Price]]*Table5[[#This Row],[Units Sold]]</f>
        <v>69840</v>
      </c>
      <c r="L728" t="str">
        <f t="shared" si="11"/>
        <v>2024-05</v>
      </c>
      <c r="M728" t="str">
        <f>VLOOKUP(Table5[[#This Row],[Store ID]],Table4[[Store ID]:[Store Location]],2)</f>
        <v>Manchester</v>
      </c>
      <c r="N728" t="str">
        <f>VLOOKUP(Table5[[#This Row],[Store ID]],Table4[[Store ID]:[Region]],3)</f>
        <v>North</v>
      </c>
      <c r="O728" t="str">
        <f>VLOOKUP(Table5[[#This Row],[Product ID]],'Product Master'!$A$2:$D$10,4)</f>
        <v>Supplier E</v>
      </c>
      <c r="P728" s="15">
        <f>Table5[[#This Row],[Total Revenue]]-Table5[[#This Row],[Net Sales Revenue]]</f>
        <v>10476</v>
      </c>
      <c r="Q728" s="15">
        <f>Table5[[#This Row],[Net Sales Revenue]]/Table5[[#This Row],[Units Sold]]</f>
        <v>34</v>
      </c>
      <c r="R728">
        <f>VLOOKUP(Table5[[#This Row],[Product ID]],'Product Master'!$A$1:$E$10,5,FALSE)</f>
        <v>20</v>
      </c>
      <c r="S728" s="15">
        <f>Table5[[#This Row],[standard product cost per unit]]*Table5[[#This Row],[Units Sold]]</f>
        <v>34920</v>
      </c>
      <c r="T728" s="15">
        <f>Table5[[#This Row],[Cost of Sales]]-Table5[[#This Row],[Standard cost]]</f>
        <v>2793.5999999999985</v>
      </c>
      <c r="U728" s="15">
        <f>Table5[[#This Row],[Net Sales Revenue]]-Table5[[#This Row],[Cost of Sales]]</f>
        <v>21650.400000000001</v>
      </c>
      <c r="V728" s="17">
        <f>Table5[[#This Row],[GrossProfit]]/Table5[[#This Row],[Net Sales Revenue]]</f>
        <v>0.36470588235294121</v>
      </c>
    </row>
    <row r="729" spans="1:22" ht="14.25" customHeight="1" x14ac:dyDescent="0.25">
      <c r="A729" s="1" t="s">
        <v>811</v>
      </c>
      <c r="B729" s="1" t="s">
        <v>804</v>
      </c>
      <c r="C729" s="1" t="s">
        <v>40</v>
      </c>
      <c r="D729" s="1" t="s">
        <v>29</v>
      </c>
      <c r="E729" s="1" t="s">
        <v>31</v>
      </c>
      <c r="F729" s="1">
        <v>1672</v>
      </c>
      <c r="G729" s="14">
        <v>10</v>
      </c>
      <c r="H729" s="1">
        <v>0.16</v>
      </c>
      <c r="I729" s="14">
        <v>14044.8</v>
      </c>
      <c r="J729" s="14">
        <v>7223.04</v>
      </c>
      <c r="K729" s="15">
        <f>Table5[[#This Row],[Selling Price]]*Table5[[#This Row],[Units Sold]]</f>
        <v>16720</v>
      </c>
      <c r="L729" t="str">
        <f t="shared" si="11"/>
        <v>2024-05</v>
      </c>
      <c r="M729" t="str">
        <f>VLOOKUP(Table5[[#This Row],[Store ID]],Table4[[Store ID]:[Store Location]],2)</f>
        <v>Manchester</v>
      </c>
      <c r="N729" t="str">
        <f>VLOOKUP(Table5[[#This Row],[Store ID]],Table4[[Store ID]:[Region]],3)</f>
        <v>North</v>
      </c>
      <c r="O729" t="str">
        <f>VLOOKUP(Table5[[#This Row],[Product ID]],'Product Master'!$A$2:$D$10,4)</f>
        <v>Supplier F</v>
      </c>
      <c r="P729" s="15">
        <f>Table5[[#This Row],[Total Revenue]]-Table5[[#This Row],[Net Sales Revenue]]</f>
        <v>2675.2000000000007</v>
      </c>
      <c r="Q729" s="15">
        <f>Table5[[#This Row],[Net Sales Revenue]]/Table5[[#This Row],[Units Sold]]</f>
        <v>8.4</v>
      </c>
      <c r="R729">
        <f>VLOOKUP(Table5[[#This Row],[Product ID]],'Product Master'!$A$1:$E$10,5,FALSE)</f>
        <v>4</v>
      </c>
      <c r="S729" s="15">
        <f>Table5[[#This Row],[standard product cost per unit]]*Table5[[#This Row],[Units Sold]]</f>
        <v>6688</v>
      </c>
      <c r="T729" s="15">
        <f>Table5[[#This Row],[Cost of Sales]]-Table5[[#This Row],[Standard cost]]</f>
        <v>535.04</v>
      </c>
      <c r="U729" s="15">
        <f>Table5[[#This Row],[Net Sales Revenue]]-Table5[[#This Row],[Cost of Sales]]</f>
        <v>6821.7599999999993</v>
      </c>
      <c r="V729" s="17">
        <f>Table5[[#This Row],[GrossProfit]]/Table5[[#This Row],[Net Sales Revenue]]</f>
        <v>0.48571428571428571</v>
      </c>
    </row>
    <row r="730" spans="1:22" ht="14.25" customHeight="1" x14ac:dyDescent="0.25">
      <c r="A730" s="1" t="s">
        <v>812</v>
      </c>
      <c r="B730" s="1" t="s">
        <v>804</v>
      </c>
      <c r="C730" s="1" t="s">
        <v>40</v>
      </c>
      <c r="D730" s="1" t="s">
        <v>33</v>
      </c>
      <c r="E730" s="1" t="s">
        <v>31</v>
      </c>
      <c r="F730" s="1">
        <v>1795</v>
      </c>
      <c r="G730" s="14">
        <v>22</v>
      </c>
      <c r="H730" s="1">
        <v>0.15</v>
      </c>
      <c r="I730" s="14">
        <v>33566.5</v>
      </c>
      <c r="J730" s="14">
        <v>19386</v>
      </c>
      <c r="K730" s="15">
        <f>Table5[[#This Row],[Selling Price]]*Table5[[#This Row],[Units Sold]]</f>
        <v>39490</v>
      </c>
      <c r="L730" t="str">
        <f t="shared" si="11"/>
        <v>2024-05</v>
      </c>
      <c r="M730" t="str">
        <f>VLOOKUP(Table5[[#This Row],[Store ID]],Table4[[Store ID]:[Store Location]],2)</f>
        <v>Manchester</v>
      </c>
      <c r="N730" t="str">
        <f>VLOOKUP(Table5[[#This Row],[Store ID]],Table4[[Store ID]:[Region]],3)</f>
        <v>North</v>
      </c>
      <c r="O730" t="str">
        <f>VLOOKUP(Table5[[#This Row],[Product ID]],'Product Master'!$A$2:$D$10,4)</f>
        <v>Supplier F</v>
      </c>
      <c r="P730" s="15">
        <f>Table5[[#This Row],[Total Revenue]]-Table5[[#This Row],[Net Sales Revenue]]</f>
        <v>5923.5</v>
      </c>
      <c r="Q730" s="15">
        <f>Table5[[#This Row],[Net Sales Revenue]]/Table5[[#This Row],[Units Sold]]</f>
        <v>18.7</v>
      </c>
      <c r="R730">
        <f>VLOOKUP(Table5[[#This Row],[Product ID]],'Product Master'!$A$1:$E$10,5,FALSE)</f>
        <v>10</v>
      </c>
      <c r="S730" s="15">
        <f>Table5[[#This Row],[standard product cost per unit]]*Table5[[#This Row],[Units Sold]]</f>
        <v>17950</v>
      </c>
      <c r="T730" s="15">
        <f>Table5[[#This Row],[Cost of Sales]]-Table5[[#This Row],[Standard cost]]</f>
        <v>1436</v>
      </c>
      <c r="U730" s="15">
        <f>Table5[[#This Row],[Net Sales Revenue]]-Table5[[#This Row],[Cost of Sales]]</f>
        <v>14180.5</v>
      </c>
      <c r="V730" s="17">
        <f>Table5[[#This Row],[GrossProfit]]/Table5[[#This Row],[Net Sales Revenue]]</f>
        <v>0.42245989304812837</v>
      </c>
    </row>
    <row r="731" spans="1:22" ht="14.25" customHeight="1" x14ac:dyDescent="0.25">
      <c r="A731" s="1" t="s">
        <v>813</v>
      </c>
      <c r="B731" s="1" t="s">
        <v>804</v>
      </c>
      <c r="C731" s="1" t="s">
        <v>44</v>
      </c>
      <c r="D731" s="1" t="s">
        <v>6</v>
      </c>
      <c r="E731" s="1" t="s">
        <v>8</v>
      </c>
      <c r="F731" s="1">
        <v>2186</v>
      </c>
      <c r="G731" s="14">
        <v>24</v>
      </c>
      <c r="H731" s="1">
        <v>0.14000000000000001</v>
      </c>
      <c r="I731" s="14">
        <v>45119.040000000001</v>
      </c>
      <c r="J731" s="14">
        <v>28330.560000000001</v>
      </c>
      <c r="K731" s="15">
        <f>Table5[[#This Row],[Selling Price]]*Table5[[#This Row],[Units Sold]]</f>
        <v>52464</v>
      </c>
      <c r="L731" t="str">
        <f t="shared" si="11"/>
        <v>2024-05</v>
      </c>
      <c r="M731" t="str">
        <f>VLOOKUP(Table5[[#This Row],[Store ID]],Table4[[Store ID]:[Store Location]],2)</f>
        <v>Birmingham</v>
      </c>
      <c r="N731" t="str">
        <f>VLOOKUP(Table5[[#This Row],[Store ID]],Table4[[Store ID]:[Region]],3)</f>
        <v>Midlands</v>
      </c>
      <c r="O731" t="str">
        <f>VLOOKUP(Table5[[#This Row],[Product ID]],'Product Master'!$A$2:$D$10,4)</f>
        <v>Supplier A</v>
      </c>
      <c r="P731" s="15">
        <f>Table5[[#This Row],[Total Revenue]]-Table5[[#This Row],[Net Sales Revenue]]</f>
        <v>7344.9599999999991</v>
      </c>
      <c r="Q731" s="15">
        <f>Table5[[#This Row],[Net Sales Revenue]]/Table5[[#This Row],[Units Sold]]</f>
        <v>20.64</v>
      </c>
      <c r="R731">
        <f>VLOOKUP(Table5[[#This Row],[Product ID]],'Product Master'!$A$1:$E$10,5,FALSE)</f>
        <v>12</v>
      </c>
      <c r="S731" s="15">
        <f>Table5[[#This Row],[standard product cost per unit]]*Table5[[#This Row],[Units Sold]]</f>
        <v>26232</v>
      </c>
      <c r="T731" s="15">
        <f>Table5[[#This Row],[Cost of Sales]]-Table5[[#This Row],[Standard cost]]</f>
        <v>2098.5600000000013</v>
      </c>
      <c r="U731" s="15">
        <f>Table5[[#This Row],[Net Sales Revenue]]-Table5[[#This Row],[Cost of Sales]]</f>
        <v>16788.48</v>
      </c>
      <c r="V731" s="17">
        <f>Table5[[#This Row],[GrossProfit]]/Table5[[#This Row],[Net Sales Revenue]]</f>
        <v>0.37209302325581395</v>
      </c>
    </row>
    <row r="732" spans="1:22" ht="14.25" customHeight="1" x14ac:dyDescent="0.25">
      <c r="A732" s="1" t="s">
        <v>814</v>
      </c>
      <c r="B732" s="1" t="s">
        <v>804</v>
      </c>
      <c r="C732" s="1" t="s">
        <v>44</v>
      </c>
      <c r="D732" s="1" t="s">
        <v>10</v>
      </c>
      <c r="E732" s="1" t="s">
        <v>8</v>
      </c>
      <c r="F732" s="1">
        <v>1716</v>
      </c>
      <c r="G732" s="14">
        <v>50</v>
      </c>
      <c r="H732" s="1">
        <v>0.15</v>
      </c>
      <c r="I732" s="14">
        <v>72930</v>
      </c>
      <c r="J732" s="14">
        <v>51891.839999999997</v>
      </c>
      <c r="K732" s="15">
        <f>Table5[[#This Row],[Selling Price]]*Table5[[#This Row],[Units Sold]]</f>
        <v>85800</v>
      </c>
      <c r="L732" t="str">
        <f t="shared" si="11"/>
        <v>2024-05</v>
      </c>
      <c r="M732" t="str">
        <f>VLOOKUP(Table5[[#This Row],[Store ID]],Table4[[Store ID]:[Store Location]],2)</f>
        <v>Birmingham</v>
      </c>
      <c r="N732" t="str">
        <f>VLOOKUP(Table5[[#This Row],[Store ID]],Table4[[Store ID]:[Region]],3)</f>
        <v>Midlands</v>
      </c>
      <c r="O732" t="str">
        <f>VLOOKUP(Table5[[#This Row],[Product ID]],'Product Master'!$A$2:$D$10,4)</f>
        <v>Supplier B</v>
      </c>
      <c r="P732" s="15">
        <f>Table5[[#This Row],[Total Revenue]]-Table5[[#This Row],[Net Sales Revenue]]</f>
        <v>12870</v>
      </c>
      <c r="Q732" s="15">
        <f>Table5[[#This Row],[Net Sales Revenue]]/Table5[[#This Row],[Units Sold]]</f>
        <v>42.5</v>
      </c>
      <c r="R732">
        <f>VLOOKUP(Table5[[#This Row],[Product ID]],'Product Master'!$A$1:$E$10,5,FALSE)</f>
        <v>28</v>
      </c>
      <c r="S732" s="15">
        <f>Table5[[#This Row],[standard product cost per unit]]*Table5[[#This Row],[Units Sold]]</f>
        <v>48048</v>
      </c>
      <c r="T732" s="15">
        <f>Table5[[#This Row],[Cost of Sales]]-Table5[[#This Row],[Standard cost]]</f>
        <v>3843.8399999999965</v>
      </c>
      <c r="U732" s="15">
        <f>Table5[[#This Row],[Net Sales Revenue]]-Table5[[#This Row],[Cost of Sales]]</f>
        <v>21038.160000000003</v>
      </c>
      <c r="V732" s="17">
        <f>Table5[[#This Row],[GrossProfit]]/Table5[[#This Row],[Net Sales Revenue]]</f>
        <v>0.28847058823529415</v>
      </c>
    </row>
    <row r="733" spans="1:22" ht="14.25" customHeight="1" x14ac:dyDescent="0.25">
      <c r="A733" s="1" t="s">
        <v>815</v>
      </c>
      <c r="B733" s="1" t="s">
        <v>804</v>
      </c>
      <c r="C733" s="1" t="s">
        <v>44</v>
      </c>
      <c r="D733" s="1" t="s">
        <v>13</v>
      </c>
      <c r="E733" s="1" t="s">
        <v>15</v>
      </c>
      <c r="F733" s="1">
        <v>1416</v>
      </c>
      <c r="G733" s="14">
        <v>28</v>
      </c>
      <c r="H733" s="1">
        <v>0.13</v>
      </c>
      <c r="I733" s="14">
        <v>34493.760000000002</v>
      </c>
      <c r="J733" s="14">
        <v>22939.200000000001</v>
      </c>
      <c r="K733" s="15">
        <f>Table5[[#This Row],[Selling Price]]*Table5[[#This Row],[Units Sold]]</f>
        <v>39648</v>
      </c>
      <c r="L733" t="str">
        <f t="shared" si="11"/>
        <v>2024-05</v>
      </c>
      <c r="M733" t="str">
        <f>VLOOKUP(Table5[[#This Row],[Store ID]],Table4[[Store ID]:[Store Location]],2)</f>
        <v>Birmingham</v>
      </c>
      <c r="N733" t="str">
        <f>VLOOKUP(Table5[[#This Row],[Store ID]],Table4[[Store ID]:[Region]],3)</f>
        <v>Midlands</v>
      </c>
      <c r="O733" t="str">
        <f>VLOOKUP(Table5[[#This Row],[Product ID]],'Product Master'!$A$2:$D$10,4)</f>
        <v>Supplier C</v>
      </c>
      <c r="P733" s="15">
        <f>Table5[[#This Row],[Total Revenue]]-Table5[[#This Row],[Net Sales Revenue]]</f>
        <v>5154.239999999998</v>
      </c>
      <c r="Q733" s="15">
        <f>Table5[[#This Row],[Net Sales Revenue]]/Table5[[#This Row],[Units Sold]]</f>
        <v>24.360000000000003</v>
      </c>
      <c r="R733">
        <f>VLOOKUP(Table5[[#This Row],[Product ID]],'Product Master'!$A$1:$E$10,5,FALSE)</f>
        <v>15</v>
      </c>
      <c r="S733" s="15">
        <f>Table5[[#This Row],[standard product cost per unit]]*Table5[[#This Row],[Units Sold]]</f>
        <v>21240</v>
      </c>
      <c r="T733" s="15">
        <f>Table5[[#This Row],[Cost of Sales]]-Table5[[#This Row],[Standard cost]]</f>
        <v>1699.2000000000007</v>
      </c>
      <c r="U733" s="15">
        <f>Table5[[#This Row],[Net Sales Revenue]]-Table5[[#This Row],[Cost of Sales]]</f>
        <v>11554.560000000001</v>
      </c>
      <c r="V733" s="17">
        <f>Table5[[#This Row],[GrossProfit]]/Table5[[#This Row],[Net Sales Revenue]]</f>
        <v>0.33497536945812811</v>
      </c>
    </row>
    <row r="734" spans="1:22" ht="14.25" customHeight="1" x14ac:dyDescent="0.25">
      <c r="A734" s="1" t="s">
        <v>816</v>
      </c>
      <c r="B734" s="1" t="s">
        <v>804</v>
      </c>
      <c r="C734" s="1" t="s">
        <v>44</v>
      </c>
      <c r="D734" s="1" t="s">
        <v>17</v>
      </c>
      <c r="E734" s="1" t="s">
        <v>15</v>
      </c>
      <c r="F734" s="1">
        <v>2090</v>
      </c>
      <c r="G734" s="14">
        <v>35</v>
      </c>
      <c r="H734" s="1">
        <v>0.12</v>
      </c>
      <c r="I734" s="14">
        <v>64372</v>
      </c>
      <c r="J734" s="14">
        <v>40629.599999999999</v>
      </c>
      <c r="K734" s="15">
        <f>Table5[[#This Row],[Selling Price]]*Table5[[#This Row],[Units Sold]]</f>
        <v>73150</v>
      </c>
      <c r="L734" t="str">
        <f t="shared" si="11"/>
        <v>2024-05</v>
      </c>
      <c r="M734" t="str">
        <f>VLOOKUP(Table5[[#This Row],[Store ID]],Table4[[Store ID]:[Store Location]],2)</f>
        <v>Birmingham</v>
      </c>
      <c r="N734" t="str">
        <f>VLOOKUP(Table5[[#This Row],[Store ID]],Table4[[Store ID]:[Region]],3)</f>
        <v>Midlands</v>
      </c>
      <c r="O734" t="str">
        <f>VLOOKUP(Table5[[#This Row],[Product ID]],'Product Master'!$A$2:$D$10,4)</f>
        <v>Supplier C</v>
      </c>
      <c r="P734" s="15">
        <f>Table5[[#This Row],[Total Revenue]]-Table5[[#This Row],[Net Sales Revenue]]</f>
        <v>8778</v>
      </c>
      <c r="Q734" s="15">
        <f>Table5[[#This Row],[Net Sales Revenue]]/Table5[[#This Row],[Units Sold]]</f>
        <v>30.8</v>
      </c>
      <c r="R734">
        <f>VLOOKUP(Table5[[#This Row],[Product ID]],'Product Master'!$A$1:$E$10,5,FALSE)</f>
        <v>18</v>
      </c>
      <c r="S734" s="15">
        <f>Table5[[#This Row],[standard product cost per unit]]*Table5[[#This Row],[Units Sold]]</f>
        <v>37620</v>
      </c>
      <c r="T734" s="15">
        <f>Table5[[#This Row],[Cost of Sales]]-Table5[[#This Row],[Standard cost]]</f>
        <v>3009.5999999999985</v>
      </c>
      <c r="U734" s="15">
        <f>Table5[[#This Row],[Net Sales Revenue]]-Table5[[#This Row],[Cost of Sales]]</f>
        <v>23742.400000000001</v>
      </c>
      <c r="V734" s="17">
        <f>Table5[[#This Row],[GrossProfit]]/Table5[[#This Row],[Net Sales Revenue]]</f>
        <v>0.36883116883116884</v>
      </c>
    </row>
    <row r="735" spans="1:22" ht="14.25" customHeight="1" x14ac:dyDescent="0.25">
      <c r="A735" s="1" t="s">
        <v>817</v>
      </c>
      <c r="B735" s="1" t="s">
        <v>804</v>
      </c>
      <c r="C735" s="1" t="s">
        <v>44</v>
      </c>
      <c r="D735" s="1" t="s">
        <v>19</v>
      </c>
      <c r="E735" s="1" t="s">
        <v>21</v>
      </c>
      <c r="F735" s="1">
        <v>2732</v>
      </c>
      <c r="G735" s="14">
        <v>18</v>
      </c>
      <c r="H735" s="1">
        <v>0.12</v>
      </c>
      <c r="I735" s="14">
        <v>43274.879999999997</v>
      </c>
      <c r="J735" s="14">
        <v>26555.040000000001</v>
      </c>
      <c r="K735" s="15">
        <f>Table5[[#This Row],[Selling Price]]*Table5[[#This Row],[Units Sold]]</f>
        <v>49176</v>
      </c>
      <c r="L735" t="str">
        <f t="shared" si="11"/>
        <v>2024-05</v>
      </c>
      <c r="M735" t="str">
        <f>VLOOKUP(Table5[[#This Row],[Store ID]],Table4[[Store ID]:[Store Location]],2)</f>
        <v>Birmingham</v>
      </c>
      <c r="N735" t="str">
        <f>VLOOKUP(Table5[[#This Row],[Store ID]],Table4[[Store ID]:[Region]],3)</f>
        <v>Midlands</v>
      </c>
      <c r="O735" t="str">
        <f>VLOOKUP(Table5[[#This Row],[Product ID]],'Product Master'!$A$2:$D$10,4)</f>
        <v>Supplier D</v>
      </c>
      <c r="P735" s="15">
        <f>Table5[[#This Row],[Total Revenue]]-Table5[[#This Row],[Net Sales Revenue]]</f>
        <v>5901.1200000000026</v>
      </c>
      <c r="Q735" s="15">
        <f>Table5[[#This Row],[Net Sales Revenue]]/Table5[[#This Row],[Units Sold]]</f>
        <v>15.84</v>
      </c>
      <c r="R735">
        <f>VLOOKUP(Table5[[#This Row],[Product ID]],'Product Master'!$A$1:$E$10,5,FALSE)</f>
        <v>9</v>
      </c>
      <c r="S735" s="15">
        <f>Table5[[#This Row],[standard product cost per unit]]*Table5[[#This Row],[Units Sold]]</f>
        <v>24588</v>
      </c>
      <c r="T735" s="15">
        <f>Table5[[#This Row],[Cost of Sales]]-Table5[[#This Row],[Standard cost]]</f>
        <v>1967.0400000000009</v>
      </c>
      <c r="U735" s="15">
        <f>Table5[[#This Row],[Net Sales Revenue]]-Table5[[#This Row],[Cost of Sales]]</f>
        <v>16719.839999999997</v>
      </c>
      <c r="V735" s="17">
        <f>Table5[[#This Row],[GrossProfit]]/Table5[[#This Row],[Net Sales Revenue]]</f>
        <v>0.3863636363636363</v>
      </c>
    </row>
    <row r="736" spans="1:22" ht="14.25" customHeight="1" x14ac:dyDescent="0.25">
      <c r="A736" s="1" t="s">
        <v>818</v>
      </c>
      <c r="B736" s="1" t="s">
        <v>804</v>
      </c>
      <c r="C736" s="1" t="s">
        <v>44</v>
      </c>
      <c r="D736" s="1" t="s">
        <v>23</v>
      </c>
      <c r="E736" s="1" t="s">
        <v>21</v>
      </c>
      <c r="F736" s="1">
        <v>2767</v>
      </c>
      <c r="G736" s="14">
        <v>30</v>
      </c>
      <c r="H736" s="1">
        <v>0.16</v>
      </c>
      <c r="I736" s="14">
        <v>69728.399999999994</v>
      </c>
      <c r="J736" s="14">
        <v>41837.040000000001</v>
      </c>
      <c r="K736" s="15">
        <f>Table5[[#This Row],[Selling Price]]*Table5[[#This Row],[Units Sold]]</f>
        <v>83010</v>
      </c>
      <c r="L736" t="str">
        <f t="shared" si="11"/>
        <v>2024-05</v>
      </c>
      <c r="M736" t="str">
        <f>VLOOKUP(Table5[[#This Row],[Store ID]],Table4[[Store ID]:[Store Location]],2)</f>
        <v>Birmingham</v>
      </c>
      <c r="N736" t="str">
        <f>VLOOKUP(Table5[[#This Row],[Store ID]],Table4[[Store ID]:[Region]],3)</f>
        <v>Midlands</v>
      </c>
      <c r="O736" t="str">
        <f>VLOOKUP(Table5[[#This Row],[Product ID]],'Product Master'!$A$2:$D$10,4)</f>
        <v>Supplier D</v>
      </c>
      <c r="P736" s="15">
        <f>Table5[[#This Row],[Total Revenue]]-Table5[[#This Row],[Net Sales Revenue]]</f>
        <v>13281.600000000006</v>
      </c>
      <c r="Q736" s="15">
        <f>Table5[[#This Row],[Net Sales Revenue]]/Table5[[#This Row],[Units Sold]]</f>
        <v>25.2</v>
      </c>
      <c r="R736">
        <f>VLOOKUP(Table5[[#This Row],[Product ID]],'Product Master'!$A$1:$E$10,5,FALSE)</f>
        <v>14</v>
      </c>
      <c r="S736" s="15">
        <f>Table5[[#This Row],[standard product cost per unit]]*Table5[[#This Row],[Units Sold]]</f>
        <v>38738</v>
      </c>
      <c r="T736" s="15">
        <f>Table5[[#This Row],[Cost of Sales]]-Table5[[#This Row],[Standard cost]]</f>
        <v>3099.0400000000009</v>
      </c>
      <c r="U736" s="15">
        <f>Table5[[#This Row],[Net Sales Revenue]]-Table5[[#This Row],[Cost of Sales]]</f>
        <v>27891.359999999993</v>
      </c>
      <c r="V736" s="17">
        <f>Table5[[#This Row],[GrossProfit]]/Table5[[#This Row],[Net Sales Revenue]]</f>
        <v>0.39999999999999991</v>
      </c>
    </row>
    <row r="737" spans="1:22" ht="14.25" customHeight="1" x14ac:dyDescent="0.25">
      <c r="A737" s="1" t="s">
        <v>819</v>
      </c>
      <c r="B737" s="1" t="s">
        <v>804</v>
      </c>
      <c r="C737" s="1" t="s">
        <v>44</v>
      </c>
      <c r="D737" s="1" t="s">
        <v>25</v>
      </c>
      <c r="E737" s="1" t="s">
        <v>27</v>
      </c>
      <c r="F737" s="1">
        <v>2873</v>
      </c>
      <c r="G737" s="14">
        <v>40</v>
      </c>
      <c r="H737" s="1">
        <v>0.12</v>
      </c>
      <c r="I737" s="14">
        <v>101129.60000000001</v>
      </c>
      <c r="J737" s="14">
        <v>62056.800000000003</v>
      </c>
      <c r="K737" s="15">
        <f>Table5[[#This Row],[Selling Price]]*Table5[[#This Row],[Units Sold]]</f>
        <v>114920</v>
      </c>
      <c r="L737" t="str">
        <f t="shared" si="11"/>
        <v>2024-05</v>
      </c>
      <c r="M737" t="str">
        <f>VLOOKUP(Table5[[#This Row],[Store ID]],Table4[[Store ID]:[Store Location]],2)</f>
        <v>Birmingham</v>
      </c>
      <c r="N737" t="str">
        <f>VLOOKUP(Table5[[#This Row],[Store ID]],Table4[[Store ID]:[Region]],3)</f>
        <v>Midlands</v>
      </c>
      <c r="O737" t="str">
        <f>VLOOKUP(Table5[[#This Row],[Product ID]],'Product Master'!$A$2:$D$10,4)</f>
        <v>Supplier E</v>
      </c>
      <c r="P737" s="15">
        <f>Table5[[#This Row],[Total Revenue]]-Table5[[#This Row],[Net Sales Revenue]]</f>
        <v>13790.399999999994</v>
      </c>
      <c r="Q737" s="15">
        <f>Table5[[#This Row],[Net Sales Revenue]]/Table5[[#This Row],[Units Sold]]</f>
        <v>35.200000000000003</v>
      </c>
      <c r="R737">
        <f>VLOOKUP(Table5[[#This Row],[Product ID]],'Product Master'!$A$1:$E$10,5,FALSE)</f>
        <v>20</v>
      </c>
      <c r="S737" s="15">
        <f>Table5[[#This Row],[standard product cost per unit]]*Table5[[#This Row],[Units Sold]]</f>
        <v>57460</v>
      </c>
      <c r="T737" s="15">
        <f>Table5[[#This Row],[Cost of Sales]]-Table5[[#This Row],[Standard cost]]</f>
        <v>4596.8000000000029</v>
      </c>
      <c r="U737" s="15">
        <f>Table5[[#This Row],[Net Sales Revenue]]-Table5[[#This Row],[Cost of Sales]]</f>
        <v>39072.800000000003</v>
      </c>
      <c r="V737" s="17">
        <f>Table5[[#This Row],[GrossProfit]]/Table5[[#This Row],[Net Sales Revenue]]</f>
        <v>0.38636363636363635</v>
      </c>
    </row>
    <row r="738" spans="1:22" ht="14.25" customHeight="1" x14ac:dyDescent="0.25">
      <c r="A738" s="1" t="s">
        <v>820</v>
      </c>
      <c r="B738" s="1" t="s">
        <v>804</v>
      </c>
      <c r="C738" s="1" t="s">
        <v>44</v>
      </c>
      <c r="D738" s="1" t="s">
        <v>29</v>
      </c>
      <c r="E738" s="1" t="s">
        <v>31</v>
      </c>
      <c r="F738" s="1">
        <v>2613</v>
      </c>
      <c r="G738" s="14">
        <v>10</v>
      </c>
      <c r="H738" s="1">
        <v>0.14000000000000001</v>
      </c>
      <c r="I738" s="14">
        <v>22471.8</v>
      </c>
      <c r="J738" s="14">
        <v>11288.16</v>
      </c>
      <c r="K738" s="15">
        <f>Table5[[#This Row],[Selling Price]]*Table5[[#This Row],[Units Sold]]</f>
        <v>26130</v>
      </c>
      <c r="L738" t="str">
        <f t="shared" si="11"/>
        <v>2024-05</v>
      </c>
      <c r="M738" t="str">
        <f>VLOOKUP(Table5[[#This Row],[Store ID]],Table4[[Store ID]:[Store Location]],2)</f>
        <v>Birmingham</v>
      </c>
      <c r="N738" t="str">
        <f>VLOOKUP(Table5[[#This Row],[Store ID]],Table4[[Store ID]:[Region]],3)</f>
        <v>Midlands</v>
      </c>
      <c r="O738" t="str">
        <f>VLOOKUP(Table5[[#This Row],[Product ID]],'Product Master'!$A$2:$D$10,4)</f>
        <v>Supplier F</v>
      </c>
      <c r="P738" s="15">
        <f>Table5[[#This Row],[Total Revenue]]-Table5[[#This Row],[Net Sales Revenue]]</f>
        <v>3658.2000000000007</v>
      </c>
      <c r="Q738" s="15">
        <f>Table5[[#This Row],[Net Sales Revenue]]/Table5[[#This Row],[Units Sold]]</f>
        <v>8.6</v>
      </c>
      <c r="R738">
        <f>VLOOKUP(Table5[[#This Row],[Product ID]],'Product Master'!$A$1:$E$10,5,FALSE)</f>
        <v>4</v>
      </c>
      <c r="S738" s="15">
        <f>Table5[[#This Row],[standard product cost per unit]]*Table5[[#This Row],[Units Sold]]</f>
        <v>10452</v>
      </c>
      <c r="T738" s="15">
        <f>Table5[[#This Row],[Cost of Sales]]-Table5[[#This Row],[Standard cost]]</f>
        <v>836.15999999999985</v>
      </c>
      <c r="U738" s="15">
        <f>Table5[[#This Row],[Net Sales Revenue]]-Table5[[#This Row],[Cost of Sales]]</f>
        <v>11183.64</v>
      </c>
      <c r="V738" s="17">
        <f>Table5[[#This Row],[GrossProfit]]/Table5[[#This Row],[Net Sales Revenue]]</f>
        <v>0.49767441860465117</v>
      </c>
    </row>
    <row r="739" spans="1:22" ht="14.25" customHeight="1" x14ac:dyDescent="0.25">
      <c r="A739" s="1" t="s">
        <v>821</v>
      </c>
      <c r="B739" s="1" t="s">
        <v>804</v>
      </c>
      <c r="C739" s="1" t="s">
        <v>44</v>
      </c>
      <c r="D739" s="1" t="s">
        <v>33</v>
      </c>
      <c r="E739" s="1" t="s">
        <v>31</v>
      </c>
      <c r="F739" s="1">
        <v>2930</v>
      </c>
      <c r="G739" s="14">
        <v>22</v>
      </c>
      <c r="H739" s="1">
        <v>0.13</v>
      </c>
      <c r="I739" s="14">
        <v>56080.2</v>
      </c>
      <c r="J739" s="14">
        <v>31644</v>
      </c>
      <c r="K739" s="15">
        <f>Table5[[#This Row],[Selling Price]]*Table5[[#This Row],[Units Sold]]</f>
        <v>64460</v>
      </c>
      <c r="L739" t="str">
        <f t="shared" si="11"/>
        <v>2024-05</v>
      </c>
      <c r="M739" t="str">
        <f>VLOOKUP(Table5[[#This Row],[Store ID]],Table4[[Store ID]:[Store Location]],2)</f>
        <v>Birmingham</v>
      </c>
      <c r="N739" t="str">
        <f>VLOOKUP(Table5[[#This Row],[Store ID]],Table4[[Store ID]:[Region]],3)</f>
        <v>Midlands</v>
      </c>
      <c r="O739" t="str">
        <f>VLOOKUP(Table5[[#This Row],[Product ID]],'Product Master'!$A$2:$D$10,4)</f>
        <v>Supplier F</v>
      </c>
      <c r="P739" s="15">
        <f>Table5[[#This Row],[Total Revenue]]-Table5[[#This Row],[Net Sales Revenue]]</f>
        <v>8379.8000000000029</v>
      </c>
      <c r="Q739" s="15">
        <f>Table5[[#This Row],[Net Sales Revenue]]/Table5[[#This Row],[Units Sold]]</f>
        <v>19.14</v>
      </c>
      <c r="R739">
        <f>VLOOKUP(Table5[[#This Row],[Product ID]],'Product Master'!$A$1:$E$10,5,FALSE)</f>
        <v>10</v>
      </c>
      <c r="S739" s="15">
        <f>Table5[[#This Row],[standard product cost per unit]]*Table5[[#This Row],[Units Sold]]</f>
        <v>29300</v>
      </c>
      <c r="T739" s="15">
        <f>Table5[[#This Row],[Cost of Sales]]-Table5[[#This Row],[Standard cost]]</f>
        <v>2344</v>
      </c>
      <c r="U739" s="15">
        <f>Table5[[#This Row],[Net Sales Revenue]]-Table5[[#This Row],[Cost of Sales]]</f>
        <v>24436.199999999997</v>
      </c>
      <c r="V739" s="17">
        <f>Table5[[#This Row],[GrossProfit]]/Table5[[#This Row],[Net Sales Revenue]]</f>
        <v>0.43573667711598746</v>
      </c>
    </row>
    <row r="740" spans="1:22" ht="14.25" customHeight="1" x14ac:dyDescent="0.25">
      <c r="A740" s="1" t="s">
        <v>822</v>
      </c>
      <c r="B740" s="1" t="s">
        <v>804</v>
      </c>
      <c r="C740" s="1" t="s">
        <v>48</v>
      </c>
      <c r="D740" s="1" t="s">
        <v>6</v>
      </c>
      <c r="E740" s="1" t="s">
        <v>8</v>
      </c>
      <c r="F740" s="1">
        <v>2525</v>
      </c>
      <c r="G740" s="14">
        <v>24</v>
      </c>
      <c r="H740" s="1">
        <v>0.13</v>
      </c>
      <c r="I740" s="14">
        <v>52722</v>
      </c>
      <c r="J740" s="14">
        <v>32724</v>
      </c>
      <c r="K740" s="15">
        <f>Table5[[#This Row],[Selling Price]]*Table5[[#This Row],[Units Sold]]</f>
        <v>60600</v>
      </c>
      <c r="L740" t="str">
        <f t="shared" si="11"/>
        <v>2024-05</v>
      </c>
      <c r="M740" t="str">
        <f>VLOOKUP(Table5[[#This Row],[Store ID]],Table4[[Store ID]:[Store Location]],2)</f>
        <v>London Stratford</v>
      </c>
      <c r="N740" t="str">
        <f>VLOOKUP(Table5[[#This Row],[Store ID]],Table4[[Store ID]:[Region]],3)</f>
        <v>South</v>
      </c>
      <c r="O740" t="str">
        <f>VLOOKUP(Table5[[#This Row],[Product ID]],'Product Master'!$A$2:$D$10,4)</f>
        <v>Supplier A</v>
      </c>
      <c r="P740" s="15">
        <f>Table5[[#This Row],[Total Revenue]]-Table5[[#This Row],[Net Sales Revenue]]</f>
        <v>7878</v>
      </c>
      <c r="Q740" s="15">
        <f>Table5[[#This Row],[Net Sales Revenue]]/Table5[[#This Row],[Units Sold]]</f>
        <v>20.88</v>
      </c>
      <c r="R740">
        <f>VLOOKUP(Table5[[#This Row],[Product ID]],'Product Master'!$A$1:$E$10,5,FALSE)</f>
        <v>12</v>
      </c>
      <c r="S740" s="15">
        <f>Table5[[#This Row],[standard product cost per unit]]*Table5[[#This Row],[Units Sold]]</f>
        <v>30300</v>
      </c>
      <c r="T740" s="15">
        <f>Table5[[#This Row],[Cost of Sales]]-Table5[[#This Row],[Standard cost]]</f>
        <v>2424</v>
      </c>
      <c r="U740" s="15">
        <f>Table5[[#This Row],[Net Sales Revenue]]-Table5[[#This Row],[Cost of Sales]]</f>
        <v>19998</v>
      </c>
      <c r="V740" s="17">
        <f>Table5[[#This Row],[GrossProfit]]/Table5[[#This Row],[Net Sales Revenue]]</f>
        <v>0.37931034482758619</v>
      </c>
    </row>
    <row r="741" spans="1:22" ht="14.25" customHeight="1" x14ac:dyDescent="0.25">
      <c r="A741" s="1" t="s">
        <v>823</v>
      </c>
      <c r="B741" s="1" t="s">
        <v>804</v>
      </c>
      <c r="C741" s="1" t="s">
        <v>48</v>
      </c>
      <c r="D741" s="1" t="s">
        <v>10</v>
      </c>
      <c r="E741" s="1" t="s">
        <v>8</v>
      </c>
      <c r="F741" s="1">
        <v>2609</v>
      </c>
      <c r="G741" s="14">
        <v>50</v>
      </c>
      <c r="H741" s="1">
        <v>0.17</v>
      </c>
      <c r="I741" s="14">
        <v>108273.5</v>
      </c>
      <c r="J741" s="14">
        <v>78896.160000000003</v>
      </c>
      <c r="K741" s="15">
        <f>Table5[[#This Row],[Selling Price]]*Table5[[#This Row],[Units Sold]]</f>
        <v>130450</v>
      </c>
      <c r="L741" t="str">
        <f t="shared" si="11"/>
        <v>2024-05</v>
      </c>
      <c r="M741" t="str">
        <f>VLOOKUP(Table5[[#This Row],[Store ID]],Table4[[Store ID]:[Store Location]],2)</f>
        <v>London Stratford</v>
      </c>
      <c r="N741" t="str">
        <f>VLOOKUP(Table5[[#This Row],[Store ID]],Table4[[Store ID]:[Region]],3)</f>
        <v>South</v>
      </c>
      <c r="O741" t="str">
        <f>VLOOKUP(Table5[[#This Row],[Product ID]],'Product Master'!$A$2:$D$10,4)</f>
        <v>Supplier B</v>
      </c>
      <c r="P741" s="15">
        <f>Table5[[#This Row],[Total Revenue]]-Table5[[#This Row],[Net Sales Revenue]]</f>
        <v>22176.5</v>
      </c>
      <c r="Q741" s="15">
        <f>Table5[[#This Row],[Net Sales Revenue]]/Table5[[#This Row],[Units Sold]]</f>
        <v>41.5</v>
      </c>
      <c r="R741">
        <f>VLOOKUP(Table5[[#This Row],[Product ID]],'Product Master'!$A$1:$E$10,5,FALSE)</f>
        <v>28</v>
      </c>
      <c r="S741" s="15">
        <f>Table5[[#This Row],[standard product cost per unit]]*Table5[[#This Row],[Units Sold]]</f>
        <v>73052</v>
      </c>
      <c r="T741" s="15">
        <f>Table5[[#This Row],[Cost of Sales]]-Table5[[#This Row],[Standard cost]]</f>
        <v>5844.1600000000035</v>
      </c>
      <c r="U741" s="15">
        <f>Table5[[#This Row],[Net Sales Revenue]]-Table5[[#This Row],[Cost of Sales]]</f>
        <v>29377.339999999997</v>
      </c>
      <c r="V741" s="17">
        <f>Table5[[#This Row],[GrossProfit]]/Table5[[#This Row],[Net Sales Revenue]]</f>
        <v>0.27132530120481924</v>
      </c>
    </row>
    <row r="742" spans="1:22" ht="14.25" customHeight="1" x14ac:dyDescent="0.25">
      <c r="A742" s="1" t="s">
        <v>824</v>
      </c>
      <c r="B742" s="1" t="s">
        <v>804</v>
      </c>
      <c r="C742" s="1" t="s">
        <v>48</v>
      </c>
      <c r="D742" s="1" t="s">
        <v>13</v>
      </c>
      <c r="E742" s="1" t="s">
        <v>15</v>
      </c>
      <c r="F742" s="1">
        <v>1971</v>
      </c>
      <c r="G742" s="14">
        <v>28</v>
      </c>
      <c r="H742" s="1">
        <v>0.13</v>
      </c>
      <c r="I742" s="14">
        <v>48013.56</v>
      </c>
      <c r="J742" s="14">
        <v>31930.2</v>
      </c>
      <c r="K742" s="15">
        <f>Table5[[#This Row],[Selling Price]]*Table5[[#This Row],[Units Sold]]</f>
        <v>55188</v>
      </c>
      <c r="L742" t="str">
        <f t="shared" si="11"/>
        <v>2024-05</v>
      </c>
      <c r="M742" t="str">
        <f>VLOOKUP(Table5[[#This Row],[Store ID]],Table4[[Store ID]:[Store Location]],2)</f>
        <v>London Stratford</v>
      </c>
      <c r="N742" t="str">
        <f>VLOOKUP(Table5[[#This Row],[Store ID]],Table4[[Store ID]:[Region]],3)</f>
        <v>South</v>
      </c>
      <c r="O742" t="str">
        <f>VLOOKUP(Table5[[#This Row],[Product ID]],'Product Master'!$A$2:$D$10,4)</f>
        <v>Supplier C</v>
      </c>
      <c r="P742" s="15">
        <f>Table5[[#This Row],[Total Revenue]]-Table5[[#This Row],[Net Sales Revenue]]</f>
        <v>7174.4400000000023</v>
      </c>
      <c r="Q742" s="15">
        <f>Table5[[#This Row],[Net Sales Revenue]]/Table5[[#This Row],[Units Sold]]</f>
        <v>24.36</v>
      </c>
      <c r="R742">
        <f>VLOOKUP(Table5[[#This Row],[Product ID]],'Product Master'!$A$1:$E$10,5,FALSE)</f>
        <v>15</v>
      </c>
      <c r="S742" s="15">
        <f>Table5[[#This Row],[standard product cost per unit]]*Table5[[#This Row],[Units Sold]]</f>
        <v>29565</v>
      </c>
      <c r="T742" s="15">
        <f>Table5[[#This Row],[Cost of Sales]]-Table5[[#This Row],[Standard cost]]</f>
        <v>2365.2000000000007</v>
      </c>
      <c r="U742" s="15">
        <f>Table5[[#This Row],[Net Sales Revenue]]-Table5[[#This Row],[Cost of Sales]]</f>
        <v>16083.359999999997</v>
      </c>
      <c r="V742" s="17">
        <f>Table5[[#This Row],[GrossProfit]]/Table5[[#This Row],[Net Sales Revenue]]</f>
        <v>0.33497536945812806</v>
      </c>
    </row>
    <row r="743" spans="1:22" ht="14.25" customHeight="1" x14ac:dyDescent="0.25">
      <c r="A743" s="1" t="s">
        <v>825</v>
      </c>
      <c r="B743" s="1" t="s">
        <v>804</v>
      </c>
      <c r="C743" s="1" t="s">
        <v>48</v>
      </c>
      <c r="D743" s="1" t="s">
        <v>17</v>
      </c>
      <c r="E743" s="1" t="s">
        <v>15</v>
      </c>
      <c r="F743" s="1">
        <v>1610</v>
      </c>
      <c r="G743" s="14">
        <v>35</v>
      </c>
      <c r="H743" s="1">
        <v>0.16</v>
      </c>
      <c r="I743" s="14">
        <v>47334</v>
      </c>
      <c r="J743" s="14">
        <v>31298.400000000001</v>
      </c>
      <c r="K743" s="15">
        <f>Table5[[#This Row],[Selling Price]]*Table5[[#This Row],[Units Sold]]</f>
        <v>56350</v>
      </c>
      <c r="L743" t="str">
        <f t="shared" si="11"/>
        <v>2024-05</v>
      </c>
      <c r="M743" t="str">
        <f>VLOOKUP(Table5[[#This Row],[Store ID]],Table4[[Store ID]:[Store Location]],2)</f>
        <v>London Stratford</v>
      </c>
      <c r="N743" t="str">
        <f>VLOOKUP(Table5[[#This Row],[Store ID]],Table4[[Store ID]:[Region]],3)</f>
        <v>South</v>
      </c>
      <c r="O743" t="str">
        <f>VLOOKUP(Table5[[#This Row],[Product ID]],'Product Master'!$A$2:$D$10,4)</f>
        <v>Supplier C</v>
      </c>
      <c r="P743" s="15">
        <f>Table5[[#This Row],[Total Revenue]]-Table5[[#This Row],[Net Sales Revenue]]</f>
        <v>9016</v>
      </c>
      <c r="Q743" s="15">
        <f>Table5[[#This Row],[Net Sales Revenue]]/Table5[[#This Row],[Units Sold]]</f>
        <v>29.4</v>
      </c>
      <c r="R743">
        <f>VLOOKUP(Table5[[#This Row],[Product ID]],'Product Master'!$A$1:$E$10,5,FALSE)</f>
        <v>18</v>
      </c>
      <c r="S743" s="15">
        <f>Table5[[#This Row],[standard product cost per unit]]*Table5[[#This Row],[Units Sold]]</f>
        <v>28980</v>
      </c>
      <c r="T743" s="15">
        <f>Table5[[#This Row],[Cost of Sales]]-Table5[[#This Row],[Standard cost]]</f>
        <v>2318.4000000000015</v>
      </c>
      <c r="U743" s="15">
        <f>Table5[[#This Row],[Net Sales Revenue]]-Table5[[#This Row],[Cost of Sales]]</f>
        <v>16035.599999999999</v>
      </c>
      <c r="V743" s="17">
        <f>Table5[[#This Row],[GrossProfit]]/Table5[[#This Row],[Net Sales Revenue]]</f>
        <v>0.33877551020408159</v>
      </c>
    </row>
    <row r="744" spans="1:22" ht="14.25" customHeight="1" x14ac:dyDescent="0.25">
      <c r="A744" s="1" t="s">
        <v>826</v>
      </c>
      <c r="B744" s="1" t="s">
        <v>804</v>
      </c>
      <c r="C744" s="1" t="s">
        <v>48</v>
      </c>
      <c r="D744" s="1" t="s">
        <v>19</v>
      </c>
      <c r="E744" s="1" t="s">
        <v>21</v>
      </c>
      <c r="F744" s="1">
        <v>1707</v>
      </c>
      <c r="G744" s="14">
        <v>18</v>
      </c>
      <c r="H744" s="1">
        <v>0.13</v>
      </c>
      <c r="I744" s="14">
        <v>26731.62</v>
      </c>
      <c r="J744" s="14">
        <v>16592.04</v>
      </c>
      <c r="K744" s="15">
        <f>Table5[[#This Row],[Selling Price]]*Table5[[#This Row],[Units Sold]]</f>
        <v>30726</v>
      </c>
      <c r="L744" t="str">
        <f t="shared" si="11"/>
        <v>2024-05</v>
      </c>
      <c r="M744" t="str">
        <f>VLOOKUP(Table5[[#This Row],[Store ID]],Table4[[Store ID]:[Store Location]],2)</f>
        <v>London Stratford</v>
      </c>
      <c r="N744" t="str">
        <f>VLOOKUP(Table5[[#This Row],[Store ID]],Table4[[Store ID]:[Region]],3)</f>
        <v>South</v>
      </c>
      <c r="O744" t="str">
        <f>VLOOKUP(Table5[[#This Row],[Product ID]],'Product Master'!$A$2:$D$10,4)</f>
        <v>Supplier D</v>
      </c>
      <c r="P744" s="15">
        <f>Table5[[#This Row],[Total Revenue]]-Table5[[#This Row],[Net Sales Revenue]]</f>
        <v>3994.380000000001</v>
      </c>
      <c r="Q744" s="15">
        <f>Table5[[#This Row],[Net Sales Revenue]]/Table5[[#This Row],[Units Sold]]</f>
        <v>15.66</v>
      </c>
      <c r="R744">
        <f>VLOOKUP(Table5[[#This Row],[Product ID]],'Product Master'!$A$1:$E$10,5,FALSE)</f>
        <v>9</v>
      </c>
      <c r="S744" s="15">
        <f>Table5[[#This Row],[standard product cost per unit]]*Table5[[#This Row],[Units Sold]]</f>
        <v>15363</v>
      </c>
      <c r="T744" s="15">
        <f>Table5[[#This Row],[Cost of Sales]]-Table5[[#This Row],[Standard cost]]</f>
        <v>1229.0400000000009</v>
      </c>
      <c r="U744" s="15">
        <f>Table5[[#This Row],[Net Sales Revenue]]-Table5[[#This Row],[Cost of Sales]]</f>
        <v>10139.579999999998</v>
      </c>
      <c r="V744" s="17">
        <f>Table5[[#This Row],[GrossProfit]]/Table5[[#This Row],[Net Sales Revenue]]</f>
        <v>0.37931034482758613</v>
      </c>
    </row>
    <row r="745" spans="1:22" ht="14.25" customHeight="1" x14ac:dyDescent="0.25">
      <c r="A745" s="1" t="s">
        <v>827</v>
      </c>
      <c r="B745" s="1" t="s">
        <v>804</v>
      </c>
      <c r="C745" s="1" t="s">
        <v>48</v>
      </c>
      <c r="D745" s="1" t="s">
        <v>23</v>
      </c>
      <c r="E745" s="1" t="s">
        <v>21</v>
      </c>
      <c r="F745" s="1">
        <v>2750</v>
      </c>
      <c r="G745" s="14">
        <v>30</v>
      </c>
      <c r="H745" s="1">
        <v>0.15</v>
      </c>
      <c r="I745" s="14">
        <v>70125</v>
      </c>
      <c r="J745" s="14">
        <v>41580</v>
      </c>
      <c r="K745" s="15">
        <f>Table5[[#This Row],[Selling Price]]*Table5[[#This Row],[Units Sold]]</f>
        <v>82500</v>
      </c>
      <c r="L745" t="str">
        <f t="shared" si="11"/>
        <v>2024-05</v>
      </c>
      <c r="M745" t="str">
        <f>VLOOKUP(Table5[[#This Row],[Store ID]],Table4[[Store ID]:[Store Location]],2)</f>
        <v>London Stratford</v>
      </c>
      <c r="N745" t="str">
        <f>VLOOKUP(Table5[[#This Row],[Store ID]],Table4[[Store ID]:[Region]],3)</f>
        <v>South</v>
      </c>
      <c r="O745" t="str">
        <f>VLOOKUP(Table5[[#This Row],[Product ID]],'Product Master'!$A$2:$D$10,4)</f>
        <v>Supplier D</v>
      </c>
      <c r="P745" s="15">
        <f>Table5[[#This Row],[Total Revenue]]-Table5[[#This Row],[Net Sales Revenue]]</f>
        <v>12375</v>
      </c>
      <c r="Q745" s="15">
        <f>Table5[[#This Row],[Net Sales Revenue]]/Table5[[#This Row],[Units Sold]]</f>
        <v>25.5</v>
      </c>
      <c r="R745">
        <f>VLOOKUP(Table5[[#This Row],[Product ID]],'Product Master'!$A$1:$E$10,5,FALSE)</f>
        <v>14</v>
      </c>
      <c r="S745" s="15">
        <f>Table5[[#This Row],[standard product cost per unit]]*Table5[[#This Row],[Units Sold]]</f>
        <v>38500</v>
      </c>
      <c r="T745" s="15">
        <f>Table5[[#This Row],[Cost of Sales]]-Table5[[#This Row],[Standard cost]]</f>
        <v>3080</v>
      </c>
      <c r="U745" s="15">
        <f>Table5[[#This Row],[Net Sales Revenue]]-Table5[[#This Row],[Cost of Sales]]</f>
        <v>28545</v>
      </c>
      <c r="V745" s="17">
        <f>Table5[[#This Row],[GrossProfit]]/Table5[[#This Row],[Net Sales Revenue]]</f>
        <v>0.40705882352941175</v>
      </c>
    </row>
    <row r="746" spans="1:22" ht="14.25" customHeight="1" x14ac:dyDescent="0.25">
      <c r="A746" s="1" t="s">
        <v>828</v>
      </c>
      <c r="B746" s="1" t="s">
        <v>804</v>
      </c>
      <c r="C746" s="1" t="s">
        <v>48</v>
      </c>
      <c r="D746" s="1" t="s">
        <v>25</v>
      </c>
      <c r="E746" s="1" t="s">
        <v>27</v>
      </c>
      <c r="F746" s="1">
        <v>2217</v>
      </c>
      <c r="G746" s="14">
        <v>40</v>
      </c>
      <c r="H746" s="1">
        <v>0.16</v>
      </c>
      <c r="I746" s="14">
        <v>74491.199999999997</v>
      </c>
      <c r="J746" s="14">
        <v>47887.199999999997</v>
      </c>
      <c r="K746" s="15">
        <f>Table5[[#This Row],[Selling Price]]*Table5[[#This Row],[Units Sold]]</f>
        <v>88680</v>
      </c>
      <c r="L746" t="str">
        <f t="shared" si="11"/>
        <v>2024-05</v>
      </c>
      <c r="M746" t="str">
        <f>VLOOKUP(Table5[[#This Row],[Store ID]],Table4[[Store ID]:[Store Location]],2)</f>
        <v>London Stratford</v>
      </c>
      <c r="N746" t="str">
        <f>VLOOKUP(Table5[[#This Row],[Store ID]],Table4[[Store ID]:[Region]],3)</f>
        <v>South</v>
      </c>
      <c r="O746" t="str">
        <f>VLOOKUP(Table5[[#This Row],[Product ID]],'Product Master'!$A$2:$D$10,4)</f>
        <v>Supplier E</v>
      </c>
      <c r="P746" s="15">
        <f>Table5[[#This Row],[Total Revenue]]-Table5[[#This Row],[Net Sales Revenue]]</f>
        <v>14188.800000000003</v>
      </c>
      <c r="Q746" s="15">
        <f>Table5[[#This Row],[Net Sales Revenue]]/Table5[[#This Row],[Units Sold]]</f>
        <v>33.6</v>
      </c>
      <c r="R746">
        <f>VLOOKUP(Table5[[#This Row],[Product ID]],'Product Master'!$A$1:$E$10,5,FALSE)</f>
        <v>20</v>
      </c>
      <c r="S746" s="15">
        <f>Table5[[#This Row],[standard product cost per unit]]*Table5[[#This Row],[Units Sold]]</f>
        <v>44340</v>
      </c>
      <c r="T746" s="15">
        <f>Table5[[#This Row],[Cost of Sales]]-Table5[[#This Row],[Standard cost]]</f>
        <v>3547.1999999999971</v>
      </c>
      <c r="U746" s="15">
        <f>Table5[[#This Row],[Net Sales Revenue]]-Table5[[#This Row],[Cost of Sales]]</f>
        <v>26604</v>
      </c>
      <c r="V746" s="17">
        <f>Table5[[#This Row],[GrossProfit]]/Table5[[#This Row],[Net Sales Revenue]]</f>
        <v>0.35714285714285715</v>
      </c>
    </row>
    <row r="747" spans="1:22" ht="14.25" customHeight="1" x14ac:dyDescent="0.25">
      <c r="A747" s="1" t="s">
        <v>829</v>
      </c>
      <c r="B747" s="1" t="s">
        <v>804</v>
      </c>
      <c r="C747" s="1" t="s">
        <v>48</v>
      </c>
      <c r="D747" s="1" t="s">
        <v>29</v>
      </c>
      <c r="E747" s="1" t="s">
        <v>31</v>
      </c>
      <c r="F747" s="1">
        <v>1927</v>
      </c>
      <c r="G747" s="14">
        <v>10</v>
      </c>
      <c r="H747" s="1">
        <v>0.15</v>
      </c>
      <c r="I747" s="14">
        <v>16379.5</v>
      </c>
      <c r="J747" s="14">
        <v>8324.64</v>
      </c>
      <c r="K747" s="15">
        <f>Table5[[#This Row],[Selling Price]]*Table5[[#This Row],[Units Sold]]</f>
        <v>19270</v>
      </c>
      <c r="L747" t="str">
        <f t="shared" si="11"/>
        <v>2024-05</v>
      </c>
      <c r="M747" t="str">
        <f>VLOOKUP(Table5[[#This Row],[Store ID]],Table4[[Store ID]:[Store Location]],2)</f>
        <v>London Stratford</v>
      </c>
      <c r="N747" t="str">
        <f>VLOOKUP(Table5[[#This Row],[Store ID]],Table4[[Store ID]:[Region]],3)</f>
        <v>South</v>
      </c>
      <c r="O747" t="str">
        <f>VLOOKUP(Table5[[#This Row],[Product ID]],'Product Master'!$A$2:$D$10,4)</f>
        <v>Supplier F</v>
      </c>
      <c r="P747" s="15">
        <f>Table5[[#This Row],[Total Revenue]]-Table5[[#This Row],[Net Sales Revenue]]</f>
        <v>2890.5</v>
      </c>
      <c r="Q747" s="15">
        <f>Table5[[#This Row],[Net Sales Revenue]]/Table5[[#This Row],[Units Sold]]</f>
        <v>8.5</v>
      </c>
      <c r="R747">
        <f>VLOOKUP(Table5[[#This Row],[Product ID]],'Product Master'!$A$1:$E$10,5,FALSE)</f>
        <v>4</v>
      </c>
      <c r="S747" s="15">
        <f>Table5[[#This Row],[standard product cost per unit]]*Table5[[#This Row],[Units Sold]]</f>
        <v>7708</v>
      </c>
      <c r="T747" s="15">
        <f>Table5[[#This Row],[Cost of Sales]]-Table5[[#This Row],[Standard cost]]</f>
        <v>616.63999999999942</v>
      </c>
      <c r="U747" s="15">
        <f>Table5[[#This Row],[Net Sales Revenue]]-Table5[[#This Row],[Cost of Sales]]</f>
        <v>8054.8600000000006</v>
      </c>
      <c r="V747" s="17">
        <f>Table5[[#This Row],[GrossProfit]]/Table5[[#This Row],[Net Sales Revenue]]</f>
        <v>0.49176470588235299</v>
      </c>
    </row>
    <row r="748" spans="1:22" ht="14.25" customHeight="1" x14ac:dyDescent="0.25">
      <c r="A748" s="1" t="s">
        <v>830</v>
      </c>
      <c r="B748" s="1" t="s">
        <v>804</v>
      </c>
      <c r="C748" s="1" t="s">
        <v>48</v>
      </c>
      <c r="D748" s="1" t="s">
        <v>33</v>
      </c>
      <c r="E748" s="1" t="s">
        <v>31</v>
      </c>
      <c r="F748" s="1">
        <v>2895</v>
      </c>
      <c r="G748" s="14">
        <v>22</v>
      </c>
      <c r="H748" s="1">
        <v>0.15</v>
      </c>
      <c r="I748" s="14">
        <v>54136.5</v>
      </c>
      <c r="J748" s="14">
        <v>31266</v>
      </c>
      <c r="K748" s="15">
        <f>Table5[[#This Row],[Selling Price]]*Table5[[#This Row],[Units Sold]]</f>
        <v>63690</v>
      </c>
      <c r="L748" t="str">
        <f t="shared" si="11"/>
        <v>2024-05</v>
      </c>
      <c r="M748" t="str">
        <f>VLOOKUP(Table5[[#This Row],[Store ID]],Table4[[Store ID]:[Store Location]],2)</f>
        <v>London Stratford</v>
      </c>
      <c r="N748" t="str">
        <f>VLOOKUP(Table5[[#This Row],[Store ID]],Table4[[Store ID]:[Region]],3)</f>
        <v>South</v>
      </c>
      <c r="O748" t="str">
        <f>VLOOKUP(Table5[[#This Row],[Product ID]],'Product Master'!$A$2:$D$10,4)</f>
        <v>Supplier F</v>
      </c>
      <c r="P748" s="15">
        <f>Table5[[#This Row],[Total Revenue]]-Table5[[#This Row],[Net Sales Revenue]]</f>
        <v>9553.5</v>
      </c>
      <c r="Q748" s="15">
        <f>Table5[[#This Row],[Net Sales Revenue]]/Table5[[#This Row],[Units Sold]]</f>
        <v>18.7</v>
      </c>
      <c r="R748">
        <f>VLOOKUP(Table5[[#This Row],[Product ID]],'Product Master'!$A$1:$E$10,5,FALSE)</f>
        <v>10</v>
      </c>
      <c r="S748" s="15">
        <f>Table5[[#This Row],[standard product cost per unit]]*Table5[[#This Row],[Units Sold]]</f>
        <v>28950</v>
      </c>
      <c r="T748" s="15">
        <f>Table5[[#This Row],[Cost of Sales]]-Table5[[#This Row],[Standard cost]]</f>
        <v>2316</v>
      </c>
      <c r="U748" s="15">
        <f>Table5[[#This Row],[Net Sales Revenue]]-Table5[[#This Row],[Cost of Sales]]</f>
        <v>22870.5</v>
      </c>
      <c r="V748" s="17">
        <f>Table5[[#This Row],[GrossProfit]]/Table5[[#This Row],[Net Sales Revenue]]</f>
        <v>0.42245989304812837</v>
      </c>
    </row>
    <row r="749" spans="1:22" ht="14.25" customHeight="1" x14ac:dyDescent="0.25">
      <c r="A749" s="1" t="s">
        <v>831</v>
      </c>
      <c r="B749" s="1" t="s">
        <v>804</v>
      </c>
      <c r="C749" s="1" t="s">
        <v>52</v>
      </c>
      <c r="D749" s="1" t="s">
        <v>6</v>
      </c>
      <c r="E749" s="1" t="s">
        <v>8</v>
      </c>
      <c r="F749" s="1">
        <v>2336</v>
      </c>
      <c r="G749" s="14">
        <v>24</v>
      </c>
      <c r="H749" s="1">
        <v>0.14000000000000001</v>
      </c>
      <c r="I749" s="14">
        <v>48215.040000000001</v>
      </c>
      <c r="J749" s="14">
        <v>30274.560000000001</v>
      </c>
      <c r="K749" s="15">
        <f>Table5[[#This Row],[Selling Price]]*Table5[[#This Row],[Units Sold]]</f>
        <v>56064</v>
      </c>
      <c r="L749" t="str">
        <f t="shared" si="11"/>
        <v>2024-05</v>
      </c>
      <c r="M749" t="str">
        <f>VLOOKUP(Table5[[#This Row],[Store ID]],Table4[[Store ID]:[Store Location]],2)</f>
        <v>Glasgow</v>
      </c>
      <c r="N749" t="str">
        <f>VLOOKUP(Table5[[#This Row],[Store ID]],Table4[[Store ID]:[Region]],3)</f>
        <v>Scotland</v>
      </c>
      <c r="O749" t="str">
        <f>VLOOKUP(Table5[[#This Row],[Product ID]],'Product Master'!$A$2:$D$10,4)</f>
        <v>Supplier A</v>
      </c>
      <c r="P749" s="15">
        <f>Table5[[#This Row],[Total Revenue]]-Table5[[#This Row],[Net Sales Revenue]]</f>
        <v>7848.9599999999991</v>
      </c>
      <c r="Q749" s="15">
        <f>Table5[[#This Row],[Net Sales Revenue]]/Table5[[#This Row],[Units Sold]]</f>
        <v>20.64</v>
      </c>
      <c r="R749">
        <f>VLOOKUP(Table5[[#This Row],[Product ID]],'Product Master'!$A$1:$E$10,5,FALSE)</f>
        <v>12</v>
      </c>
      <c r="S749" s="15">
        <f>Table5[[#This Row],[standard product cost per unit]]*Table5[[#This Row],[Units Sold]]</f>
        <v>28032</v>
      </c>
      <c r="T749" s="15">
        <f>Table5[[#This Row],[Cost of Sales]]-Table5[[#This Row],[Standard cost]]</f>
        <v>2242.5600000000013</v>
      </c>
      <c r="U749" s="15">
        <f>Table5[[#This Row],[Net Sales Revenue]]-Table5[[#This Row],[Cost of Sales]]</f>
        <v>17940.48</v>
      </c>
      <c r="V749" s="17">
        <f>Table5[[#This Row],[GrossProfit]]/Table5[[#This Row],[Net Sales Revenue]]</f>
        <v>0.37209302325581395</v>
      </c>
    </row>
    <row r="750" spans="1:22" ht="14.25" customHeight="1" x14ac:dyDescent="0.25">
      <c r="A750" s="1" t="s">
        <v>832</v>
      </c>
      <c r="B750" s="1" t="s">
        <v>804</v>
      </c>
      <c r="C750" s="1" t="s">
        <v>52</v>
      </c>
      <c r="D750" s="1" t="s">
        <v>10</v>
      </c>
      <c r="E750" s="1" t="s">
        <v>8</v>
      </c>
      <c r="F750" s="1">
        <v>2688</v>
      </c>
      <c r="G750" s="14">
        <v>50</v>
      </c>
      <c r="H750" s="1">
        <v>0.16</v>
      </c>
      <c r="I750" s="14">
        <v>112896</v>
      </c>
      <c r="J750" s="14">
        <v>81285.119999999995</v>
      </c>
      <c r="K750" s="15">
        <f>Table5[[#This Row],[Selling Price]]*Table5[[#This Row],[Units Sold]]</f>
        <v>134400</v>
      </c>
      <c r="L750" t="str">
        <f t="shared" si="11"/>
        <v>2024-05</v>
      </c>
      <c r="M750" t="str">
        <f>VLOOKUP(Table5[[#This Row],[Store ID]],Table4[[Store ID]:[Store Location]],2)</f>
        <v>Glasgow</v>
      </c>
      <c r="N750" t="str">
        <f>VLOOKUP(Table5[[#This Row],[Store ID]],Table4[[Store ID]:[Region]],3)</f>
        <v>Scotland</v>
      </c>
      <c r="O750" t="str">
        <f>VLOOKUP(Table5[[#This Row],[Product ID]],'Product Master'!$A$2:$D$10,4)</f>
        <v>Supplier B</v>
      </c>
      <c r="P750" s="15">
        <f>Table5[[#This Row],[Total Revenue]]-Table5[[#This Row],[Net Sales Revenue]]</f>
        <v>21504</v>
      </c>
      <c r="Q750" s="15">
        <f>Table5[[#This Row],[Net Sales Revenue]]/Table5[[#This Row],[Units Sold]]</f>
        <v>42</v>
      </c>
      <c r="R750">
        <f>VLOOKUP(Table5[[#This Row],[Product ID]],'Product Master'!$A$1:$E$10,5,FALSE)</f>
        <v>28</v>
      </c>
      <c r="S750" s="15">
        <f>Table5[[#This Row],[standard product cost per unit]]*Table5[[#This Row],[Units Sold]]</f>
        <v>75264</v>
      </c>
      <c r="T750" s="15">
        <f>Table5[[#This Row],[Cost of Sales]]-Table5[[#This Row],[Standard cost]]</f>
        <v>6021.1199999999953</v>
      </c>
      <c r="U750" s="15">
        <f>Table5[[#This Row],[Net Sales Revenue]]-Table5[[#This Row],[Cost of Sales]]</f>
        <v>31610.880000000005</v>
      </c>
      <c r="V750" s="17">
        <f>Table5[[#This Row],[GrossProfit]]/Table5[[#This Row],[Net Sales Revenue]]</f>
        <v>0.28000000000000003</v>
      </c>
    </row>
    <row r="751" spans="1:22" ht="14.25" customHeight="1" x14ac:dyDescent="0.25">
      <c r="A751" s="1" t="s">
        <v>833</v>
      </c>
      <c r="B751" s="1" t="s">
        <v>804</v>
      </c>
      <c r="C751" s="1" t="s">
        <v>52</v>
      </c>
      <c r="D751" s="1" t="s">
        <v>13</v>
      </c>
      <c r="E751" s="1" t="s">
        <v>15</v>
      </c>
      <c r="F751" s="1">
        <v>2943</v>
      </c>
      <c r="G751" s="14">
        <v>28</v>
      </c>
      <c r="H751" s="1">
        <v>0.15</v>
      </c>
      <c r="I751" s="14">
        <v>70043.399999999994</v>
      </c>
      <c r="J751" s="14">
        <v>47676.6</v>
      </c>
      <c r="K751" s="15">
        <f>Table5[[#This Row],[Selling Price]]*Table5[[#This Row],[Units Sold]]</f>
        <v>82404</v>
      </c>
      <c r="L751" t="str">
        <f t="shared" si="11"/>
        <v>2024-05</v>
      </c>
      <c r="M751" t="str">
        <f>VLOOKUP(Table5[[#This Row],[Store ID]],Table4[[Store ID]:[Store Location]],2)</f>
        <v>Glasgow</v>
      </c>
      <c r="N751" t="str">
        <f>VLOOKUP(Table5[[#This Row],[Store ID]],Table4[[Store ID]:[Region]],3)</f>
        <v>Scotland</v>
      </c>
      <c r="O751" t="str">
        <f>VLOOKUP(Table5[[#This Row],[Product ID]],'Product Master'!$A$2:$D$10,4)</f>
        <v>Supplier C</v>
      </c>
      <c r="P751" s="15">
        <f>Table5[[#This Row],[Total Revenue]]-Table5[[#This Row],[Net Sales Revenue]]</f>
        <v>12360.600000000006</v>
      </c>
      <c r="Q751" s="15">
        <f>Table5[[#This Row],[Net Sales Revenue]]/Table5[[#This Row],[Units Sold]]</f>
        <v>23.799999999999997</v>
      </c>
      <c r="R751">
        <f>VLOOKUP(Table5[[#This Row],[Product ID]],'Product Master'!$A$1:$E$10,5,FALSE)</f>
        <v>15</v>
      </c>
      <c r="S751" s="15">
        <f>Table5[[#This Row],[standard product cost per unit]]*Table5[[#This Row],[Units Sold]]</f>
        <v>44145</v>
      </c>
      <c r="T751" s="15">
        <f>Table5[[#This Row],[Cost of Sales]]-Table5[[#This Row],[Standard cost]]</f>
        <v>3531.5999999999985</v>
      </c>
      <c r="U751" s="15">
        <f>Table5[[#This Row],[Net Sales Revenue]]-Table5[[#This Row],[Cost of Sales]]</f>
        <v>22366.799999999996</v>
      </c>
      <c r="V751" s="17">
        <f>Table5[[#This Row],[GrossProfit]]/Table5[[#This Row],[Net Sales Revenue]]</f>
        <v>0.31932773109243695</v>
      </c>
    </row>
    <row r="752" spans="1:22" ht="14.25" customHeight="1" x14ac:dyDescent="0.25">
      <c r="A752" s="1" t="s">
        <v>834</v>
      </c>
      <c r="B752" s="1" t="s">
        <v>804</v>
      </c>
      <c r="C752" s="1" t="s">
        <v>52</v>
      </c>
      <c r="D752" s="1" t="s">
        <v>17</v>
      </c>
      <c r="E752" s="1" t="s">
        <v>15</v>
      </c>
      <c r="F752" s="1">
        <v>2710</v>
      </c>
      <c r="G752" s="14">
        <v>35</v>
      </c>
      <c r="H752" s="1">
        <v>0.14000000000000001</v>
      </c>
      <c r="I752" s="14">
        <v>81571</v>
      </c>
      <c r="J752" s="14">
        <v>52682.400000000001</v>
      </c>
      <c r="K752" s="15">
        <f>Table5[[#This Row],[Selling Price]]*Table5[[#This Row],[Units Sold]]</f>
        <v>94850</v>
      </c>
      <c r="L752" t="str">
        <f t="shared" si="11"/>
        <v>2024-05</v>
      </c>
      <c r="M752" t="str">
        <f>VLOOKUP(Table5[[#This Row],[Store ID]],Table4[[Store ID]:[Store Location]],2)</f>
        <v>Glasgow</v>
      </c>
      <c r="N752" t="str">
        <f>VLOOKUP(Table5[[#This Row],[Store ID]],Table4[[Store ID]:[Region]],3)</f>
        <v>Scotland</v>
      </c>
      <c r="O752" t="str">
        <f>VLOOKUP(Table5[[#This Row],[Product ID]],'Product Master'!$A$2:$D$10,4)</f>
        <v>Supplier C</v>
      </c>
      <c r="P752" s="15">
        <f>Table5[[#This Row],[Total Revenue]]-Table5[[#This Row],[Net Sales Revenue]]</f>
        <v>13279</v>
      </c>
      <c r="Q752" s="15">
        <f>Table5[[#This Row],[Net Sales Revenue]]/Table5[[#This Row],[Units Sold]]</f>
        <v>30.1</v>
      </c>
      <c r="R752">
        <f>VLOOKUP(Table5[[#This Row],[Product ID]],'Product Master'!$A$1:$E$10,5,FALSE)</f>
        <v>18</v>
      </c>
      <c r="S752" s="15">
        <f>Table5[[#This Row],[standard product cost per unit]]*Table5[[#This Row],[Units Sold]]</f>
        <v>48780</v>
      </c>
      <c r="T752" s="15">
        <f>Table5[[#This Row],[Cost of Sales]]-Table5[[#This Row],[Standard cost]]</f>
        <v>3902.4000000000015</v>
      </c>
      <c r="U752" s="15">
        <f>Table5[[#This Row],[Net Sales Revenue]]-Table5[[#This Row],[Cost of Sales]]</f>
        <v>28888.6</v>
      </c>
      <c r="V752" s="17">
        <f>Table5[[#This Row],[GrossProfit]]/Table5[[#This Row],[Net Sales Revenue]]</f>
        <v>0.35415282392026576</v>
      </c>
    </row>
    <row r="753" spans="1:22" ht="14.25" customHeight="1" x14ac:dyDescent="0.25">
      <c r="A753" s="1" t="s">
        <v>835</v>
      </c>
      <c r="B753" s="1" t="s">
        <v>804</v>
      </c>
      <c r="C753" s="1" t="s">
        <v>52</v>
      </c>
      <c r="D753" s="1" t="s">
        <v>19</v>
      </c>
      <c r="E753" s="1" t="s">
        <v>21</v>
      </c>
      <c r="F753" s="1">
        <v>1716</v>
      </c>
      <c r="G753" s="14">
        <v>18</v>
      </c>
      <c r="H753" s="1">
        <v>0.16</v>
      </c>
      <c r="I753" s="14">
        <v>25945.919999999998</v>
      </c>
      <c r="J753" s="14">
        <v>16679.52</v>
      </c>
      <c r="K753" s="15">
        <f>Table5[[#This Row],[Selling Price]]*Table5[[#This Row],[Units Sold]]</f>
        <v>30888</v>
      </c>
      <c r="L753" t="str">
        <f t="shared" si="11"/>
        <v>2024-05</v>
      </c>
      <c r="M753" t="str">
        <f>VLOOKUP(Table5[[#This Row],[Store ID]],Table4[[Store ID]:[Store Location]],2)</f>
        <v>Glasgow</v>
      </c>
      <c r="N753" t="str">
        <f>VLOOKUP(Table5[[#This Row],[Store ID]],Table4[[Store ID]:[Region]],3)</f>
        <v>Scotland</v>
      </c>
      <c r="O753" t="str">
        <f>VLOOKUP(Table5[[#This Row],[Product ID]],'Product Master'!$A$2:$D$10,4)</f>
        <v>Supplier D</v>
      </c>
      <c r="P753" s="15">
        <f>Table5[[#This Row],[Total Revenue]]-Table5[[#This Row],[Net Sales Revenue]]</f>
        <v>4942.0800000000017</v>
      </c>
      <c r="Q753" s="15">
        <f>Table5[[#This Row],[Net Sales Revenue]]/Table5[[#This Row],[Units Sold]]</f>
        <v>15.12</v>
      </c>
      <c r="R753">
        <f>VLOOKUP(Table5[[#This Row],[Product ID]],'Product Master'!$A$1:$E$10,5,FALSE)</f>
        <v>9</v>
      </c>
      <c r="S753" s="15">
        <f>Table5[[#This Row],[standard product cost per unit]]*Table5[[#This Row],[Units Sold]]</f>
        <v>15444</v>
      </c>
      <c r="T753" s="15">
        <f>Table5[[#This Row],[Cost of Sales]]-Table5[[#This Row],[Standard cost]]</f>
        <v>1235.5200000000004</v>
      </c>
      <c r="U753" s="15">
        <f>Table5[[#This Row],[Net Sales Revenue]]-Table5[[#This Row],[Cost of Sales]]</f>
        <v>9266.3999999999978</v>
      </c>
      <c r="V753" s="17">
        <f>Table5[[#This Row],[GrossProfit]]/Table5[[#This Row],[Net Sales Revenue]]</f>
        <v>0.3571428571428571</v>
      </c>
    </row>
    <row r="754" spans="1:22" ht="14.25" customHeight="1" x14ac:dyDescent="0.25">
      <c r="A754" s="1" t="s">
        <v>836</v>
      </c>
      <c r="B754" s="1" t="s">
        <v>804</v>
      </c>
      <c r="C754" s="1" t="s">
        <v>52</v>
      </c>
      <c r="D754" s="1" t="s">
        <v>23</v>
      </c>
      <c r="E754" s="1" t="s">
        <v>21</v>
      </c>
      <c r="F754" s="1">
        <v>2662</v>
      </c>
      <c r="G754" s="14">
        <v>30</v>
      </c>
      <c r="H754" s="1">
        <v>0.13</v>
      </c>
      <c r="I754" s="14">
        <v>69478.2</v>
      </c>
      <c r="J754" s="14">
        <v>40249.440000000002</v>
      </c>
      <c r="K754" s="15">
        <f>Table5[[#This Row],[Selling Price]]*Table5[[#This Row],[Units Sold]]</f>
        <v>79860</v>
      </c>
      <c r="L754" t="str">
        <f t="shared" si="11"/>
        <v>2024-05</v>
      </c>
      <c r="M754" t="str">
        <f>VLOOKUP(Table5[[#This Row],[Store ID]],Table4[[Store ID]:[Store Location]],2)</f>
        <v>Glasgow</v>
      </c>
      <c r="N754" t="str">
        <f>VLOOKUP(Table5[[#This Row],[Store ID]],Table4[[Store ID]:[Region]],3)</f>
        <v>Scotland</v>
      </c>
      <c r="O754" t="str">
        <f>VLOOKUP(Table5[[#This Row],[Product ID]],'Product Master'!$A$2:$D$10,4)</f>
        <v>Supplier D</v>
      </c>
      <c r="P754" s="15">
        <f>Table5[[#This Row],[Total Revenue]]-Table5[[#This Row],[Net Sales Revenue]]</f>
        <v>10381.800000000003</v>
      </c>
      <c r="Q754" s="15">
        <f>Table5[[#This Row],[Net Sales Revenue]]/Table5[[#This Row],[Units Sold]]</f>
        <v>26.099999999999998</v>
      </c>
      <c r="R754">
        <f>VLOOKUP(Table5[[#This Row],[Product ID]],'Product Master'!$A$1:$E$10,5,FALSE)</f>
        <v>14</v>
      </c>
      <c r="S754" s="15">
        <f>Table5[[#This Row],[standard product cost per unit]]*Table5[[#This Row],[Units Sold]]</f>
        <v>37268</v>
      </c>
      <c r="T754" s="15">
        <f>Table5[[#This Row],[Cost of Sales]]-Table5[[#This Row],[Standard cost]]</f>
        <v>2981.4400000000023</v>
      </c>
      <c r="U754" s="15">
        <f>Table5[[#This Row],[Net Sales Revenue]]-Table5[[#This Row],[Cost of Sales]]</f>
        <v>29228.759999999995</v>
      </c>
      <c r="V754" s="17">
        <f>Table5[[#This Row],[GrossProfit]]/Table5[[#This Row],[Net Sales Revenue]]</f>
        <v>0.42068965517241375</v>
      </c>
    </row>
    <row r="755" spans="1:22" ht="14.25" customHeight="1" x14ac:dyDescent="0.25">
      <c r="A755" s="1" t="s">
        <v>837</v>
      </c>
      <c r="B755" s="1" t="s">
        <v>804</v>
      </c>
      <c r="C755" s="1" t="s">
        <v>52</v>
      </c>
      <c r="D755" s="1" t="s">
        <v>25</v>
      </c>
      <c r="E755" s="1" t="s">
        <v>27</v>
      </c>
      <c r="F755" s="1">
        <v>2978</v>
      </c>
      <c r="G755" s="14">
        <v>40</v>
      </c>
      <c r="H755" s="1">
        <v>0.15</v>
      </c>
      <c r="I755" s="14">
        <v>101252</v>
      </c>
      <c r="J755" s="14">
        <v>64324.800000000003</v>
      </c>
      <c r="K755" s="15">
        <f>Table5[[#This Row],[Selling Price]]*Table5[[#This Row],[Units Sold]]</f>
        <v>119120</v>
      </c>
      <c r="L755" t="str">
        <f t="shared" si="11"/>
        <v>2024-05</v>
      </c>
      <c r="M755" t="str">
        <f>VLOOKUP(Table5[[#This Row],[Store ID]],Table4[[Store ID]:[Store Location]],2)</f>
        <v>Glasgow</v>
      </c>
      <c r="N755" t="str">
        <f>VLOOKUP(Table5[[#This Row],[Store ID]],Table4[[Store ID]:[Region]],3)</f>
        <v>Scotland</v>
      </c>
      <c r="O755" t="str">
        <f>VLOOKUP(Table5[[#This Row],[Product ID]],'Product Master'!$A$2:$D$10,4)</f>
        <v>Supplier E</v>
      </c>
      <c r="P755" s="15">
        <f>Table5[[#This Row],[Total Revenue]]-Table5[[#This Row],[Net Sales Revenue]]</f>
        <v>17868</v>
      </c>
      <c r="Q755" s="15">
        <f>Table5[[#This Row],[Net Sales Revenue]]/Table5[[#This Row],[Units Sold]]</f>
        <v>34</v>
      </c>
      <c r="R755">
        <f>VLOOKUP(Table5[[#This Row],[Product ID]],'Product Master'!$A$1:$E$10,5,FALSE)</f>
        <v>20</v>
      </c>
      <c r="S755" s="15">
        <f>Table5[[#This Row],[standard product cost per unit]]*Table5[[#This Row],[Units Sold]]</f>
        <v>59560</v>
      </c>
      <c r="T755" s="15">
        <f>Table5[[#This Row],[Cost of Sales]]-Table5[[#This Row],[Standard cost]]</f>
        <v>4764.8000000000029</v>
      </c>
      <c r="U755" s="15">
        <f>Table5[[#This Row],[Net Sales Revenue]]-Table5[[#This Row],[Cost of Sales]]</f>
        <v>36927.199999999997</v>
      </c>
      <c r="V755" s="17">
        <f>Table5[[#This Row],[GrossProfit]]/Table5[[#This Row],[Net Sales Revenue]]</f>
        <v>0.36470588235294116</v>
      </c>
    </row>
    <row r="756" spans="1:22" ht="14.25" customHeight="1" x14ac:dyDescent="0.25">
      <c r="A756" s="1" t="s">
        <v>838</v>
      </c>
      <c r="B756" s="1" t="s">
        <v>804</v>
      </c>
      <c r="C756" s="1" t="s">
        <v>52</v>
      </c>
      <c r="D756" s="1" t="s">
        <v>29</v>
      </c>
      <c r="E756" s="1" t="s">
        <v>31</v>
      </c>
      <c r="F756" s="1">
        <v>1584</v>
      </c>
      <c r="G756" s="14">
        <v>10</v>
      </c>
      <c r="H756" s="1">
        <v>0.12</v>
      </c>
      <c r="I756" s="14">
        <v>13939.2</v>
      </c>
      <c r="J756" s="14">
        <v>6842.88</v>
      </c>
      <c r="K756" s="15">
        <f>Table5[[#This Row],[Selling Price]]*Table5[[#This Row],[Units Sold]]</f>
        <v>15840</v>
      </c>
      <c r="L756" t="str">
        <f t="shared" si="11"/>
        <v>2024-05</v>
      </c>
      <c r="M756" t="str">
        <f>VLOOKUP(Table5[[#This Row],[Store ID]],Table4[[Store ID]:[Store Location]],2)</f>
        <v>Glasgow</v>
      </c>
      <c r="N756" t="str">
        <f>VLOOKUP(Table5[[#This Row],[Store ID]],Table4[[Store ID]:[Region]],3)</f>
        <v>Scotland</v>
      </c>
      <c r="O756" t="str">
        <f>VLOOKUP(Table5[[#This Row],[Product ID]],'Product Master'!$A$2:$D$10,4)</f>
        <v>Supplier F</v>
      </c>
      <c r="P756" s="15">
        <f>Table5[[#This Row],[Total Revenue]]-Table5[[#This Row],[Net Sales Revenue]]</f>
        <v>1900.7999999999993</v>
      </c>
      <c r="Q756" s="15">
        <f>Table5[[#This Row],[Net Sales Revenue]]/Table5[[#This Row],[Units Sold]]</f>
        <v>8.8000000000000007</v>
      </c>
      <c r="R756">
        <f>VLOOKUP(Table5[[#This Row],[Product ID]],'Product Master'!$A$1:$E$10,5,FALSE)</f>
        <v>4</v>
      </c>
      <c r="S756" s="15">
        <f>Table5[[#This Row],[standard product cost per unit]]*Table5[[#This Row],[Units Sold]]</f>
        <v>6336</v>
      </c>
      <c r="T756" s="15">
        <f>Table5[[#This Row],[Cost of Sales]]-Table5[[#This Row],[Standard cost]]</f>
        <v>506.88000000000011</v>
      </c>
      <c r="U756" s="15">
        <f>Table5[[#This Row],[Net Sales Revenue]]-Table5[[#This Row],[Cost of Sales]]</f>
        <v>7096.3200000000006</v>
      </c>
      <c r="V756" s="17">
        <f>Table5[[#This Row],[GrossProfit]]/Table5[[#This Row],[Net Sales Revenue]]</f>
        <v>0.50909090909090915</v>
      </c>
    </row>
    <row r="757" spans="1:22" ht="14.25" customHeight="1" x14ac:dyDescent="0.25">
      <c r="A757" s="1" t="s">
        <v>839</v>
      </c>
      <c r="B757" s="1" t="s">
        <v>804</v>
      </c>
      <c r="C757" s="1" t="s">
        <v>52</v>
      </c>
      <c r="D757" s="1" t="s">
        <v>33</v>
      </c>
      <c r="E757" s="1" t="s">
        <v>31</v>
      </c>
      <c r="F757" s="1">
        <v>2002</v>
      </c>
      <c r="G757" s="14">
        <v>22</v>
      </c>
      <c r="H757" s="1">
        <v>0.15</v>
      </c>
      <c r="I757" s="14">
        <v>37437.4</v>
      </c>
      <c r="J757" s="14">
        <v>21621.599999999999</v>
      </c>
      <c r="K757" s="15">
        <f>Table5[[#This Row],[Selling Price]]*Table5[[#This Row],[Units Sold]]</f>
        <v>44044</v>
      </c>
      <c r="L757" t="str">
        <f t="shared" si="11"/>
        <v>2024-05</v>
      </c>
      <c r="M757" t="str">
        <f>VLOOKUP(Table5[[#This Row],[Store ID]],Table4[[Store ID]:[Store Location]],2)</f>
        <v>Glasgow</v>
      </c>
      <c r="N757" t="str">
        <f>VLOOKUP(Table5[[#This Row],[Store ID]],Table4[[Store ID]:[Region]],3)</f>
        <v>Scotland</v>
      </c>
      <c r="O757" t="str">
        <f>VLOOKUP(Table5[[#This Row],[Product ID]],'Product Master'!$A$2:$D$10,4)</f>
        <v>Supplier F</v>
      </c>
      <c r="P757" s="15">
        <f>Table5[[#This Row],[Total Revenue]]-Table5[[#This Row],[Net Sales Revenue]]</f>
        <v>6606.5999999999985</v>
      </c>
      <c r="Q757" s="15">
        <f>Table5[[#This Row],[Net Sales Revenue]]/Table5[[#This Row],[Units Sold]]</f>
        <v>18.7</v>
      </c>
      <c r="R757">
        <f>VLOOKUP(Table5[[#This Row],[Product ID]],'Product Master'!$A$1:$E$10,5,FALSE)</f>
        <v>10</v>
      </c>
      <c r="S757" s="15">
        <f>Table5[[#This Row],[standard product cost per unit]]*Table5[[#This Row],[Units Sold]]</f>
        <v>20020</v>
      </c>
      <c r="T757" s="15">
        <f>Table5[[#This Row],[Cost of Sales]]-Table5[[#This Row],[Standard cost]]</f>
        <v>1601.5999999999985</v>
      </c>
      <c r="U757" s="15">
        <f>Table5[[#This Row],[Net Sales Revenue]]-Table5[[#This Row],[Cost of Sales]]</f>
        <v>15815.800000000003</v>
      </c>
      <c r="V757" s="17">
        <f>Table5[[#This Row],[GrossProfit]]/Table5[[#This Row],[Net Sales Revenue]]</f>
        <v>0.42245989304812842</v>
      </c>
    </row>
    <row r="758" spans="1:22" ht="14.25" customHeight="1" x14ac:dyDescent="0.25">
      <c r="A758" s="1" t="s">
        <v>840</v>
      </c>
      <c r="B758" s="1" t="s">
        <v>804</v>
      </c>
      <c r="C758" s="1" t="s">
        <v>56</v>
      </c>
      <c r="D758" s="1" t="s">
        <v>6</v>
      </c>
      <c r="E758" s="1" t="s">
        <v>8</v>
      </c>
      <c r="F758" s="1">
        <v>1720</v>
      </c>
      <c r="G758" s="14">
        <v>24</v>
      </c>
      <c r="H758" s="1">
        <v>0.12</v>
      </c>
      <c r="I758" s="14">
        <v>36326.400000000001</v>
      </c>
      <c r="J758" s="14">
        <v>22291.200000000001</v>
      </c>
      <c r="K758" s="15">
        <f>Table5[[#This Row],[Selling Price]]*Table5[[#This Row],[Units Sold]]</f>
        <v>41280</v>
      </c>
      <c r="L758" t="str">
        <f t="shared" si="11"/>
        <v>2024-05</v>
      </c>
      <c r="M758" t="str">
        <f>VLOOKUP(Table5[[#This Row],[Store ID]],Table4[[Store ID]:[Store Location]],2)</f>
        <v>Leeds</v>
      </c>
      <c r="N758" t="str">
        <f>VLOOKUP(Table5[[#This Row],[Store ID]],Table4[[Store ID]:[Region]],3)</f>
        <v>North</v>
      </c>
      <c r="O758" t="str">
        <f>VLOOKUP(Table5[[#This Row],[Product ID]],'Product Master'!$A$2:$D$10,4)</f>
        <v>Supplier A</v>
      </c>
      <c r="P758" s="15">
        <f>Table5[[#This Row],[Total Revenue]]-Table5[[#This Row],[Net Sales Revenue]]</f>
        <v>4953.5999999999985</v>
      </c>
      <c r="Q758" s="15">
        <f>Table5[[#This Row],[Net Sales Revenue]]/Table5[[#This Row],[Units Sold]]</f>
        <v>21.12</v>
      </c>
      <c r="R758">
        <f>VLOOKUP(Table5[[#This Row],[Product ID]],'Product Master'!$A$1:$E$10,5,FALSE)</f>
        <v>12</v>
      </c>
      <c r="S758" s="15">
        <f>Table5[[#This Row],[standard product cost per unit]]*Table5[[#This Row],[Units Sold]]</f>
        <v>20640</v>
      </c>
      <c r="T758" s="15">
        <f>Table5[[#This Row],[Cost of Sales]]-Table5[[#This Row],[Standard cost]]</f>
        <v>1651.2000000000007</v>
      </c>
      <c r="U758" s="15">
        <f>Table5[[#This Row],[Net Sales Revenue]]-Table5[[#This Row],[Cost of Sales]]</f>
        <v>14035.2</v>
      </c>
      <c r="V758" s="17">
        <f>Table5[[#This Row],[GrossProfit]]/Table5[[#This Row],[Net Sales Revenue]]</f>
        <v>0.38636363636363635</v>
      </c>
    </row>
    <row r="759" spans="1:22" ht="14.25" customHeight="1" x14ac:dyDescent="0.25">
      <c r="A759" s="1" t="s">
        <v>841</v>
      </c>
      <c r="B759" s="1" t="s">
        <v>804</v>
      </c>
      <c r="C759" s="1" t="s">
        <v>56</v>
      </c>
      <c r="D759" s="1" t="s">
        <v>10</v>
      </c>
      <c r="E759" s="1" t="s">
        <v>8</v>
      </c>
      <c r="F759" s="1">
        <v>2191</v>
      </c>
      <c r="G759" s="14">
        <v>50</v>
      </c>
      <c r="H759" s="1">
        <v>0.12</v>
      </c>
      <c r="I759" s="14">
        <v>96404</v>
      </c>
      <c r="J759" s="14">
        <v>66255.839999999997</v>
      </c>
      <c r="K759" s="15">
        <f>Table5[[#This Row],[Selling Price]]*Table5[[#This Row],[Units Sold]]</f>
        <v>109550</v>
      </c>
      <c r="L759" t="str">
        <f t="shared" si="11"/>
        <v>2024-05</v>
      </c>
      <c r="M759" t="str">
        <f>VLOOKUP(Table5[[#This Row],[Store ID]],Table4[[Store ID]:[Store Location]],2)</f>
        <v>Leeds</v>
      </c>
      <c r="N759" t="str">
        <f>VLOOKUP(Table5[[#This Row],[Store ID]],Table4[[Store ID]:[Region]],3)</f>
        <v>North</v>
      </c>
      <c r="O759" t="str">
        <f>VLOOKUP(Table5[[#This Row],[Product ID]],'Product Master'!$A$2:$D$10,4)</f>
        <v>Supplier B</v>
      </c>
      <c r="P759" s="15">
        <f>Table5[[#This Row],[Total Revenue]]-Table5[[#This Row],[Net Sales Revenue]]</f>
        <v>13146</v>
      </c>
      <c r="Q759" s="15">
        <f>Table5[[#This Row],[Net Sales Revenue]]/Table5[[#This Row],[Units Sold]]</f>
        <v>44</v>
      </c>
      <c r="R759">
        <f>VLOOKUP(Table5[[#This Row],[Product ID]],'Product Master'!$A$1:$E$10,5,FALSE)</f>
        <v>28</v>
      </c>
      <c r="S759" s="15">
        <f>Table5[[#This Row],[standard product cost per unit]]*Table5[[#This Row],[Units Sold]]</f>
        <v>61348</v>
      </c>
      <c r="T759" s="15">
        <f>Table5[[#This Row],[Cost of Sales]]-Table5[[#This Row],[Standard cost]]</f>
        <v>4907.8399999999965</v>
      </c>
      <c r="U759" s="15">
        <f>Table5[[#This Row],[Net Sales Revenue]]-Table5[[#This Row],[Cost of Sales]]</f>
        <v>30148.160000000003</v>
      </c>
      <c r="V759" s="17">
        <f>Table5[[#This Row],[GrossProfit]]/Table5[[#This Row],[Net Sales Revenue]]</f>
        <v>0.31272727272727274</v>
      </c>
    </row>
    <row r="760" spans="1:22" ht="14.25" customHeight="1" x14ac:dyDescent="0.25">
      <c r="A760" s="1" t="s">
        <v>842</v>
      </c>
      <c r="B760" s="1" t="s">
        <v>804</v>
      </c>
      <c r="C760" s="1" t="s">
        <v>56</v>
      </c>
      <c r="D760" s="1" t="s">
        <v>13</v>
      </c>
      <c r="E760" s="1" t="s">
        <v>15</v>
      </c>
      <c r="F760" s="1">
        <v>2802</v>
      </c>
      <c r="G760" s="14">
        <v>28</v>
      </c>
      <c r="H760" s="1">
        <v>0.14000000000000001</v>
      </c>
      <c r="I760" s="14">
        <v>67472.160000000003</v>
      </c>
      <c r="J760" s="14">
        <v>45392.4</v>
      </c>
      <c r="K760" s="15">
        <f>Table5[[#This Row],[Selling Price]]*Table5[[#This Row],[Units Sold]]</f>
        <v>78456</v>
      </c>
      <c r="L760" t="str">
        <f t="shared" si="11"/>
        <v>2024-05</v>
      </c>
      <c r="M760" t="str">
        <f>VLOOKUP(Table5[[#This Row],[Store ID]],Table4[[Store ID]:[Store Location]],2)</f>
        <v>Leeds</v>
      </c>
      <c r="N760" t="str">
        <f>VLOOKUP(Table5[[#This Row],[Store ID]],Table4[[Store ID]:[Region]],3)</f>
        <v>North</v>
      </c>
      <c r="O760" t="str">
        <f>VLOOKUP(Table5[[#This Row],[Product ID]],'Product Master'!$A$2:$D$10,4)</f>
        <v>Supplier C</v>
      </c>
      <c r="P760" s="15">
        <f>Table5[[#This Row],[Total Revenue]]-Table5[[#This Row],[Net Sales Revenue]]</f>
        <v>10983.839999999997</v>
      </c>
      <c r="Q760" s="15">
        <f>Table5[[#This Row],[Net Sales Revenue]]/Table5[[#This Row],[Units Sold]]</f>
        <v>24.080000000000002</v>
      </c>
      <c r="R760">
        <f>VLOOKUP(Table5[[#This Row],[Product ID]],'Product Master'!$A$1:$E$10,5,FALSE)</f>
        <v>15</v>
      </c>
      <c r="S760" s="15">
        <f>Table5[[#This Row],[standard product cost per unit]]*Table5[[#This Row],[Units Sold]]</f>
        <v>42030</v>
      </c>
      <c r="T760" s="15">
        <f>Table5[[#This Row],[Cost of Sales]]-Table5[[#This Row],[Standard cost]]</f>
        <v>3362.4000000000015</v>
      </c>
      <c r="U760" s="15">
        <f>Table5[[#This Row],[Net Sales Revenue]]-Table5[[#This Row],[Cost of Sales]]</f>
        <v>22079.760000000002</v>
      </c>
      <c r="V760" s="17">
        <f>Table5[[#This Row],[GrossProfit]]/Table5[[#This Row],[Net Sales Revenue]]</f>
        <v>0.32724252491694356</v>
      </c>
    </row>
    <row r="761" spans="1:22" ht="14.25" customHeight="1" x14ac:dyDescent="0.25">
      <c r="A761" s="1" t="s">
        <v>843</v>
      </c>
      <c r="B761" s="1" t="s">
        <v>804</v>
      </c>
      <c r="C761" s="1" t="s">
        <v>56</v>
      </c>
      <c r="D761" s="1" t="s">
        <v>17</v>
      </c>
      <c r="E761" s="1" t="s">
        <v>15</v>
      </c>
      <c r="F761" s="1">
        <v>2094</v>
      </c>
      <c r="G761" s="14">
        <v>35</v>
      </c>
      <c r="H761" s="1">
        <v>0.15</v>
      </c>
      <c r="I761" s="14">
        <v>62296.5</v>
      </c>
      <c r="J761" s="14">
        <v>40707.360000000001</v>
      </c>
      <c r="K761" s="15">
        <f>Table5[[#This Row],[Selling Price]]*Table5[[#This Row],[Units Sold]]</f>
        <v>73290</v>
      </c>
      <c r="L761" t="str">
        <f t="shared" si="11"/>
        <v>2024-05</v>
      </c>
      <c r="M761" t="str">
        <f>VLOOKUP(Table5[[#This Row],[Store ID]],Table4[[Store ID]:[Store Location]],2)</f>
        <v>Leeds</v>
      </c>
      <c r="N761" t="str">
        <f>VLOOKUP(Table5[[#This Row],[Store ID]],Table4[[Store ID]:[Region]],3)</f>
        <v>North</v>
      </c>
      <c r="O761" t="str">
        <f>VLOOKUP(Table5[[#This Row],[Product ID]],'Product Master'!$A$2:$D$10,4)</f>
        <v>Supplier C</v>
      </c>
      <c r="P761" s="15">
        <f>Table5[[#This Row],[Total Revenue]]-Table5[[#This Row],[Net Sales Revenue]]</f>
        <v>10993.5</v>
      </c>
      <c r="Q761" s="15">
        <f>Table5[[#This Row],[Net Sales Revenue]]/Table5[[#This Row],[Units Sold]]</f>
        <v>29.75</v>
      </c>
      <c r="R761">
        <f>VLOOKUP(Table5[[#This Row],[Product ID]],'Product Master'!$A$1:$E$10,5,FALSE)</f>
        <v>18</v>
      </c>
      <c r="S761" s="15">
        <f>Table5[[#This Row],[standard product cost per unit]]*Table5[[#This Row],[Units Sold]]</f>
        <v>37692</v>
      </c>
      <c r="T761" s="15">
        <f>Table5[[#This Row],[Cost of Sales]]-Table5[[#This Row],[Standard cost]]</f>
        <v>3015.3600000000006</v>
      </c>
      <c r="U761" s="15">
        <f>Table5[[#This Row],[Net Sales Revenue]]-Table5[[#This Row],[Cost of Sales]]</f>
        <v>21589.14</v>
      </c>
      <c r="V761" s="17">
        <f>Table5[[#This Row],[GrossProfit]]/Table5[[#This Row],[Net Sales Revenue]]</f>
        <v>0.34655462184873947</v>
      </c>
    </row>
    <row r="762" spans="1:22" ht="14.25" customHeight="1" x14ac:dyDescent="0.25">
      <c r="A762" s="1" t="s">
        <v>844</v>
      </c>
      <c r="B762" s="1" t="s">
        <v>804</v>
      </c>
      <c r="C762" s="1" t="s">
        <v>56</v>
      </c>
      <c r="D762" s="1" t="s">
        <v>19</v>
      </c>
      <c r="E762" s="1" t="s">
        <v>21</v>
      </c>
      <c r="F762" s="1">
        <v>2085</v>
      </c>
      <c r="G762" s="14">
        <v>18</v>
      </c>
      <c r="H762" s="1">
        <v>0.17</v>
      </c>
      <c r="I762" s="14">
        <v>31149.9</v>
      </c>
      <c r="J762" s="14">
        <v>20266.2</v>
      </c>
      <c r="K762" s="15">
        <f>Table5[[#This Row],[Selling Price]]*Table5[[#This Row],[Units Sold]]</f>
        <v>37530</v>
      </c>
      <c r="L762" t="str">
        <f t="shared" si="11"/>
        <v>2024-05</v>
      </c>
      <c r="M762" t="str">
        <f>VLOOKUP(Table5[[#This Row],[Store ID]],Table4[[Store ID]:[Store Location]],2)</f>
        <v>Leeds</v>
      </c>
      <c r="N762" t="str">
        <f>VLOOKUP(Table5[[#This Row],[Store ID]],Table4[[Store ID]:[Region]],3)</f>
        <v>North</v>
      </c>
      <c r="O762" t="str">
        <f>VLOOKUP(Table5[[#This Row],[Product ID]],'Product Master'!$A$2:$D$10,4)</f>
        <v>Supplier D</v>
      </c>
      <c r="P762" s="15">
        <f>Table5[[#This Row],[Total Revenue]]-Table5[[#This Row],[Net Sales Revenue]]</f>
        <v>6380.0999999999985</v>
      </c>
      <c r="Q762" s="15">
        <f>Table5[[#This Row],[Net Sales Revenue]]/Table5[[#This Row],[Units Sold]]</f>
        <v>14.940000000000001</v>
      </c>
      <c r="R762">
        <f>VLOOKUP(Table5[[#This Row],[Product ID]],'Product Master'!$A$1:$E$10,5,FALSE)</f>
        <v>9</v>
      </c>
      <c r="S762" s="15">
        <f>Table5[[#This Row],[standard product cost per unit]]*Table5[[#This Row],[Units Sold]]</f>
        <v>18765</v>
      </c>
      <c r="T762" s="15">
        <f>Table5[[#This Row],[Cost of Sales]]-Table5[[#This Row],[Standard cost]]</f>
        <v>1501.2000000000007</v>
      </c>
      <c r="U762" s="15">
        <f>Table5[[#This Row],[Net Sales Revenue]]-Table5[[#This Row],[Cost of Sales]]</f>
        <v>10883.7</v>
      </c>
      <c r="V762" s="17">
        <f>Table5[[#This Row],[GrossProfit]]/Table5[[#This Row],[Net Sales Revenue]]</f>
        <v>0.3493975903614458</v>
      </c>
    </row>
    <row r="763" spans="1:22" ht="14.25" customHeight="1" x14ac:dyDescent="0.25">
      <c r="A763" s="1" t="s">
        <v>845</v>
      </c>
      <c r="B763" s="1" t="s">
        <v>804</v>
      </c>
      <c r="C763" s="1" t="s">
        <v>56</v>
      </c>
      <c r="D763" s="1" t="s">
        <v>23</v>
      </c>
      <c r="E763" s="1" t="s">
        <v>21</v>
      </c>
      <c r="F763" s="1">
        <v>2930</v>
      </c>
      <c r="G763" s="14">
        <v>30</v>
      </c>
      <c r="H763" s="1">
        <v>0.13</v>
      </c>
      <c r="I763" s="14">
        <v>76473</v>
      </c>
      <c r="J763" s="14">
        <v>44301.599999999999</v>
      </c>
      <c r="K763" s="15">
        <f>Table5[[#This Row],[Selling Price]]*Table5[[#This Row],[Units Sold]]</f>
        <v>87900</v>
      </c>
      <c r="L763" t="str">
        <f t="shared" si="11"/>
        <v>2024-05</v>
      </c>
      <c r="M763" t="str">
        <f>VLOOKUP(Table5[[#This Row],[Store ID]],Table4[[Store ID]:[Store Location]],2)</f>
        <v>Leeds</v>
      </c>
      <c r="N763" t="str">
        <f>VLOOKUP(Table5[[#This Row],[Store ID]],Table4[[Store ID]:[Region]],3)</f>
        <v>North</v>
      </c>
      <c r="O763" t="str">
        <f>VLOOKUP(Table5[[#This Row],[Product ID]],'Product Master'!$A$2:$D$10,4)</f>
        <v>Supplier D</v>
      </c>
      <c r="P763" s="15">
        <f>Table5[[#This Row],[Total Revenue]]-Table5[[#This Row],[Net Sales Revenue]]</f>
        <v>11427</v>
      </c>
      <c r="Q763" s="15">
        <f>Table5[[#This Row],[Net Sales Revenue]]/Table5[[#This Row],[Units Sold]]</f>
        <v>26.1</v>
      </c>
      <c r="R763">
        <f>VLOOKUP(Table5[[#This Row],[Product ID]],'Product Master'!$A$1:$E$10,5,FALSE)</f>
        <v>14</v>
      </c>
      <c r="S763" s="15">
        <f>Table5[[#This Row],[standard product cost per unit]]*Table5[[#This Row],[Units Sold]]</f>
        <v>41020</v>
      </c>
      <c r="T763" s="15">
        <f>Table5[[#This Row],[Cost of Sales]]-Table5[[#This Row],[Standard cost]]</f>
        <v>3281.5999999999985</v>
      </c>
      <c r="U763" s="15">
        <f>Table5[[#This Row],[Net Sales Revenue]]-Table5[[#This Row],[Cost of Sales]]</f>
        <v>32171.4</v>
      </c>
      <c r="V763" s="17">
        <f>Table5[[#This Row],[GrossProfit]]/Table5[[#This Row],[Net Sales Revenue]]</f>
        <v>0.4206896551724138</v>
      </c>
    </row>
    <row r="764" spans="1:22" ht="14.25" customHeight="1" x14ac:dyDescent="0.25">
      <c r="A764" s="1" t="s">
        <v>846</v>
      </c>
      <c r="B764" s="1" t="s">
        <v>804</v>
      </c>
      <c r="C764" s="1" t="s">
        <v>56</v>
      </c>
      <c r="D764" s="1" t="s">
        <v>25</v>
      </c>
      <c r="E764" s="1" t="s">
        <v>27</v>
      </c>
      <c r="F764" s="1">
        <v>2657</v>
      </c>
      <c r="G764" s="14">
        <v>40</v>
      </c>
      <c r="H764" s="1">
        <v>0.16</v>
      </c>
      <c r="I764" s="14">
        <v>89275.199999999997</v>
      </c>
      <c r="J764" s="14">
        <v>57391.199999999997</v>
      </c>
      <c r="K764" s="15">
        <f>Table5[[#This Row],[Selling Price]]*Table5[[#This Row],[Units Sold]]</f>
        <v>106280</v>
      </c>
      <c r="L764" t="str">
        <f t="shared" si="11"/>
        <v>2024-05</v>
      </c>
      <c r="M764" t="str">
        <f>VLOOKUP(Table5[[#This Row],[Store ID]],Table4[[Store ID]:[Store Location]],2)</f>
        <v>Leeds</v>
      </c>
      <c r="N764" t="str">
        <f>VLOOKUP(Table5[[#This Row],[Store ID]],Table4[[Store ID]:[Region]],3)</f>
        <v>North</v>
      </c>
      <c r="O764" t="str">
        <f>VLOOKUP(Table5[[#This Row],[Product ID]],'Product Master'!$A$2:$D$10,4)</f>
        <v>Supplier E</v>
      </c>
      <c r="P764" s="15">
        <f>Table5[[#This Row],[Total Revenue]]-Table5[[#This Row],[Net Sales Revenue]]</f>
        <v>17004.800000000003</v>
      </c>
      <c r="Q764" s="15">
        <f>Table5[[#This Row],[Net Sales Revenue]]/Table5[[#This Row],[Units Sold]]</f>
        <v>33.6</v>
      </c>
      <c r="R764">
        <f>VLOOKUP(Table5[[#This Row],[Product ID]],'Product Master'!$A$1:$E$10,5,FALSE)</f>
        <v>20</v>
      </c>
      <c r="S764" s="15">
        <f>Table5[[#This Row],[standard product cost per unit]]*Table5[[#This Row],[Units Sold]]</f>
        <v>53140</v>
      </c>
      <c r="T764" s="15">
        <f>Table5[[#This Row],[Cost of Sales]]-Table5[[#This Row],[Standard cost]]</f>
        <v>4251.1999999999971</v>
      </c>
      <c r="U764" s="15">
        <f>Table5[[#This Row],[Net Sales Revenue]]-Table5[[#This Row],[Cost of Sales]]</f>
        <v>31884</v>
      </c>
      <c r="V764" s="17">
        <f>Table5[[#This Row],[GrossProfit]]/Table5[[#This Row],[Net Sales Revenue]]</f>
        <v>0.35714285714285715</v>
      </c>
    </row>
    <row r="765" spans="1:22" ht="14.25" customHeight="1" x14ac:dyDescent="0.25">
      <c r="A765" s="1" t="s">
        <v>847</v>
      </c>
      <c r="B765" s="1" t="s">
        <v>804</v>
      </c>
      <c r="C765" s="1" t="s">
        <v>56</v>
      </c>
      <c r="D765" s="1" t="s">
        <v>29</v>
      </c>
      <c r="E765" s="1" t="s">
        <v>31</v>
      </c>
      <c r="F765" s="1">
        <v>2503</v>
      </c>
      <c r="G765" s="14">
        <v>10</v>
      </c>
      <c r="H765" s="1">
        <v>0.16</v>
      </c>
      <c r="I765" s="14">
        <v>21025.200000000001</v>
      </c>
      <c r="J765" s="14">
        <v>10812.96</v>
      </c>
      <c r="K765" s="15">
        <f>Table5[[#This Row],[Selling Price]]*Table5[[#This Row],[Units Sold]]</f>
        <v>25030</v>
      </c>
      <c r="L765" t="str">
        <f t="shared" si="11"/>
        <v>2024-05</v>
      </c>
      <c r="M765" t="str">
        <f>VLOOKUP(Table5[[#This Row],[Store ID]],Table4[[Store ID]:[Store Location]],2)</f>
        <v>Leeds</v>
      </c>
      <c r="N765" t="str">
        <f>VLOOKUP(Table5[[#This Row],[Store ID]],Table4[[Store ID]:[Region]],3)</f>
        <v>North</v>
      </c>
      <c r="O765" t="str">
        <f>VLOOKUP(Table5[[#This Row],[Product ID]],'Product Master'!$A$2:$D$10,4)</f>
        <v>Supplier F</v>
      </c>
      <c r="P765" s="15">
        <f>Table5[[#This Row],[Total Revenue]]-Table5[[#This Row],[Net Sales Revenue]]</f>
        <v>4004.7999999999993</v>
      </c>
      <c r="Q765" s="15">
        <f>Table5[[#This Row],[Net Sales Revenue]]/Table5[[#This Row],[Units Sold]]</f>
        <v>8.4</v>
      </c>
      <c r="R765">
        <f>VLOOKUP(Table5[[#This Row],[Product ID]],'Product Master'!$A$1:$E$10,5,FALSE)</f>
        <v>4</v>
      </c>
      <c r="S765" s="15">
        <f>Table5[[#This Row],[standard product cost per unit]]*Table5[[#This Row],[Units Sold]]</f>
        <v>10012</v>
      </c>
      <c r="T765" s="15">
        <f>Table5[[#This Row],[Cost of Sales]]-Table5[[#This Row],[Standard cost]]</f>
        <v>800.95999999999913</v>
      </c>
      <c r="U765" s="15">
        <f>Table5[[#This Row],[Net Sales Revenue]]-Table5[[#This Row],[Cost of Sales]]</f>
        <v>10212.240000000002</v>
      </c>
      <c r="V765" s="17">
        <f>Table5[[#This Row],[GrossProfit]]/Table5[[#This Row],[Net Sales Revenue]]</f>
        <v>0.48571428571428577</v>
      </c>
    </row>
    <row r="766" spans="1:22" ht="14.25" customHeight="1" x14ac:dyDescent="0.25">
      <c r="A766" s="1" t="s">
        <v>848</v>
      </c>
      <c r="B766" s="1" t="s">
        <v>804</v>
      </c>
      <c r="C766" s="1" t="s">
        <v>56</v>
      </c>
      <c r="D766" s="1" t="s">
        <v>33</v>
      </c>
      <c r="E766" s="1" t="s">
        <v>31</v>
      </c>
      <c r="F766" s="1">
        <v>1438</v>
      </c>
      <c r="G766" s="14">
        <v>22</v>
      </c>
      <c r="H766" s="1">
        <v>0.16</v>
      </c>
      <c r="I766" s="14">
        <v>26574.240000000002</v>
      </c>
      <c r="J766" s="14">
        <v>15530.4</v>
      </c>
      <c r="K766" s="15">
        <f>Table5[[#This Row],[Selling Price]]*Table5[[#This Row],[Units Sold]]</f>
        <v>31636</v>
      </c>
      <c r="L766" t="str">
        <f t="shared" si="11"/>
        <v>2024-05</v>
      </c>
      <c r="M766" t="str">
        <f>VLOOKUP(Table5[[#This Row],[Store ID]],Table4[[Store ID]:[Store Location]],2)</f>
        <v>Leeds</v>
      </c>
      <c r="N766" t="str">
        <f>VLOOKUP(Table5[[#This Row],[Store ID]],Table4[[Store ID]:[Region]],3)</f>
        <v>North</v>
      </c>
      <c r="O766" t="str">
        <f>VLOOKUP(Table5[[#This Row],[Product ID]],'Product Master'!$A$2:$D$10,4)</f>
        <v>Supplier F</v>
      </c>
      <c r="P766" s="15">
        <f>Table5[[#This Row],[Total Revenue]]-Table5[[#This Row],[Net Sales Revenue]]</f>
        <v>5061.7599999999984</v>
      </c>
      <c r="Q766" s="15">
        <f>Table5[[#This Row],[Net Sales Revenue]]/Table5[[#This Row],[Units Sold]]</f>
        <v>18.48</v>
      </c>
      <c r="R766">
        <f>VLOOKUP(Table5[[#This Row],[Product ID]],'Product Master'!$A$1:$E$10,5,FALSE)</f>
        <v>10</v>
      </c>
      <c r="S766" s="15">
        <f>Table5[[#This Row],[standard product cost per unit]]*Table5[[#This Row],[Units Sold]]</f>
        <v>14380</v>
      </c>
      <c r="T766" s="15">
        <f>Table5[[#This Row],[Cost of Sales]]-Table5[[#This Row],[Standard cost]]</f>
        <v>1150.3999999999996</v>
      </c>
      <c r="U766" s="15">
        <f>Table5[[#This Row],[Net Sales Revenue]]-Table5[[#This Row],[Cost of Sales]]</f>
        <v>11043.840000000002</v>
      </c>
      <c r="V766" s="17">
        <f>Table5[[#This Row],[GrossProfit]]/Table5[[#This Row],[Net Sales Revenue]]</f>
        <v>0.41558441558441561</v>
      </c>
    </row>
    <row r="767" spans="1:22" ht="14.25" customHeight="1" x14ac:dyDescent="0.25">
      <c r="A767" s="1" t="s">
        <v>849</v>
      </c>
      <c r="B767" s="1" t="s">
        <v>850</v>
      </c>
      <c r="C767" s="1" t="s">
        <v>40</v>
      </c>
      <c r="D767" s="1" t="s">
        <v>6</v>
      </c>
      <c r="E767" s="1" t="s">
        <v>8</v>
      </c>
      <c r="F767" s="1">
        <v>2420</v>
      </c>
      <c r="G767" s="14">
        <v>24</v>
      </c>
      <c r="H767" s="1">
        <v>0.15</v>
      </c>
      <c r="I767" s="14">
        <v>49368</v>
      </c>
      <c r="J767" s="14">
        <v>31363.200000000001</v>
      </c>
      <c r="K767" s="15">
        <f>Table5[[#This Row],[Selling Price]]*Table5[[#This Row],[Units Sold]]</f>
        <v>58080</v>
      </c>
      <c r="L767" t="str">
        <f t="shared" si="11"/>
        <v>2024-06</v>
      </c>
      <c r="M767" t="str">
        <f>VLOOKUP(Table5[[#This Row],[Store ID]],Table4[[Store ID]:[Store Location]],2)</f>
        <v>Manchester</v>
      </c>
      <c r="N767" t="str">
        <f>VLOOKUP(Table5[[#This Row],[Store ID]],Table4[[Store ID]:[Region]],3)</f>
        <v>North</v>
      </c>
      <c r="O767" t="str">
        <f>VLOOKUP(Table5[[#This Row],[Product ID]],'Product Master'!$A$2:$D$10,4)</f>
        <v>Supplier A</v>
      </c>
      <c r="P767" s="15">
        <f>Table5[[#This Row],[Total Revenue]]-Table5[[#This Row],[Net Sales Revenue]]</f>
        <v>8712</v>
      </c>
      <c r="Q767" s="15">
        <f>Table5[[#This Row],[Net Sales Revenue]]/Table5[[#This Row],[Units Sold]]</f>
        <v>20.399999999999999</v>
      </c>
      <c r="R767">
        <f>VLOOKUP(Table5[[#This Row],[Product ID]],'Product Master'!$A$1:$E$10,5,FALSE)</f>
        <v>12</v>
      </c>
      <c r="S767" s="15">
        <f>Table5[[#This Row],[standard product cost per unit]]*Table5[[#This Row],[Units Sold]]</f>
        <v>29040</v>
      </c>
      <c r="T767" s="15">
        <f>Table5[[#This Row],[Cost of Sales]]-Table5[[#This Row],[Standard cost]]</f>
        <v>2323.2000000000007</v>
      </c>
      <c r="U767" s="15">
        <f>Table5[[#This Row],[Net Sales Revenue]]-Table5[[#This Row],[Cost of Sales]]</f>
        <v>18004.8</v>
      </c>
      <c r="V767" s="17">
        <f>Table5[[#This Row],[GrossProfit]]/Table5[[#This Row],[Net Sales Revenue]]</f>
        <v>0.36470588235294116</v>
      </c>
    </row>
    <row r="768" spans="1:22" ht="14.25" customHeight="1" x14ac:dyDescent="0.25">
      <c r="A768" s="1" t="s">
        <v>851</v>
      </c>
      <c r="B768" s="1" t="s">
        <v>850</v>
      </c>
      <c r="C768" s="1" t="s">
        <v>40</v>
      </c>
      <c r="D768" s="1" t="s">
        <v>10</v>
      </c>
      <c r="E768" s="1" t="s">
        <v>8</v>
      </c>
      <c r="F768" s="1">
        <v>1328</v>
      </c>
      <c r="G768" s="14">
        <v>50</v>
      </c>
      <c r="H768" s="1">
        <v>0.14000000000000001</v>
      </c>
      <c r="I768" s="14">
        <v>57104</v>
      </c>
      <c r="J768" s="14">
        <v>40158.720000000001</v>
      </c>
      <c r="K768" s="15">
        <f>Table5[[#This Row],[Selling Price]]*Table5[[#This Row],[Units Sold]]</f>
        <v>66400</v>
      </c>
      <c r="L768" t="str">
        <f t="shared" si="11"/>
        <v>2024-06</v>
      </c>
      <c r="M768" t="str">
        <f>VLOOKUP(Table5[[#This Row],[Store ID]],Table4[[Store ID]:[Store Location]],2)</f>
        <v>Manchester</v>
      </c>
      <c r="N768" t="str">
        <f>VLOOKUP(Table5[[#This Row],[Store ID]],Table4[[Store ID]:[Region]],3)</f>
        <v>North</v>
      </c>
      <c r="O768" t="str">
        <f>VLOOKUP(Table5[[#This Row],[Product ID]],'Product Master'!$A$2:$D$10,4)</f>
        <v>Supplier B</v>
      </c>
      <c r="P768" s="15">
        <f>Table5[[#This Row],[Total Revenue]]-Table5[[#This Row],[Net Sales Revenue]]</f>
        <v>9296</v>
      </c>
      <c r="Q768" s="15">
        <f>Table5[[#This Row],[Net Sales Revenue]]/Table5[[#This Row],[Units Sold]]</f>
        <v>43</v>
      </c>
      <c r="R768">
        <f>VLOOKUP(Table5[[#This Row],[Product ID]],'Product Master'!$A$1:$E$10,5,FALSE)</f>
        <v>28</v>
      </c>
      <c r="S768" s="15">
        <f>Table5[[#This Row],[standard product cost per unit]]*Table5[[#This Row],[Units Sold]]</f>
        <v>37184</v>
      </c>
      <c r="T768" s="15">
        <f>Table5[[#This Row],[Cost of Sales]]-Table5[[#This Row],[Standard cost]]</f>
        <v>2974.7200000000012</v>
      </c>
      <c r="U768" s="15">
        <f>Table5[[#This Row],[Net Sales Revenue]]-Table5[[#This Row],[Cost of Sales]]</f>
        <v>16945.28</v>
      </c>
      <c r="V768" s="17">
        <f>Table5[[#This Row],[GrossProfit]]/Table5[[#This Row],[Net Sales Revenue]]</f>
        <v>0.29674418604651159</v>
      </c>
    </row>
    <row r="769" spans="1:22" ht="14.25" customHeight="1" x14ac:dyDescent="0.25">
      <c r="A769" s="1" t="s">
        <v>852</v>
      </c>
      <c r="B769" s="1" t="s">
        <v>850</v>
      </c>
      <c r="C769" s="1" t="s">
        <v>40</v>
      </c>
      <c r="D769" s="1" t="s">
        <v>13</v>
      </c>
      <c r="E769" s="1" t="s">
        <v>15</v>
      </c>
      <c r="F769" s="1">
        <v>2939</v>
      </c>
      <c r="G769" s="14">
        <v>28</v>
      </c>
      <c r="H769" s="1">
        <v>0.13</v>
      </c>
      <c r="I769" s="14">
        <v>71594.039999999994</v>
      </c>
      <c r="J769" s="14">
        <v>47611.8</v>
      </c>
      <c r="K769" s="15">
        <f>Table5[[#This Row],[Selling Price]]*Table5[[#This Row],[Units Sold]]</f>
        <v>82292</v>
      </c>
      <c r="L769" t="str">
        <f t="shared" si="11"/>
        <v>2024-06</v>
      </c>
      <c r="M769" t="str">
        <f>VLOOKUP(Table5[[#This Row],[Store ID]],Table4[[Store ID]:[Store Location]],2)</f>
        <v>Manchester</v>
      </c>
      <c r="N769" t="str">
        <f>VLOOKUP(Table5[[#This Row],[Store ID]],Table4[[Store ID]:[Region]],3)</f>
        <v>North</v>
      </c>
      <c r="O769" t="str">
        <f>VLOOKUP(Table5[[#This Row],[Product ID]],'Product Master'!$A$2:$D$10,4)</f>
        <v>Supplier C</v>
      </c>
      <c r="P769" s="15">
        <f>Table5[[#This Row],[Total Revenue]]-Table5[[#This Row],[Net Sales Revenue]]</f>
        <v>10697.960000000006</v>
      </c>
      <c r="Q769" s="15">
        <f>Table5[[#This Row],[Net Sales Revenue]]/Table5[[#This Row],[Units Sold]]</f>
        <v>24.36</v>
      </c>
      <c r="R769">
        <f>VLOOKUP(Table5[[#This Row],[Product ID]],'Product Master'!$A$1:$E$10,5,FALSE)</f>
        <v>15</v>
      </c>
      <c r="S769" s="15">
        <f>Table5[[#This Row],[standard product cost per unit]]*Table5[[#This Row],[Units Sold]]</f>
        <v>44085</v>
      </c>
      <c r="T769" s="15">
        <f>Table5[[#This Row],[Cost of Sales]]-Table5[[#This Row],[Standard cost]]</f>
        <v>3526.8000000000029</v>
      </c>
      <c r="U769" s="15">
        <f>Table5[[#This Row],[Net Sales Revenue]]-Table5[[#This Row],[Cost of Sales]]</f>
        <v>23982.239999999991</v>
      </c>
      <c r="V769" s="17">
        <f>Table5[[#This Row],[GrossProfit]]/Table5[[#This Row],[Net Sales Revenue]]</f>
        <v>0.334975369458128</v>
      </c>
    </row>
    <row r="770" spans="1:22" ht="14.25" customHeight="1" x14ac:dyDescent="0.25">
      <c r="A770" s="1" t="s">
        <v>853</v>
      </c>
      <c r="B770" s="1" t="s">
        <v>850</v>
      </c>
      <c r="C770" s="1" t="s">
        <v>40</v>
      </c>
      <c r="D770" s="1" t="s">
        <v>17</v>
      </c>
      <c r="E770" s="1" t="s">
        <v>15</v>
      </c>
      <c r="F770" s="1">
        <v>2596</v>
      </c>
      <c r="G770" s="14">
        <v>35</v>
      </c>
      <c r="H770" s="1">
        <v>0.13</v>
      </c>
      <c r="I770" s="14">
        <v>79048.2</v>
      </c>
      <c r="J770" s="14">
        <v>50466.239999999998</v>
      </c>
      <c r="K770" s="15">
        <f>Table5[[#This Row],[Selling Price]]*Table5[[#This Row],[Units Sold]]</f>
        <v>90860</v>
      </c>
      <c r="L770" t="str">
        <f t="shared" ref="L770:L833" si="12">TEXT(B770,"yyyy-mm")</f>
        <v>2024-06</v>
      </c>
      <c r="M770" t="str">
        <f>VLOOKUP(Table5[[#This Row],[Store ID]],Table4[[Store ID]:[Store Location]],2)</f>
        <v>Manchester</v>
      </c>
      <c r="N770" t="str">
        <f>VLOOKUP(Table5[[#This Row],[Store ID]],Table4[[Store ID]:[Region]],3)</f>
        <v>North</v>
      </c>
      <c r="O770" t="str">
        <f>VLOOKUP(Table5[[#This Row],[Product ID]],'Product Master'!$A$2:$D$10,4)</f>
        <v>Supplier C</v>
      </c>
      <c r="P770" s="15">
        <f>Table5[[#This Row],[Total Revenue]]-Table5[[#This Row],[Net Sales Revenue]]</f>
        <v>11811.800000000003</v>
      </c>
      <c r="Q770" s="15">
        <f>Table5[[#This Row],[Net Sales Revenue]]/Table5[[#This Row],[Units Sold]]</f>
        <v>30.45</v>
      </c>
      <c r="R770">
        <f>VLOOKUP(Table5[[#This Row],[Product ID]],'Product Master'!$A$1:$E$10,5,FALSE)</f>
        <v>18</v>
      </c>
      <c r="S770" s="15">
        <f>Table5[[#This Row],[standard product cost per unit]]*Table5[[#This Row],[Units Sold]]</f>
        <v>46728</v>
      </c>
      <c r="T770" s="15">
        <f>Table5[[#This Row],[Cost of Sales]]-Table5[[#This Row],[Standard cost]]</f>
        <v>3738.239999999998</v>
      </c>
      <c r="U770" s="15">
        <f>Table5[[#This Row],[Net Sales Revenue]]-Table5[[#This Row],[Cost of Sales]]</f>
        <v>28581.96</v>
      </c>
      <c r="V770" s="17">
        <f>Table5[[#This Row],[GrossProfit]]/Table5[[#This Row],[Net Sales Revenue]]</f>
        <v>0.36157635467980298</v>
      </c>
    </row>
    <row r="771" spans="1:22" ht="14.25" customHeight="1" x14ac:dyDescent="0.25">
      <c r="A771" s="1" t="s">
        <v>854</v>
      </c>
      <c r="B771" s="1" t="s">
        <v>850</v>
      </c>
      <c r="C771" s="1" t="s">
        <v>40</v>
      </c>
      <c r="D771" s="1" t="s">
        <v>19</v>
      </c>
      <c r="E771" s="1" t="s">
        <v>21</v>
      </c>
      <c r="F771" s="1">
        <v>3044</v>
      </c>
      <c r="G771" s="14">
        <v>18</v>
      </c>
      <c r="H771" s="1">
        <v>0.14000000000000001</v>
      </c>
      <c r="I771" s="14">
        <v>47121.120000000003</v>
      </c>
      <c r="J771" s="14">
        <v>29587.68</v>
      </c>
      <c r="K771" s="15">
        <f>Table5[[#This Row],[Selling Price]]*Table5[[#This Row],[Units Sold]]</f>
        <v>54792</v>
      </c>
      <c r="L771" t="str">
        <f t="shared" si="12"/>
        <v>2024-06</v>
      </c>
      <c r="M771" t="str">
        <f>VLOOKUP(Table5[[#This Row],[Store ID]],Table4[[Store ID]:[Store Location]],2)</f>
        <v>Manchester</v>
      </c>
      <c r="N771" t="str">
        <f>VLOOKUP(Table5[[#This Row],[Store ID]],Table4[[Store ID]:[Region]],3)</f>
        <v>North</v>
      </c>
      <c r="O771" t="str">
        <f>VLOOKUP(Table5[[#This Row],[Product ID]],'Product Master'!$A$2:$D$10,4)</f>
        <v>Supplier D</v>
      </c>
      <c r="P771" s="15">
        <f>Table5[[#This Row],[Total Revenue]]-Table5[[#This Row],[Net Sales Revenue]]</f>
        <v>7670.8799999999974</v>
      </c>
      <c r="Q771" s="15">
        <f>Table5[[#This Row],[Net Sales Revenue]]/Table5[[#This Row],[Units Sold]]</f>
        <v>15.48</v>
      </c>
      <c r="R771">
        <f>VLOOKUP(Table5[[#This Row],[Product ID]],'Product Master'!$A$1:$E$10,5,FALSE)</f>
        <v>9</v>
      </c>
      <c r="S771" s="15">
        <f>Table5[[#This Row],[standard product cost per unit]]*Table5[[#This Row],[Units Sold]]</f>
        <v>27396</v>
      </c>
      <c r="T771" s="15">
        <f>Table5[[#This Row],[Cost of Sales]]-Table5[[#This Row],[Standard cost]]</f>
        <v>2191.6800000000003</v>
      </c>
      <c r="U771" s="15">
        <f>Table5[[#This Row],[Net Sales Revenue]]-Table5[[#This Row],[Cost of Sales]]</f>
        <v>17533.440000000002</v>
      </c>
      <c r="V771" s="17">
        <f>Table5[[#This Row],[GrossProfit]]/Table5[[#This Row],[Net Sales Revenue]]</f>
        <v>0.372093023255814</v>
      </c>
    </row>
    <row r="772" spans="1:22" ht="14.25" customHeight="1" x14ac:dyDescent="0.25">
      <c r="A772" s="1" t="s">
        <v>855</v>
      </c>
      <c r="B772" s="1" t="s">
        <v>850</v>
      </c>
      <c r="C772" s="1" t="s">
        <v>40</v>
      </c>
      <c r="D772" s="1" t="s">
        <v>23</v>
      </c>
      <c r="E772" s="1" t="s">
        <v>21</v>
      </c>
      <c r="F772" s="1">
        <v>2591</v>
      </c>
      <c r="G772" s="14">
        <v>30</v>
      </c>
      <c r="H772" s="1">
        <v>0.13</v>
      </c>
      <c r="I772" s="14">
        <v>67625.100000000006</v>
      </c>
      <c r="J772" s="14">
        <v>39175.919999999998</v>
      </c>
      <c r="K772" s="15">
        <f>Table5[[#This Row],[Selling Price]]*Table5[[#This Row],[Units Sold]]</f>
        <v>77730</v>
      </c>
      <c r="L772" t="str">
        <f t="shared" si="12"/>
        <v>2024-06</v>
      </c>
      <c r="M772" t="str">
        <f>VLOOKUP(Table5[[#This Row],[Store ID]],Table4[[Store ID]:[Store Location]],2)</f>
        <v>Manchester</v>
      </c>
      <c r="N772" t="str">
        <f>VLOOKUP(Table5[[#This Row],[Store ID]],Table4[[Store ID]:[Region]],3)</f>
        <v>North</v>
      </c>
      <c r="O772" t="str">
        <f>VLOOKUP(Table5[[#This Row],[Product ID]],'Product Master'!$A$2:$D$10,4)</f>
        <v>Supplier D</v>
      </c>
      <c r="P772" s="15">
        <f>Table5[[#This Row],[Total Revenue]]-Table5[[#This Row],[Net Sales Revenue]]</f>
        <v>10104.899999999994</v>
      </c>
      <c r="Q772" s="15">
        <f>Table5[[#This Row],[Net Sales Revenue]]/Table5[[#This Row],[Units Sold]]</f>
        <v>26.1</v>
      </c>
      <c r="R772">
        <f>VLOOKUP(Table5[[#This Row],[Product ID]],'Product Master'!$A$1:$E$10,5,FALSE)</f>
        <v>14</v>
      </c>
      <c r="S772" s="15">
        <f>Table5[[#This Row],[standard product cost per unit]]*Table5[[#This Row],[Units Sold]]</f>
        <v>36274</v>
      </c>
      <c r="T772" s="15">
        <f>Table5[[#This Row],[Cost of Sales]]-Table5[[#This Row],[Standard cost]]</f>
        <v>2901.9199999999983</v>
      </c>
      <c r="U772" s="15">
        <f>Table5[[#This Row],[Net Sales Revenue]]-Table5[[#This Row],[Cost of Sales]]</f>
        <v>28449.180000000008</v>
      </c>
      <c r="V772" s="17">
        <f>Table5[[#This Row],[GrossProfit]]/Table5[[#This Row],[Net Sales Revenue]]</f>
        <v>0.42068965517241386</v>
      </c>
    </row>
    <row r="773" spans="1:22" ht="14.25" customHeight="1" x14ac:dyDescent="0.25">
      <c r="A773" s="1" t="s">
        <v>856</v>
      </c>
      <c r="B773" s="1" t="s">
        <v>850</v>
      </c>
      <c r="C773" s="1" t="s">
        <v>40</v>
      </c>
      <c r="D773" s="1" t="s">
        <v>25</v>
      </c>
      <c r="E773" s="1" t="s">
        <v>27</v>
      </c>
      <c r="F773" s="1">
        <v>2376</v>
      </c>
      <c r="G773" s="14">
        <v>40</v>
      </c>
      <c r="H773" s="1">
        <v>0.14000000000000001</v>
      </c>
      <c r="I773" s="14">
        <v>81734.399999999994</v>
      </c>
      <c r="J773" s="14">
        <v>51321.599999999999</v>
      </c>
      <c r="K773" s="15">
        <f>Table5[[#This Row],[Selling Price]]*Table5[[#This Row],[Units Sold]]</f>
        <v>95040</v>
      </c>
      <c r="L773" t="str">
        <f t="shared" si="12"/>
        <v>2024-06</v>
      </c>
      <c r="M773" t="str">
        <f>VLOOKUP(Table5[[#This Row],[Store ID]],Table4[[Store ID]:[Store Location]],2)</f>
        <v>Manchester</v>
      </c>
      <c r="N773" t="str">
        <f>VLOOKUP(Table5[[#This Row],[Store ID]],Table4[[Store ID]:[Region]],3)</f>
        <v>North</v>
      </c>
      <c r="O773" t="str">
        <f>VLOOKUP(Table5[[#This Row],[Product ID]],'Product Master'!$A$2:$D$10,4)</f>
        <v>Supplier E</v>
      </c>
      <c r="P773" s="15">
        <f>Table5[[#This Row],[Total Revenue]]-Table5[[#This Row],[Net Sales Revenue]]</f>
        <v>13305.600000000006</v>
      </c>
      <c r="Q773" s="15">
        <f>Table5[[#This Row],[Net Sales Revenue]]/Table5[[#This Row],[Units Sold]]</f>
        <v>34.4</v>
      </c>
      <c r="R773">
        <f>VLOOKUP(Table5[[#This Row],[Product ID]],'Product Master'!$A$1:$E$10,5,FALSE)</f>
        <v>20</v>
      </c>
      <c r="S773" s="15">
        <f>Table5[[#This Row],[standard product cost per unit]]*Table5[[#This Row],[Units Sold]]</f>
        <v>47520</v>
      </c>
      <c r="T773" s="15">
        <f>Table5[[#This Row],[Cost of Sales]]-Table5[[#This Row],[Standard cost]]</f>
        <v>3801.5999999999985</v>
      </c>
      <c r="U773" s="15">
        <f>Table5[[#This Row],[Net Sales Revenue]]-Table5[[#This Row],[Cost of Sales]]</f>
        <v>30412.799999999996</v>
      </c>
      <c r="V773" s="17">
        <f>Table5[[#This Row],[GrossProfit]]/Table5[[#This Row],[Net Sales Revenue]]</f>
        <v>0.37209302325581395</v>
      </c>
    </row>
    <row r="774" spans="1:22" ht="14.25" customHeight="1" x14ac:dyDescent="0.25">
      <c r="A774" s="1" t="s">
        <v>857</v>
      </c>
      <c r="B774" s="1" t="s">
        <v>850</v>
      </c>
      <c r="C774" s="1" t="s">
        <v>40</v>
      </c>
      <c r="D774" s="1" t="s">
        <v>29</v>
      </c>
      <c r="E774" s="1" t="s">
        <v>31</v>
      </c>
      <c r="F774" s="1">
        <v>2943</v>
      </c>
      <c r="G774" s="14">
        <v>10</v>
      </c>
      <c r="H774" s="1">
        <v>0.14000000000000001</v>
      </c>
      <c r="I774" s="14">
        <v>25309.8</v>
      </c>
      <c r="J774" s="14">
        <v>12713.76</v>
      </c>
      <c r="K774" s="15">
        <f>Table5[[#This Row],[Selling Price]]*Table5[[#This Row],[Units Sold]]</f>
        <v>29430</v>
      </c>
      <c r="L774" t="str">
        <f t="shared" si="12"/>
        <v>2024-06</v>
      </c>
      <c r="M774" t="str">
        <f>VLOOKUP(Table5[[#This Row],[Store ID]],Table4[[Store ID]:[Store Location]],2)</f>
        <v>Manchester</v>
      </c>
      <c r="N774" t="str">
        <f>VLOOKUP(Table5[[#This Row],[Store ID]],Table4[[Store ID]:[Region]],3)</f>
        <v>North</v>
      </c>
      <c r="O774" t="str">
        <f>VLOOKUP(Table5[[#This Row],[Product ID]],'Product Master'!$A$2:$D$10,4)</f>
        <v>Supplier F</v>
      </c>
      <c r="P774" s="15">
        <f>Table5[[#This Row],[Total Revenue]]-Table5[[#This Row],[Net Sales Revenue]]</f>
        <v>4120.2000000000007</v>
      </c>
      <c r="Q774" s="15">
        <f>Table5[[#This Row],[Net Sales Revenue]]/Table5[[#This Row],[Units Sold]]</f>
        <v>8.6</v>
      </c>
      <c r="R774">
        <f>VLOOKUP(Table5[[#This Row],[Product ID]],'Product Master'!$A$1:$E$10,5,FALSE)</f>
        <v>4</v>
      </c>
      <c r="S774" s="15">
        <f>Table5[[#This Row],[standard product cost per unit]]*Table5[[#This Row],[Units Sold]]</f>
        <v>11772</v>
      </c>
      <c r="T774" s="15">
        <f>Table5[[#This Row],[Cost of Sales]]-Table5[[#This Row],[Standard cost]]</f>
        <v>941.76000000000022</v>
      </c>
      <c r="U774" s="15">
        <f>Table5[[#This Row],[Net Sales Revenue]]-Table5[[#This Row],[Cost of Sales]]</f>
        <v>12596.039999999999</v>
      </c>
      <c r="V774" s="17">
        <f>Table5[[#This Row],[GrossProfit]]/Table5[[#This Row],[Net Sales Revenue]]</f>
        <v>0.49767441860465111</v>
      </c>
    </row>
    <row r="775" spans="1:22" ht="14.25" customHeight="1" x14ac:dyDescent="0.25">
      <c r="A775" s="1" t="s">
        <v>858</v>
      </c>
      <c r="B775" s="1" t="s">
        <v>850</v>
      </c>
      <c r="C775" s="1" t="s">
        <v>40</v>
      </c>
      <c r="D775" s="1" t="s">
        <v>33</v>
      </c>
      <c r="E775" s="1" t="s">
        <v>31</v>
      </c>
      <c r="F775" s="1">
        <v>2877</v>
      </c>
      <c r="G775" s="14">
        <v>22</v>
      </c>
      <c r="H775" s="1">
        <v>0.12</v>
      </c>
      <c r="I775" s="14">
        <v>55698.720000000001</v>
      </c>
      <c r="J775" s="14">
        <v>31071.599999999999</v>
      </c>
      <c r="K775" s="15">
        <f>Table5[[#This Row],[Selling Price]]*Table5[[#This Row],[Units Sold]]</f>
        <v>63294</v>
      </c>
      <c r="L775" t="str">
        <f t="shared" si="12"/>
        <v>2024-06</v>
      </c>
      <c r="M775" t="str">
        <f>VLOOKUP(Table5[[#This Row],[Store ID]],Table4[[Store ID]:[Store Location]],2)</f>
        <v>Manchester</v>
      </c>
      <c r="N775" t="str">
        <f>VLOOKUP(Table5[[#This Row],[Store ID]],Table4[[Store ID]:[Region]],3)</f>
        <v>North</v>
      </c>
      <c r="O775" t="str">
        <f>VLOOKUP(Table5[[#This Row],[Product ID]],'Product Master'!$A$2:$D$10,4)</f>
        <v>Supplier F</v>
      </c>
      <c r="P775" s="15">
        <f>Table5[[#This Row],[Total Revenue]]-Table5[[#This Row],[Net Sales Revenue]]</f>
        <v>7595.2799999999988</v>
      </c>
      <c r="Q775" s="15">
        <f>Table5[[#This Row],[Net Sales Revenue]]/Table5[[#This Row],[Units Sold]]</f>
        <v>19.36</v>
      </c>
      <c r="R775">
        <f>VLOOKUP(Table5[[#This Row],[Product ID]],'Product Master'!$A$1:$E$10,5,FALSE)</f>
        <v>10</v>
      </c>
      <c r="S775" s="15">
        <f>Table5[[#This Row],[standard product cost per unit]]*Table5[[#This Row],[Units Sold]]</f>
        <v>28770</v>
      </c>
      <c r="T775" s="15">
        <f>Table5[[#This Row],[Cost of Sales]]-Table5[[#This Row],[Standard cost]]</f>
        <v>2301.5999999999985</v>
      </c>
      <c r="U775" s="15">
        <f>Table5[[#This Row],[Net Sales Revenue]]-Table5[[#This Row],[Cost of Sales]]</f>
        <v>24627.120000000003</v>
      </c>
      <c r="V775" s="17">
        <f>Table5[[#This Row],[GrossProfit]]/Table5[[#This Row],[Net Sales Revenue]]</f>
        <v>0.44214876033057854</v>
      </c>
    </row>
    <row r="776" spans="1:22" ht="14.25" customHeight="1" x14ac:dyDescent="0.25">
      <c r="A776" s="1" t="s">
        <v>859</v>
      </c>
      <c r="B776" s="1" t="s">
        <v>850</v>
      </c>
      <c r="C776" s="1" t="s">
        <v>44</v>
      </c>
      <c r="D776" s="1" t="s">
        <v>6</v>
      </c>
      <c r="E776" s="1" t="s">
        <v>8</v>
      </c>
      <c r="F776" s="1">
        <v>1680</v>
      </c>
      <c r="G776" s="14">
        <v>24</v>
      </c>
      <c r="H776" s="1">
        <v>0.16</v>
      </c>
      <c r="I776" s="14">
        <v>33868.800000000003</v>
      </c>
      <c r="J776" s="14">
        <v>21772.799999999999</v>
      </c>
      <c r="K776" s="15">
        <f>Table5[[#This Row],[Selling Price]]*Table5[[#This Row],[Units Sold]]</f>
        <v>40320</v>
      </c>
      <c r="L776" t="str">
        <f t="shared" si="12"/>
        <v>2024-06</v>
      </c>
      <c r="M776" t="str">
        <f>VLOOKUP(Table5[[#This Row],[Store ID]],Table4[[Store ID]:[Store Location]],2)</f>
        <v>Birmingham</v>
      </c>
      <c r="N776" t="str">
        <f>VLOOKUP(Table5[[#This Row],[Store ID]],Table4[[Store ID]:[Region]],3)</f>
        <v>Midlands</v>
      </c>
      <c r="O776" t="str">
        <f>VLOOKUP(Table5[[#This Row],[Product ID]],'Product Master'!$A$2:$D$10,4)</f>
        <v>Supplier A</v>
      </c>
      <c r="P776" s="15">
        <f>Table5[[#This Row],[Total Revenue]]-Table5[[#This Row],[Net Sales Revenue]]</f>
        <v>6451.1999999999971</v>
      </c>
      <c r="Q776" s="15">
        <f>Table5[[#This Row],[Net Sales Revenue]]/Table5[[#This Row],[Units Sold]]</f>
        <v>20.16</v>
      </c>
      <c r="R776">
        <f>VLOOKUP(Table5[[#This Row],[Product ID]],'Product Master'!$A$1:$E$10,5,FALSE)</f>
        <v>12</v>
      </c>
      <c r="S776" s="15">
        <f>Table5[[#This Row],[standard product cost per unit]]*Table5[[#This Row],[Units Sold]]</f>
        <v>20160</v>
      </c>
      <c r="T776" s="15">
        <f>Table5[[#This Row],[Cost of Sales]]-Table5[[#This Row],[Standard cost]]</f>
        <v>1612.7999999999993</v>
      </c>
      <c r="U776" s="15">
        <f>Table5[[#This Row],[Net Sales Revenue]]-Table5[[#This Row],[Cost of Sales]]</f>
        <v>12096.000000000004</v>
      </c>
      <c r="V776" s="17">
        <f>Table5[[#This Row],[GrossProfit]]/Table5[[#This Row],[Net Sales Revenue]]</f>
        <v>0.35714285714285721</v>
      </c>
    </row>
    <row r="777" spans="1:22" ht="14.25" customHeight="1" x14ac:dyDescent="0.25">
      <c r="A777" s="1" t="s">
        <v>860</v>
      </c>
      <c r="B777" s="1" t="s">
        <v>850</v>
      </c>
      <c r="C777" s="1" t="s">
        <v>44</v>
      </c>
      <c r="D777" s="1" t="s">
        <v>10</v>
      </c>
      <c r="E777" s="1" t="s">
        <v>8</v>
      </c>
      <c r="F777" s="1">
        <v>1368</v>
      </c>
      <c r="G777" s="14">
        <v>50</v>
      </c>
      <c r="H777" s="1">
        <v>0.12</v>
      </c>
      <c r="I777" s="14">
        <v>60192</v>
      </c>
      <c r="J777" s="14">
        <v>41368.32</v>
      </c>
      <c r="K777" s="15">
        <f>Table5[[#This Row],[Selling Price]]*Table5[[#This Row],[Units Sold]]</f>
        <v>68400</v>
      </c>
      <c r="L777" t="str">
        <f t="shared" si="12"/>
        <v>2024-06</v>
      </c>
      <c r="M777" t="str">
        <f>VLOOKUP(Table5[[#This Row],[Store ID]],Table4[[Store ID]:[Store Location]],2)</f>
        <v>Birmingham</v>
      </c>
      <c r="N777" t="str">
        <f>VLOOKUP(Table5[[#This Row],[Store ID]],Table4[[Store ID]:[Region]],3)</f>
        <v>Midlands</v>
      </c>
      <c r="O777" t="str">
        <f>VLOOKUP(Table5[[#This Row],[Product ID]],'Product Master'!$A$2:$D$10,4)</f>
        <v>Supplier B</v>
      </c>
      <c r="P777" s="15">
        <f>Table5[[#This Row],[Total Revenue]]-Table5[[#This Row],[Net Sales Revenue]]</f>
        <v>8208</v>
      </c>
      <c r="Q777" s="15">
        <f>Table5[[#This Row],[Net Sales Revenue]]/Table5[[#This Row],[Units Sold]]</f>
        <v>44</v>
      </c>
      <c r="R777">
        <f>VLOOKUP(Table5[[#This Row],[Product ID]],'Product Master'!$A$1:$E$10,5,FALSE)</f>
        <v>28</v>
      </c>
      <c r="S777" s="15">
        <f>Table5[[#This Row],[standard product cost per unit]]*Table5[[#This Row],[Units Sold]]</f>
        <v>38304</v>
      </c>
      <c r="T777" s="15">
        <f>Table5[[#This Row],[Cost of Sales]]-Table5[[#This Row],[Standard cost]]</f>
        <v>3064.3199999999997</v>
      </c>
      <c r="U777" s="15">
        <f>Table5[[#This Row],[Net Sales Revenue]]-Table5[[#This Row],[Cost of Sales]]</f>
        <v>18823.68</v>
      </c>
      <c r="V777" s="17">
        <f>Table5[[#This Row],[GrossProfit]]/Table5[[#This Row],[Net Sales Revenue]]</f>
        <v>0.31272727272727274</v>
      </c>
    </row>
    <row r="778" spans="1:22" ht="14.25" customHeight="1" x14ac:dyDescent="0.25">
      <c r="A778" s="1" t="s">
        <v>861</v>
      </c>
      <c r="B778" s="1" t="s">
        <v>850</v>
      </c>
      <c r="C778" s="1" t="s">
        <v>44</v>
      </c>
      <c r="D778" s="1" t="s">
        <v>13</v>
      </c>
      <c r="E778" s="1" t="s">
        <v>15</v>
      </c>
      <c r="F778" s="1">
        <v>1790</v>
      </c>
      <c r="G778" s="14">
        <v>28</v>
      </c>
      <c r="H778" s="1">
        <v>0.14000000000000001</v>
      </c>
      <c r="I778" s="14">
        <v>43103.199999999997</v>
      </c>
      <c r="J778" s="14">
        <v>28998</v>
      </c>
      <c r="K778" s="15">
        <f>Table5[[#This Row],[Selling Price]]*Table5[[#This Row],[Units Sold]]</f>
        <v>50120</v>
      </c>
      <c r="L778" t="str">
        <f t="shared" si="12"/>
        <v>2024-06</v>
      </c>
      <c r="M778" t="str">
        <f>VLOOKUP(Table5[[#This Row],[Store ID]],Table4[[Store ID]:[Store Location]],2)</f>
        <v>Birmingham</v>
      </c>
      <c r="N778" t="str">
        <f>VLOOKUP(Table5[[#This Row],[Store ID]],Table4[[Store ID]:[Region]],3)</f>
        <v>Midlands</v>
      </c>
      <c r="O778" t="str">
        <f>VLOOKUP(Table5[[#This Row],[Product ID]],'Product Master'!$A$2:$D$10,4)</f>
        <v>Supplier C</v>
      </c>
      <c r="P778" s="15">
        <f>Table5[[#This Row],[Total Revenue]]-Table5[[#This Row],[Net Sales Revenue]]</f>
        <v>7016.8000000000029</v>
      </c>
      <c r="Q778" s="15">
        <f>Table5[[#This Row],[Net Sales Revenue]]/Table5[[#This Row],[Units Sold]]</f>
        <v>24.08</v>
      </c>
      <c r="R778">
        <f>VLOOKUP(Table5[[#This Row],[Product ID]],'Product Master'!$A$1:$E$10,5,FALSE)</f>
        <v>15</v>
      </c>
      <c r="S778" s="15">
        <f>Table5[[#This Row],[standard product cost per unit]]*Table5[[#This Row],[Units Sold]]</f>
        <v>26850</v>
      </c>
      <c r="T778" s="15">
        <f>Table5[[#This Row],[Cost of Sales]]-Table5[[#This Row],[Standard cost]]</f>
        <v>2148</v>
      </c>
      <c r="U778" s="15">
        <f>Table5[[#This Row],[Net Sales Revenue]]-Table5[[#This Row],[Cost of Sales]]</f>
        <v>14105.199999999997</v>
      </c>
      <c r="V778" s="17">
        <f>Table5[[#This Row],[GrossProfit]]/Table5[[#This Row],[Net Sales Revenue]]</f>
        <v>0.3272425249169435</v>
      </c>
    </row>
    <row r="779" spans="1:22" ht="14.25" customHeight="1" x14ac:dyDescent="0.25">
      <c r="A779" s="1" t="s">
        <v>862</v>
      </c>
      <c r="B779" s="1" t="s">
        <v>850</v>
      </c>
      <c r="C779" s="1" t="s">
        <v>44</v>
      </c>
      <c r="D779" s="1" t="s">
        <v>17</v>
      </c>
      <c r="E779" s="1" t="s">
        <v>15</v>
      </c>
      <c r="F779" s="1">
        <v>1733</v>
      </c>
      <c r="G779" s="14">
        <v>35</v>
      </c>
      <c r="H779" s="1">
        <v>0.14000000000000001</v>
      </c>
      <c r="I779" s="14">
        <v>52163.3</v>
      </c>
      <c r="J779" s="14">
        <v>33689.519999999997</v>
      </c>
      <c r="K779" s="15">
        <f>Table5[[#This Row],[Selling Price]]*Table5[[#This Row],[Units Sold]]</f>
        <v>60655</v>
      </c>
      <c r="L779" t="str">
        <f t="shared" si="12"/>
        <v>2024-06</v>
      </c>
      <c r="M779" t="str">
        <f>VLOOKUP(Table5[[#This Row],[Store ID]],Table4[[Store ID]:[Store Location]],2)</f>
        <v>Birmingham</v>
      </c>
      <c r="N779" t="str">
        <f>VLOOKUP(Table5[[#This Row],[Store ID]],Table4[[Store ID]:[Region]],3)</f>
        <v>Midlands</v>
      </c>
      <c r="O779" t="str">
        <f>VLOOKUP(Table5[[#This Row],[Product ID]],'Product Master'!$A$2:$D$10,4)</f>
        <v>Supplier C</v>
      </c>
      <c r="P779" s="15">
        <f>Table5[[#This Row],[Total Revenue]]-Table5[[#This Row],[Net Sales Revenue]]</f>
        <v>8491.6999999999971</v>
      </c>
      <c r="Q779" s="15">
        <f>Table5[[#This Row],[Net Sales Revenue]]/Table5[[#This Row],[Units Sold]]</f>
        <v>30.1</v>
      </c>
      <c r="R779">
        <f>VLOOKUP(Table5[[#This Row],[Product ID]],'Product Master'!$A$1:$E$10,5,FALSE)</f>
        <v>18</v>
      </c>
      <c r="S779" s="15">
        <f>Table5[[#This Row],[standard product cost per unit]]*Table5[[#This Row],[Units Sold]]</f>
        <v>31194</v>
      </c>
      <c r="T779" s="15">
        <f>Table5[[#This Row],[Cost of Sales]]-Table5[[#This Row],[Standard cost]]</f>
        <v>2495.5199999999968</v>
      </c>
      <c r="U779" s="15">
        <f>Table5[[#This Row],[Net Sales Revenue]]-Table5[[#This Row],[Cost of Sales]]</f>
        <v>18473.780000000006</v>
      </c>
      <c r="V779" s="17">
        <f>Table5[[#This Row],[GrossProfit]]/Table5[[#This Row],[Net Sales Revenue]]</f>
        <v>0.35415282392026587</v>
      </c>
    </row>
    <row r="780" spans="1:22" ht="14.25" customHeight="1" x14ac:dyDescent="0.25">
      <c r="A780" s="1" t="s">
        <v>863</v>
      </c>
      <c r="B780" s="1" t="s">
        <v>850</v>
      </c>
      <c r="C780" s="1" t="s">
        <v>44</v>
      </c>
      <c r="D780" s="1" t="s">
        <v>19</v>
      </c>
      <c r="E780" s="1" t="s">
        <v>21</v>
      </c>
      <c r="F780" s="1">
        <v>2574</v>
      </c>
      <c r="G780" s="14">
        <v>18</v>
      </c>
      <c r="H780" s="1">
        <v>0.16</v>
      </c>
      <c r="I780" s="14">
        <v>38918.879999999997</v>
      </c>
      <c r="J780" s="14">
        <v>25019.279999999999</v>
      </c>
      <c r="K780" s="15">
        <f>Table5[[#This Row],[Selling Price]]*Table5[[#This Row],[Units Sold]]</f>
        <v>46332</v>
      </c>
      <c r="L780" t="str">
        <f t="shared" si="12"/>
        <v>2024-06</v>
      </c>
      <c r="M780" t="str">
        <f>VLOOKUP(Table5[[#This Row],[Store ID]],Table4[[Store ID]:[Store Location]],2)</f>
        <v>Birmingham</v>
      </c>
      <c r="N780" t="str">
        <f>VLOOKUP(Table5[[#This Row],[Store ID]],Table4[[Store ID]:[Region]],3)</f>
        <v>Midlands</v>
      </c>
      <c r="O780" t="str">
        <f>VLOOKUP(Table5[[#This Row],[Product ID]],'Product Master'!$A$2:$D$10,4)</f>
        <v>Supplier D</v>
      </c>
      <c r="P780" s="15">
        <f>Table5[[#This Row],[Total Revenue]]-Table5[[#This Row],[Net Sales Revenue]]</f>
        <v>7413.1200000000026</v>
      </c>
      <c r="Q780" s="15">
        <f>Table5[[#This Row],[Net Sales Revenue]]/Table5[[#This Row],[Units Sold]]</f>
        <v>15.12</v>
      </c>
      <c r="R780">
        <f>VLOOKUP(Table5[[#This Row],[Product ID]],'Product Master'!$A$1:$E$10,5,FALSE)</f>
        <v>9</v>
      </c>
      <c r="S780" s="15">
        <f>Table5[[#This Row],[standard product cost per unit]]*Table5[[#This Row],[Units Sold]]</f>
        <v>23166</v>
      </c>
      <c r="T780" s="15">
        <f>Table5[[#This Row],[Cost of Sales]]-Table5[[#This Row],[Standard cost]]</f>
        <v>1853.2799999999988</v>
      </c>
      <c r="U780" s="15">
        <f>Table5[[#This Row],[Net Sales Revenue]]-Table5[[#This Row],[Cost of Sales]]</f>
        <v>13899.599999999999</v>
      </c>
      <c r="V780" s="17">
        <f>Table5[[#This Row],[GrossProfit]]/Table5[[#This Row],[Net Sales Revenue]]</f>
        <v>0.35714285714285715</v>
      </c>
    </row>
    <row r="781" spans="1:22" ht="14.25" customHeight="1" x14ac:dyDescent="0.25">
      <c r="A781" s="1" t="s">
        <v>864</v>
      </c>
      <c r="B781" s="1" t="s">
        <v>850</v>
      </c>
      <c r="C781" s="1" t="s">
        <v>44</v>
      </c>
      <c r="D781" s="1" t="s">
        <v>23</v>
      </c>
      <c r="E781" s="1" t="s">
        <v>21</v>
      </c>
      <c r="F781" s="1">
        <v>2437</v>
      </c>
      <c r="G781" s="14">
        <v>30</v>
      </c>
      <c r="H781" s="1">
        <v>0.14000000000000001</v>
      </c>
      <c r="I781" s="14">
        <v>62874.6</v>
      </c>
      <c r="J781" s="14">
        <v>36847.440000000002</v>
      </c>
      <c r="K781" s="15">
        <f>Table5[[#This Row],[Selling Price]]*Table5[[#This Row],[Units Sold]]</f>
        <v>73110</v>
      </c>
      <c r="L781" t="str">
        <f t="shared" si="12"/>
        <v>2024-06</v>
      </c>
      <c r="M781" t="str">
        <f>VLOOKUP(Table5[[#This Row],[Store ID]],Table4[[Store ID]:[Store Location]],2)</f>
        <v>Birmingham</v>
      </c>
      <c r="N781" t="str">
        <f>VLOOKUP(Table5[[#This Row],[Store ID]],Table4[[Store ID]:[Region]],3)</f>
        <v>Midlands</v>
      </c>
      <c r="O781" t="str">
        <f>VLOOKUP(Table5[[#This Row],[Product ID]],'Product Master'!$A$2:$D$10,4)</f>
        <v>Supplier D</v>
      </c>
      <c r="P781" s="15">
        <f>Table5[[#This Row],[Total Revenue]]-Table5[[#This Row],[Net Sales Revenue]]</f>
        <v>10235.400000000001</v>
      </c>
      <c r="Q781" s="15">
        <f>Table5[[#This Row],[Net Sales Revenue]]/Table5[[#This Row],[Units Sold]]</f>
        <v>25.8</v>
      </c>
      <c r="R781">
        <f>VLOOKUP(Table5[[#This Row],[Product ID]],'Product Master'!$A$1:$E$10,5,FALSE)</f>
        <v>14</v>
      </c>
      <c r="S781" s="15">
        <f>Table5[[#This Row],[standard product cost per unit]]*Table5[[#This Row],[Units Sold]]</f>
        <v>34118</v>
      </c>
      <c r="T781" s="15">
        <f>Table5[[#This Row],[Cost of Sales]]-Table5[[#This Row],[Standard cost]]</f>
        <v>2729.4400000000023</v>
      </c>
      <c r="U781" s="15">
        <f>Table5[[#This Row],[Net Sales Revenue]]-Table5[[#This Row],[Cost of Sales]]</f>
        <v>26027.159999999996</v>
      </c>
      <c r="V781" s="17">
        <f>Table5[[#This Row],[GrossProfit]]/Table5[[#This Row],[Net Sales Revenue]]</f>
        <v>0.41395348837209295</v>
      </c>
    </row>
    <row r="782" spans="1:22" ht="14.25" customHeight="1" x14ac:dyDescent="0.25">
      <c r="A782" s="1" t="s">
        <v>865</v>
      </c>
      <c r="B782" s="1" t="s">
        <v>850</v>
      </c>
      <c r="C782" s="1" t="s">
        <v>44</v>
      </c>
      <c r="D782" s="1" t="s">
        <v>25</v>
      </c>
      <c r="E782" s="1" t="s">
        <v>27</v>
      </c>
      <c r="F782" s="1">
        <v>2301</v>
      </c>
      <c r="G782" s="14">
        <v>40</v>
      </c>
      <c r="H782" s="1">
        <v>0.12</v>
      </c>
      <c r="I782" s="14">
        <v>80995.199999999997</v>
      </c>
      <c r="J782" s="14">
        <v>49701.599999999999</v>
      </c>
      <c r="K782" s="15">
        <f>Table5[[#This Row],[Selling Price]]*Table5[[#This Row],[Units Sold]]</f>
        <v>92040</v>
      </c>
      <c r="L782" t="str">
        <f t="shared" si="12"/>
        <v>2024-06</v>
      </c>
      <c r="M782" t="str">
        <f>VLOOKUP(Table5[[#This Row],[Store ID]],Table4[[Store ID]:[Store Location]],2)</f>
        <v>Birmingham</v>
      </c>
      <c r="N782" t="str">
        <f>VLOOKUP(Table5[[#This Row],[Store ID]],Table4[[Store ID]:[Region]],3)</f>
        <v>Midlands</v>
      </c>
      <c r="O782" t="str">
        <f>VLOOKUP(Table5[[#This Row],[Product ID]],'Product Master'!$A$2:$D$10,4)</f>
        <v>Supplier E</v>
      </c>
      <c r="P782" s="15">
        <f>Table5[[#This Row],[Total Revenue]]-Table5[[#This Row],[Net Sales Revenue]]</f>
        <v>11044.800000000003</v>
      </c>
      <c r="Q782" s="15">
        <f>Table5[[#This Row],[Net Sales Revenue]]/Table5[[#This Row],[Units Sold]]</f>
        <v>35.199999999999996</v>
      </c>
      <c r="R782">
        <f>VLOOKUP(Table5[[#This Row],[Product ID]],'Product Master'!$A$1:$E$10,5,FALSE)</f>
        <v>20</v>
      </c>
      <c r="S782" s="15">
        <f>Table5[[#This Row],[standard product cost per unit]]*Table5[[#This Row],[Units Sold]]</f>
        <v>46020</v>
      </c>
      <c r="T782" s="15">
        <f>Table5[[#This Row],[Cost of Sales]]-Table5[[#This Row],[Standard cost]]</f>
        <v>3681.5999999999985</v>
      </c>
      <c r="U782" s="15">
        <f>Table5[[#This Row],[Net Sales Revenue]]-Table5[[#This Row],[Cost of Sales]]</f>
        <v>31293.599999999999</v>
      </c>
      <c r="V782" s="17">
        <f>Table5[[#This Row],[GrossProfit]]/Table5[[#This Row],[Net Sales Revenue]]</f>
        <v>0.38636363636363635</v>
      </c>
    </row>
    <row r="783" spans="1:22" ht="14.25" customHeight="1" x14ac:dyDescent="0.25">
      <c r="A783" s="1" t="s">
        <v>866</v>
      </c>
      <c r="B783" s="1" t="s">
        <v>850</v>
      </c>
      <c r="C783" s="1" t="s">
        <v>44</v>
      </c>
      <c r="D783" s="1" t="s">
        <v>29</v>
      </c>
      <c r="E783" s="1" t="s">
        <v>31</v>
      </c>
      <c r="F783" s="1">
        <v>2222</v>
      </c>
      <c r="G783" s="14">
        <v>10</v>
      </c>
      <c r="H783" s="1">
        <v>0.13</v>
      </c>
      <c r="I783" s="14">
        <v>19331.400000000001</v>
      </c>
      <c r="J783" s="14">
        <v>9599.0400000000009</v>
      </c>
      <c r="K783" s="15">
        <f>Table5[[#This Row],[Selling Price]]*Table5[[#This Row],[Units Sold]]</f>
        <v>22220</v>
      </c>
      <c r="L783" t="str">
        <f t="shared" si="12"/>
        <v>2024-06</v>
      </c>
      <c r="M783" t="str">
        <f>VLOOKUP(Table5[[#This Row],[Store ID]],Table4[[Store ID]:[Store Location]],2)</f>
        <v>Birmingham</v>
      </c>
      <c r="N783" t="str">
        <f>VLOOKUP(Table5[[#This Row],[Store ID]],Table4[[Store ID]:[Region]],3)</f>
        <v>Midlands</v>
      </c>
      <c r="O783" t="str">
        <f>VLOOKUP(Table5[[#This Row],[Product ID]],'Product Master'!$A$2:$D$10,4)</f>
        <v>Supplier F</v>
      </c>
      <c r="P783" s="15">
        <f>Table5[[#This Row],[Total Revenue]]-Table5[[#This Row],[Net Sales Revenue]]</f>
        <v>2888.5999999999985</v>
      </c>
      <c r="Q783" s="15">
        <f>Table5[[#This Row],[Net Sales Revenue]]/Table5[[#This Row],[Units Sold]]</f>
        <v>8.7000000000000011</v>
      </c>
      <c r="R783">
        <f>VLOOKUP(Table5[[#This Row],[Product ID]],'Product Master'!$A$1:$E$10,5,FALSE)</f>
        <v>4</v>
      </c>
      <c r="S783" s="15">
        <f>Table5[[#This Row],[standard product cost per unit]]*Table5[[#This Row],[Units Sold]]</f>
        <v>8888</v>
      </c>
      <c r="T783" s="15">
        <f>Table5[[#This Row],[Cost of Sales]]-Table5[[#This Row],[Standard cost]]</f>
        <v>711.04000000000087</v>
      </c>
      <c r="U783" s="15">
        <f>Table5[[#This Row],[Net Sales Revenue]]-Table5[[#This Row],[Cost of Sales]]</f>
        <v>9732.36</v>
      </c>
      <c r="V783" s="17">
        <f>Table5[[#This Row],[GrossProfit]]/Table5[[#This Row],[Net Sales Revenue]]</f>
        <v>0.50344827586206897</v>
      </c>
    </row>
    <row r="784" spans="1:22" ht="14.25" customHeight="1" x14ac:dyDescent="0.25">
      <c r="A784" s="1" t="s">
        <v>867</v>
      </c>
      <c r="B784" s="1" t="s">
        <v>850</v>
      </c>
      <c r="C784" s="1" t="s">
        <v>44</v>
      </c>
      <c r="D784" s="1" t="s">
        <v>33</v>
      </c>
      <c r="E784" s="1" t="s">
        <v>31</v>
      </c>
      <c r="F784" s="1">
        <v>2054</v>
      </c>
      <c r="G784" s="14">
        <v>22</v>
      </c>
      <c r="H784" s="1">
        <v>0.16</v>
      </c>
      <c r="I784" s="14">
        <v>37957.919999999998</v>
      </c>
      <c r="J784" s="14">
        <v>22183.200000000001</v>
      </c>
      <c r="K784" s="15">
        <f>Table5[[#This Row],[Selling Price]]*Table5[[#This Row],[Units Sold]]</f>
        <v>45188</v>
      </c>
      <c r="L784" t="str">
        <f t="shared" si="12"/>
        <v>2024-06</v>
      </c>
      <c r="M784" t="str">
        <f>VLOOKUP(Table5[[#This Row],[Store ID]],Table4[[Store ID]:[Store Location]],2)</f>
        <v>Birmingham</v>
      </c>
      <c r="N784" t="str">
        <f>VLOOKUP(Table5[[#This Row],[Store ID]],Table4[[Store ID]:[Region]],3)</f>
        <v>Midlands</v>
      </c>
      <c r="O784" t="str">
        <f>VLOOKUP(Table5[[#This Row],[Product ID]],'Product Master'!$A$2:$D$10,4)</f>
        <v>Supplier F</v>
      </c>
      <c r="P784" s="15">
        <f>Table5[[#This Row],[Total Revenue]]-Table5[[#This Row],[Net Sales Revenue]]</f>
        <v>7230.0800000000017</v>
      </c>
      <c r="Q784" s="15">
        <f>Table5[[#This Row],[Net Sales Revenue]]/Table5[[#This Row],[Units Sold]]</f>
        <v>18.48</v>
      </c>
      <c r="R784">
        <f>VLOOKUP(Table5[[#This Row],[Product ID]],'Product Master'!$A$1:$E$10,5,FALSE)</f>
        <v>10</v>
      </c>
      <c r="S784" s="15">
        <f>Table5[[#This Row],[standard product cost per unit]]*Table5[[#This Row],[Units Sold]]</f>
        <v>20540</v>
      </c>
      <c r="T784" s="15">
        <f>Table5[[#This Row],[Cost of Sales]]-Table5[[#This Row],[Standard cost]]</f>
        <v>1643.2000000000007</v>
      </c>
      <c r="U784" s="15">
        <f>Table5[[#This Row],[Net Sales Revenue]]-Table5[[#This Row],[Cost of Sales]]</f>
        <v>15774.719999999998</v>
      </c>
      <c r="V784" s="17">
        <f>Table5[[#This Row],[GrossProfit]]/Table5[[#This Row],[Net Sales Revenue]]</f>
        <v>0.41558441558441556</v>
      </c>
    </row>
    <row r="785" spans="1:22" ht="14.25" customHeight="1" x14ac:dyDescent="0.25">
      <c r="A785" s="1" t="s">
        <v>868</v>
      </c>
      <c r="B785" s="1" t="s">
        <v>850</v>
      </c>
      <c r="C785" s="1" t="s">
        <v>48</v>
      </c>
      <c r="D785" s="1" t="s">
        <v>6</v>
      </c>
      <c r="E785" s="1" t="s">
        <v>8</v>
      </c>
      <c r="F785" s="1">
        <v>2714</v>
      </c>
      <c r="G785" s="14">
        <v>24</v>
      </c>
      <c r="H785" s="1">
        <v>0.16</v>
      </c>
      <c r="I785" s="14">
        <v>54714.239999999998</v>
      </c>
      <c r="J785" s="14">
        <v>35173.440000000002</v>
      </c>
      <c r="K785" s="15">
        <f>Table5[[#This Row],[Selling Price]]*Table5[[#This Row],[Units Sold]]</f>
        <v>65136</v>
      </c>
      <c r="L785" t="str">
        <f t="shared" si="12"/>
        <v>2024-06</v>
      </c>
      <c r="M785" t="str">
        <f>VLOOKUP(Table5[[#This Row],[Store ID]],Table4[[Store ID]:[Store Location]],2)</f>
        <v>London Stratford</v>
      </c>
      <c r="N785" t="str">
        <f>VLOOKUP(Table5[[#This Row],[Store ID]],Table4[[Store ID]:[Region]],3)</f>
        <v>South</v>
      </c>
      <c r="O785" t="str">
        <f>VLOOKUP(Table5[[#This Row],[Product ID]],'Product Master'!$A$2:$D$10,4)</f>
        <v>Supplier A</v>
      </c>
      <c r="P785" s="15">
        <f>Table5[[#This Row],[Total Revenue]]-Table5[[#This Row],[Net Sales Revenue]]</f>
        <v>10421.760000000002</v>
      </c>
      <c r="Q785" s="15">
        <f>Table5[[#This Row],[Net Sales Revenue]]/Table5[[#This Row],[Units Sold]]</f>
        <v>20.16</v>
      </c>
      <c r="R785">
        <f>VLOOKUP(Table5[[#This Row],[Product ID]],'Product Master'!$A$1:$E$10,5,FALSE)</f>
        <v>12</v>
      </c>
      <c r="S785" s="15">
        <f>Table5[[#This Row],[standard product cost per unit]]*Table5[[#This Row],[Units Sold]]</f>
        <v>32568</v>
      </c>
      <c r="T785" s="15">
        <f>Table5[[#This Row],[Cost of Sales]]-Table5[[#This Row],[Standard cost]]</f>
        <v>2605.4400000000023</v>
      </c>
      <c r="U785" s="15">
        <f>Table5[[#This Row],[Net Sales Revenue]]-Table5[[#This Row],[Cost of Sales]]</f>
        <v>19540.799999999996</v>
      </c>
      <c r="V785" s="17">
        <f>Table5[[#This Row],[GrossProfit]]/Table5[[#This Row],[Net Sales Revenue]]</f>
        <v>0.3571428571428571</v>
      </c>
    </row>
    <row r="786" spans="1:22" ht="14.25" customHeight="1" x14ac:dyDescent="0.25">
      <c r="A786" s="1" t="s">
        <v>869</v>
      </c>
      <c r="B786" s="1" t="s">
        <v>850</v>
      </c>
      <c r="C786" s="1" t="s">
        <v>48</v>
      </c>
      <c r="D786" s="1" t="s">
        <v>10</v>
      </c>
      <c r="E786" s="1" t="s">
        <v>8</v>
      </c>
      <c r="F786" s="1">
        <v>2402</v>
      </c>
      <c r="G786" s="14">
        <v>50</v>
      </c>
      <c r="H786" s="1">
        <v>0.14000000000000001</v>
      </c>
      <c r="I786" s="14">
        <v>103286</v>
      </c>
      <c r="J786" s="14">
        <v>72636.479999999996</v>
      </c>
      <c r="K786" s="15">
        <f>Table5[[#This Row],[Selling Price]]*Table5[[#This Row],[Units Sold]]</f>
        <v>120100</v>
      </c>
      <c r="L786" t="str">
        <f t="shared" si="12"/>
        <v>2024-06</v>
      </c>
      <c r="M786" t="str">
        <f>VLOOKUP(Table5[[#This Row],[Store ID]],Table4[[Store ID]:[Store Location]],2)</f>
        <v>London Stratford</v>
      </c>
      <c r="N786" t="str">
        <f>VLOOKUP(Table5[[#This Row],[Store ID]],Table4[[Store ID]:[Region]],3)</f>
        <v>South</v>
      </c>
      <c r="O786" t="str">
        <f>VLOOKUP(Table5[[#This Row],[Product ID]],'Product Master'!$A$2:$D$10,4)</f>
        <v>Supplier B</v>
      </c>
      <c r="P786" s="15">
        <f>Table5[[#This Row],[Total Revenue]]-Table5[[#This Row],[Net Sales Revenue]]</f>
        <v>16814</v>
      </c>
      <c r="Q786" s="15">
        <f>Table5[[#This Row],[Net Sales Revenue]]/Table5[[#This Row],[Units Sold]]</f>
        <v>43</v>
      </c>
      <c r="R786">
        <f>VLOOKUP(Table5[[#This Row],[Product ID]],'Product Master'!$A$1:$E$10,5,FALSE)</f>
        <v>28</v>
      </c>
      <c r="S786" s="15">
        <f>Table5[[#This Row],[standard product cost per unit]]*Table5[[#This Row],[Units Sold]]</f>
        <v>67256</v>
      </c>
      <c r="T786" s="15">
        <f>Table5[[#This Row],[Cost of Sales]]-Table5[[#This Row],[Standard cost]]</f>
        <v>5380.4799999999959</v>
      </c>
      <c r="U786" s="15">
        <f>Table5[[#This Row],[Net Sales Revenue]]-Table5[[#This Row],[Cost of Sales]]</f>
        <v>30649.520000000004</v>
      </c>
      <c r="V786" s="17">
        <f>Table5[[#This Row],[GrossProfit]]/Table5[[#This Row],[Net Sales Revenue]]</f>
        <v>0.29674418604651165</v>
      </c>
    </row>
    <row r="787" spans="1:22" ht="14.25" customHeight="1" x14ac:dyDescent="0.25">
      <c r="A787" s="1" t="s">
        <v>870</v>
      </c>
      <c r="B787" s="1" t="s">
        <v>850</v>
      </c>
      <c r="C787" s="1" t="s">
        <v>48</v>
      </c>
      <c r="D787" s="1" t="s">
        <v>13</v>
      </c>
      <c r="E787" s="1" t="s">
        <v>15</v>
      </c>
      <c r="F787" s="1">
        <v>2208</v>
      </c>
      <c r="G787" s="14">
        <v>28</v>
      </c>
      <c r="H787" s="1">
        <v>0.16</v>
      </c>
      <c r="I787" s="14">
        <v>51932.160000000003</v>
      </c>
      <c r="J787" s="14">
        <v>35769.599999999999</v>
      </c>
      <c r="K787" s="15">
        <f>Table5[[#This Row],[Selling Price]]*Table5[[#This Row],[Units Sold]]</f>
        <v>61824</v>
      </c>
      <c r="L787" t="str">
        <f t="shared" si="12"/>
        <v>2024-06</v>
      </c>
      <c r="M787" t="str">
        <f>VLOOKUP(Table5[[#This Row],[Store ID]],Table4[[Store ID]:[Store Location]],2)</f>
        <v>London Stratford</v>
      </c>
      <c r="N787" t="str">
        <f>VLOOKUP(Table5[[#This Row],[Store ID]],Table4[[Store ID]:[Region]],3)</f>
        <v>South</v>
      </c>
      <c r="O787" t="str">
        <f>VLOOKUP(Table5[[#This Row],[Product ID]],'Product Master'!$A$2:$D$10,4)</f>
        <v>Supplier C</v>
      </c>
      <c r="P787" s="15">
        <f>Table5[[#This Row],[Total Revenue]]-Table5[[#This Row],[Net Sales Revenue]]</f>
        <v>9891.8399999999965</v>
      </c>
      <c r="Q787" s="15">
        <f>Table5[[#This Row],[Net Sales Revenue]]/Table5[[#This Row],[Units Sold]]</f>
        <v>23.520000000000003</v>
      </c>
      <c r="R787">
        <f>VLOOKUP(Table5[[#This Row],[Product ID]],'Product Master'!$A$1:$E$10,5,FALSE)</f>
        <v>15</v>
      </c>
      <c r="S787" s="15">
        <f>Table5[[#This Row],[standard product cost per unit]]*Table5[[#This Row],[Units Sold]]</f>
        <v>33120</v>
      </c>
      <c r="T787" s="15">
        <f>Table5[[#This Row],[Cost of Sales]]-Table5[[#This Row],[Standard cost]]</f>
        <v>2649.5999999999985</v>
      </c>
      <c r="U787" s="15">
        <f>Table5[[#This Row],[Net Sales Revenue]]-Table5[[#This Row],[Cost of Sales]]</f>
        <v>16162.560000000005</v>
      </c>
      <c r="V787" s="17">
        <f>Table5[[#This Row],[GrossProfit]]/Table5[[#This Row],[Net Sales Revenue]]</f>
        <v>0.31122448979591844</v>
      </c>
    </row>
    <row r="788" spans="1:22" ht="14.25" customHeight="1" x14ac:dyDescent="0.25">
      <c r="A788" s="1" t="s">
        <v>871</v>
      </c>
      <c r="B788" s="1" t="s">
        <v>850</v>
      </c>
      <c r="C788" s="1" t="s">
        <v>48</v>
      </c>
      <c r="D788" s="1" t="s">
        <v>17</v>
      </c>
      <c r="E788" s="1" t="s">
        <v>15</v>
      </c>
      <c r="F788" s="1">
        <v>2758</v>
      </c>
      <c r="G788" s="14">
        <v>35</v>
      </c>
      <c r="H788" s="1">
        <v>0.14000000000000001</v>
      </c>
      <c r="I788" s="14">
        <v>83015.8</v>
      </c>
      <c r="J788" s="14">
        <v>53615.519999999997</v>
      </c>
      <c r="K788" s="15">
        <f>Table5[[#This Row],[Selling Price]]*Table5[[#This Row],[Units Sold]]</f>
        <v>96530</v>
      </c>
      <c r="L788" t="str">
        <f t="shared" si="12"/>
        <v>2024-06</v>
      </c>
      <c r="M788" t="str">
        <f>VLOOKUP(Table5[[#This Row],[Store ID]],Table4[[Store ID]:[Store Location]],2)</f>
        <v>London Stratford</v>
      </c>
      <c r="N788" t="str">
        <f>VLOOKUP(Table5[[#This Row],[Store ID]],Table4[[Store ID]:[Region]],3)</f>
        <v>South</v>
      </c>
      <c r="O788" t="str">
        <f>VLOOKUP(Table5[[#This Row],[Product ID]],'Product Master'!$A$2:$D$10,4)</f>
        <v>Supplier C</v>
      </c>
      <c r="P788" s="15">
        <f>Table5[[#This Row],[Total Revenue]]-Table5[[#This Row],[Net Sales Revenue]]</f>
        <v>13514.199999999997</v>
      </c>
      <c r="Q788" s="15">
        <f>Table5[[#This Row],[Net Sales Revenue]]/Table5[[#This Row],[Units Sold]]</f>
        <v>30.1</v>
      </c>
      <c r="R788">
        <f>VLOOKUP(Table5[[#This Row],[Product ID]],'Product Master'!$A$1:$E$10,5,FALSE)</f>
        <v>18</v>
      </c>
      <c r="S788" s="15">
        <f>Table5[[#This Row],[standard product cost per unit]]*Table5[[#This Row],[Units Sold]]</f>
        <v>49644</v>
      </c>
      <c r="T788" s="15">
        <f>Table5[[#This Row],[Cost of Sales]]-Table5[[#This Row],[Standard cost]]</f>
        <v>3971.5199999999968</v>
      </c>
      <c r="U788" s="15">
        <f>Table5[[#This Row],[Net Sales Revenue]]-Table5[[#This Row],[Cost of Sales]]</f>
        <v>29400.280000000006</v>
      </c>
      <c r="V788" s="17">
        <f>Table5[[#This Row],[GrossProfit]]/Table5[[#This Row],[Net Sales Revenue]]</f>
        <v>0.35415282392026587</v>
      </c>
    </row>
    <row r="789" spans="1:22" ht="14.25" customHeight="1" x14ac:dyDescent="0.25">
      <c r="A789" s="1" t="s">
        <v>872</v>
      </c>
      <c r="B789" s="1" t="s">
        <v>850</v>
      </c>
      <c r="C789" s="1" t="s">
        <v>48</v>
      </c>
      <c r="D789" s="1" t="s">
        <v>19</v>
      </c>
      <c r="E789" s="1" t="s">
        <v>21</v>
      </c>
      <c r="F789" s="1">
        <v>1645</v>
      </c>
      <c r="G789" s="14">
        <v>18</v>
      </c>
      <c r="H789" s="1">
        <v>0.13</v>
      </c>
      <c r="I789" s="14">
        <v>25760.7</v>
      </c>
      <c r="J789" s="14">
        <v>15989.4</v>
      </c>
      <c r="K789" s="15">
        <f>Table5[[#This Row],[Selling Price]]*Table5[[#This Row],[Units Sold]]</f>
        <v>29610</v>
      </c>
      <c r="L789" t="str">
        <f t="shared" si="12"/>
        <v>2024-06</v>
      </c>
      <c r="M789" t="str">
        <f>VLOOKUP(Table5[[#This Row],[Store ID]],Table4[[Store ID]:[Store Location]],2)</f>
        <v>London Stratford</v>
      </c>
      <c r="N789" t="str">
        <f>VLOOKUP(Table5[[#This Row],[Store ID]],Table4[[Store ID]:[Region]],3)</f>
        <v>South</v>
      </c>
      <c r="O789" t="str">
        <f>VLOOKUP(Table5[[#This Row],[Product ID]],'Product Master'!$A$2:$D$10,4)</f>
        <v>Supplier D</v>
      </c>
      <c r="P789" s="15">
        <f>Table5[[#This Row],[Total Revenue]]-Table5[[#This Row],[Net Sales Revenue]]</f>
        <v>3849.2999999999993</v>
      </c>
      <c r="Q789" s="15">
        <f>Table5[[#This Row],[Net Sales Revenue]]/Table5[[#This Row],[Units Sold]]</f>
        <v>15.66</v>
      </c>
      <c r="R789">
        <f>VLOOKUP(Table5[[#This Row],[Product ID]],'Product Master'!$A$1:$E$10,5,FALSE)</f>
        <v>9</v>
      </c>
      <c r="S789" s="15">
        <f>Table5[[#This Row],[standard product cost per unit]]*Table5[[#This Row],[Units Sold]]</f>
        <v>14805</v>
      </c>
      <c r="T789" s="15">
        <f>Table5[[#This Row],[Cost of Sales]]-Table5[[#This Row],[Standard cost]]</f>
        <v>1184.3999999999996</v>
      </c>
      <c r="U789" s="15">
        <f>Table5[[#This Row],[Net Sales Revenue]]-Table5[[#This Row],[Cost of Sales]]</f>
        <v>9771.3000000000011</v>
      </c>
      <c r="V789" s="17">
        <f>Table5[[#This Row],[GrossProfit]]/Table5[[#This Row],[Net Sales Revenue]]</f>
        <v>0.37931034482758624</v>
      </c>
    </row>
    <row r="790" spans="1:22" ht="14.25" customHeight="1" x14ac:dyDescent="0.25">
      <c r="A790" s="1" t="s">
        <v>873</v>
      </c>
      <c r="B790" s="1" t="s">
        <v>850</v>
      </c>
      <c r="C790" s="1" t="s">
        <v>48</v>
      </c>
      <c r="D790" s="1" t="s">
        <v>23</v>
      </c>
      <c r="E790" s="1" t="s">
        <v>21</v>
      </c>
      <c r="F790" s="1">
        <v>2600</v>
      </c>
      <c r="G790" s="14">
        <v>30</v>
      </c>
      <c r="H790" s="1">
        <v>0.13</v>
      </c>
      <c r="I790" s="14">
        <v>67860</v>
      </c>
      <c r="J790" s="14">
        <v>39312</v>
      </c>
      <c r="K790" s="15">
        <f>Table5[[#This Row],[Selling Price]]*Table5[[#This Row],[Units Sold]]</f>
        <v>78000</v>
      </c>
      <c r="L790" t="str">
        <f t="shared" si="12"/>
        <v>2024-06</v>
      </c>
      <c r="M790" t="str">
        <f>VLOOKUP(Table5[[#This Row],[Store ID]],Table4[[Store ID]:[Store Location]],2)</f>
        <v>London Stratford</v>
      </c>
      <c r="N790" t="str">
        <f>VLOOKUP(Table5[[#This Row],[Store ID]],Table4[[Store ID]:[Region]],3)</f>
        <v>South</v>
      </c>
      <c r="O790" t="str">
        <f>VLOOKUP(Table5[[#This Row],[Product ID]],'Product Master'!$A$2:$D$10,4)</f>
        <v>Supplier D</v>
      </c>
      <c r="P790" s="15">
        <f>Table5[[#This Row],[Total Revenue]]-Table5[[#This Row],[Net Sales Revenue]]</f>
        <v>10140</v>
      </c>
      <c r="Q790" s="15">
        <f>Table5[[#This Row],[Net Sales Revenue]]/Table5[[#This Row],[Units Sold]]</f>
        <v>26.1</v>
      </c>
      <c r="R790">
        <f>VLOOKUP(Table5[[#This Row],[Product ID]],'Product Master'!$A$1:$E$10,5,FALSE)</f>
        <v>14</v>
      </c>
      <c r="S790" s="15">
        <f>Table5[[#This Row],[standard product cost per unit]]*Table5[[#This Row],[Units Sold]]</f>
        <v>36400</v>
      </c>
      <c r="T790" s="15">
        <f>Table5[[#This Row],[Cost of Sales]]-Table5[[#This Row],[Standard cost]]</f>
        <v>2912</v>
      </c>
      <c r="U790" s="15">
        <f>Table5[[#This Row],[Net Sales Revenue]]-Table5[[#This Row],[Cost of Sales]]</f>
        <v>28548</v>
      </c>
      <c r="V790" s="17">
        <f>Table5[[#This Row],[GrossProfit]]/Table5[[#This Row],[Net Sales Revenue]]</f>
        <v>0.4206896551724138</v>
      </c>
    </row>
    <row r="791" spans="1:22" ht="14.25" customHeight="1" x14ac:dyDescent="0.25">
      <c r="A791" s="1" t="s">
        <v>874</v>
      </c>
      <c r="B791" s="1" t="s">
        <v>850</v>
      </c>
      <c r="C791" s="1" t="s">
        <v>48</v>
      </c>
      <c r="D791" s="1" t="s">
        <v>25</v>
      </c>
      <c r="E791" s="1" t="s">
        <v>27</v>
      </c>
      <c r="F791" s="1">
        <v>1883</v>
      </c>
      <c r="G791" s="14">
        <v>40</v>
      </c>
      <c r="H791" s="1">
        <v>0.15</v>
      </c>
      <c r="I791" s="14">
        <v>64022</v>
      </c>
      <c r="J791" s="14">
        <v>40672.800000000003</v>
      </c>
      <c r="K791" s="15">
        <f>Table5[[#This Row],[Selling Price]]*Table5[[#This Row],[Units Sold]]</f>
        <v>75320</v>
      </c>
      <c r="L791" t="str">
        <f t="shared" si="12"/>
        <v>2024-06</v>
      </c>
      <c r="M791" t="str">
        <f>VLOOKUP(Table5[[#This Row],[Store ID]],Table4[[Store ID]:[Store Location]],2)</f>
        <v>London Stratford</v>
      </c>
      <c r="N791" t="str">
        <f>VLOOKUP(Table5[[#This Row],[Store ID]],Table4[[Store ID]:[Region]],3)</f>
        <v>South</v>
      </c>
      <c r="O791" t="str">
        <f>VLOOKUP(Table5[[#This Row],[Product ID]],'Product Master'!$A$2:$D$10,4)</f>
        <v>Supplier E</v>
      </c>
      <c r="P791" s="15">
        <f>Table5[[#This Row],[Total Revenue]]-Table5[[#This Row],[Net Sales Revenue]]</f>
        <v>11298</v>
      </c>
      <c r="Q791" s="15">
        <f>Table5[[#This Row],[Net Sales Revenue]]/Table5[[#This Row],[Units Sold]]</f>
        <v>34</v>
      </c>
      <c r="R791">
        <f>VLOOKUP(Table5[[#This Row],[Product ID]],'Product Master'!$A$1:$E$10,5,FALSE)</f>
        <v>20</v>
      </c>
      <c r="S791" s="15">
        <f>Table5[[#This Row],[standard product cost per unit]]*Table5[[#This Row],[Units Sold]]</f>
        <v>37660</v>
      </c>
      <c r="T791" s="15">
        <f>Table5[[#This Row],[Cost of Sales]]-Table5[[#This Row],[Standard cost]]</f>
        <v>3012.8000000000029</v>
      </c>
      <c r="U791" s="15">
        <f>Table5[[#This Row],[Net Sales Revenue]]-Table5[[#This Row],[Cost of Sales]]</f>
        <v>23349.199999999997</v>
      </c>
      <c r="V791" s="17">
        <f>Table5[[#This Row],[GrossProfit]]/Table5[[#This Row],[Net Sales Revenue]]</f>
        <v>0.36470588235294116</v>
      </c>
    </row>
    <row r="792" spans="1:22" ht="14.25" customHeight="1" x14ac:dyDescent="0.25">
      <c r="A792" s="1" t="s">
        <v>875</v>
      </c>
      <c r="B792" s="1" t="s">
        <v>850</v>
      </c>
      <c r="C792" s="1" t="s">
        <v>48</v>
      </c>
      <c r="D792" s="1" t="s">
        <v>29</v>
      </c>
      <c r="E792" s="1" t="s">
        <v>31</v>
      </c>
      <c r="F792" s="1">
        <v>2987</v>
      </c>
      <c r="G792" s="14">
        <v>10</v>
      </c>
      <c r="H792" s="1">
        <v>0.13</v>
      </c>
      <c r="I792" s="14">
        <v>25986.9</v>
      </c>
      <c r="J792" s="14">
        <v>12903.84</v>
      </c>
      <c r="K792" s="15">
        <f>Table5[[#This Row],[Selling Price]]*Table5[[#This Row],[Units Sold]]</f>
        <v>29870</v>
      </c>
      <c r="L792" t="str">
        <f t="shared" si="12"/>
        <v>2024-06</v>
      </c>
      <c r="M792" t="str">
        <f>VLOOKUP(Table5[[#This Row],[Store ID]],Table4[[Store ID]:[Store Location]],2)</f>
        <v>London Stratford</v>
      </c>
      <c r="N792" t="str">
        <f>VLOOKUP(Table5[[#This Row],[Store ID]],Table4[[Store ID]:[Region]],3)</f>
        <v>South</v>
      </c>
      <c r="O792" t="str">
        <f>VLOOKUP(Table5[[#This Row],[Product ID]],'Product Master'!$A$2:$D$10,4)</f>
        <v>Supplier F</v>
      </c>
      <c r="P792" s="15">
        <f>Table5[[#This Row],[Total Revenue]]-Table5[[#This Row],[Net Sales Revenue]]</f>
        <v>3883.0999999999985</v>
      </c>
      <c r="Q792" s="15">
        <f>Table5[[#This Row],[Net Sales Revenue]]/Table5[[#This Row],[Units Sold]]</f>
        <v>8.7000000000000011</v>
      </c>
      <c r="R792">
        <f>VLOOKUP(Table5[[#This Row],[Product ID]],'Product Master'!$A$1:$E$10,5,FALSE)</f>
        <v>4</v>
      </c>
      <c r="S792" s="15">
        <f>Table5[[#This Row],[standard product cost per unit]]*Table5[[#This Row],[Units Sold]]</f>
        <v>11948</v>
      </c>
      <c r="T792" s="15">
        <f>Table5[[#This Row],[Cost of Sales]]-Table5[[#This Row],[Standard cost]]</f>
        <v>955.84000000000015</v>
      </c>
      <c r="U792" s="15">
        <f>Table5[[#This Row],[Net Sales Revenue]]-Table5[[#This Row],[Cost of Sales]]</f>
        <v>13083.060000000001</v>
      </c>
      <c r="V792" s="17">
        <f>Table5[[#This Row],[GrossProfit]]/Table5[[#This Row],[Net Sales Revenue]]</f>
        <v>0.50344827586206897</v>
      </c>
    </row>
    <row r="793" spans="1:22" ht="14.25" customHeight="1" x14ac:dyDescent="0.25">
      <c r="A793" s="1" t="s">
        <v>876</v>
      </c>
      <c r="B793" s="1" t="s">
        <v>850</v>
      </c>
      <c r="C793" s="1" t="s">
        <v>48</v>
      </c>
      <c r="D793" s="1" t="s">
        <v>33</v>
      </c>
      <c r="E793" s="1" t="s">
        <v>31</v>
      </c>
      <c r="F793" s="1">
        <v>2934</v>
      </c>
      <c r="G793" s="14">
        <v>22</v>
      </c>
      <c r="H793" s="1">
        <v>0.16</v>
      </c>
      <c r="I793" s="14">
        <v>54220.32</v>
      </c>
      <c r="J793" s="14">
        <v>31687.200000000001</v>
      </c>
      <c r="K793" s="15">
        <f>Table5[[#This Row],[Selling Price]]*Table5[[#This Row],[Units Sold]]</f>
        <v>64548</v>
      </c>
      <c r="L793" t="str">
        <f t="shared" si="12"/>
        <v>2024-06</v>
      </c>
      <c r="M793" t="str">
        <f>VLOOKUP(Table5[[#This Row],[Store ID]],Table4[[Store ID]:[Store Location]],2)</f>
        <v>London Stratford</v>
      </c>
      <c r="N793" t="str">
        <f>VLOOKUP(Table5[[#This Row],[Store ID]],Table4[[Store ID]:[Region]],3)</f>
        <v>South</v>
      </c>
      <c r="O793" t="str">
        <f>VLOOKUP(Table5[[#This Row],[Product ID]],'Product Master'!$A$2:$D$10,4)</f>
        <v>Supplier F</v>
      </c>
      <c r="P793" s="15">
        <f>Table5[[#This Row],[Total Revenue]]-Table5[[#This Row],[Net Sales Revenue]]</f>
        <v>10327.68</v>
      </c>
      <c r="Q793" s="15">
        <f>Table5[[#This Row],[Net Sales Revenue]]/Table5[[#This Row],[Units Sold]]</f>
        <v>18.48</v>
      </c>
      <c r="R793">
        <f>VLOOKUP(Table5[[#This Row],[Product ID]],'Product Master'!$A$1:$E$10,5,FALSE)</f>
        <v>10</v>
      </c>
      <c r="S793" s="15">
        <f>Table5[[#This Row],[standard product cost per unit]]*Table5[[#This Row],[Units Sold]]</f>
        <v>29340</v>
      </c>
      <c r="T793" s="15">
        <f>Table5[[#This Row],[Cost of Sales]]-Table5[[#This Row],[Standard cost]]</f>
        <v>2347.2000000000007</v>
      </c>
      <c r="U793" s="15">
        <f>Table5[[#This Row],[Net Sales Revenue]]-Table5[[#This Row],[Cost of Sales]]</f>
        <v>22533.119999999999</v>
      </c>
      <c r="V793" s="17">
        <f>Table5[[#This Row],[GrossProfit]]/Table5[[#This Row],[Net Sales Revenue]]</f>
        <v>0.41558441558441556</v>
      </c>
    </row>
    <row r="794" spans="1:22" ht="14.25" customHeight="1" x14ac:dyDescent="0.25">
      <c r="A794" s="1" t="s">
        <v>877</v>
      </c>
      <c r="B794" s="1" t="s">
        <v>850</v>
      </c>
      <c r="C794" s="1" t="s">
        <v>52</v>
      </c>
      <c r="D794" s="1" t="s">
        <v>6</v>
      </c>
      <c r="E794" s="1" t="s">
        <v>8</v>
      </c>
      <c r="F794" s="1">
        <v>2486</v>
      </c>
      <c r="G794" s="14">
        <v>24</v>
      </c>
      <c r="H794" s="1">
        <v>0.17</v>
      </c>
      <c r="I794" s="14">
        <v>49521.120000000003</v>
      </c>
      <c r="J794" s="14">
        <v>32218.560000000001</v>
      </c>
      <c r="K794" s="15">
        <f>Table5[[#This Row],[Selling Price]]*Table5[[#This Row],[Units Sold]]</f>
        <v>59664</v>
      </c>
      <c r="L794" t="str">
        <f t="shared" si="12"/>
        <v>2024-06</v>
      </c>
      <c r="M794" t="str">
        <f>VLOOKUP(Table5[[#This Row],[Store ID]],Table4[[Store ID]:[Store Location]],2)</f>
        <v>Glasgow</v>
      </c>
      <c r="N794" t="str">
        <f>VLOOKUP(Table5[[#This Row],[Store ID]],Table4[[Store ID]:[Region]],3)</f>
        <v>Scotland</v>
      </c>
      <c r="O794" t="str">
        <f>VLOOKUP(Table5[[#This Row],[Product ID]],'Product Master'!$A$2:$D$10,4)</f>
        <v>Supplier A</v>
      </c>
      <c r="P794" s="15">
        <f>Table5[[#This Row],[Total Revenue]]-Table5[[#This Row],[Net Sales Revenue]]</f>
        <v>10142.879999999997</v>
      </c>
      <c r="Q794" s="15">
        <f>Table5[[#This Row],[Net Sales Revenue]]/Table5[[#This Row],[Units Sold]]</f>
        <v>19.920000000000002</v>
      </c>
      <c r="R794">
        <f>VLOOKUP(Table5[[#This Row],[Product ID]],'Product Master'!$A$1:$E$10,5,FALSE)</f>
        <v>12</v>
      </c>
      <c r="S794" s="15">
        <f>Table5[[#This Row],[standard product cost per unit]]*Table5[[#This Row],[Units Sold]]</f>
        <v>29832</v>
      </c>
      <c r="T794" s="15">
        <f>Table5[[#This Row],[Cost of Sales]]-Table5[[#This Row],[Standard cost]]</f>
        <v>2386.5600000000013</v>
      </c>
      <c r="U794" s="15">
        <f>Table5[[#This Row],[Net Sales Revenue]]-Table5[[#This Row],[Cost of Sales]]</f>
        <v>17302.560000000001</v>
      </c>
      <c r="V794" s="17">
        <f>Table5[[#This Row],[GrossProfit]]/Table5[[#This Row],[Net Sales Revenue]]</f>
        <v>0.3493975903614458</v>
      </c>
    </row>
    <row r="795" spans="1:22" ht="14.25" customHeight="1" x14ac:dyDescent="0.25">
      <c r="A795" s="1" t="s">
        <v>878</v>
      </c>
      <c r="B795" s="1" t="s">
        <v>850</v>
      </c>
      <c r="C795" s="1" t="s">
        <v>52</v>
      </c>
      <c r="D795" s="1" t="s">
        <v>10</v>
      </c>
      <c r="E795" s="1" t="s">
        <v>8</v>
      </c>
      <c r="F795" s="1">
        <v>2472</v>
      </c>
      <c r="G795" s="14">
        <v>50</v>
      </c>
      <c r="H795" s="1">
        <v>0.14000000000000001</v>
      </c>
      <c r="I795" s="14">
        <v>106296</v>
      </c>
      <c r="J795" s="14">
        <v>74753.279999999999</v>
      </c>
      <c r="K795" s="15">
        <f>Table5[[#This Row],[Selling Price]]*Table5[[#This Row],[Units Sold]]</f>
        <v>123600</v>
      </c>
      <c r="L795" t="str">
        <f t="shared" si="12"/>
        <v>2024-06</v>
      </c>
      <c r="M795" t="str">
        <f>VLOOKUP(Table5[[#This Row],[Store ID]],Table4[[Store ID]:[Store Location]],2)</f>
        <v>Glasgow</v>
      </c>
      <c r="N795" t="str">
        <f>VLOOKUP(Table5[[#This Row],[Store ID]],Table4[[Store ID]:[Region]],3)</f>
        <v>Scotland</v>
      </c>
      <c r="O795" t="str">
        <f>VLOOKUP(Table5[[#This Row],[Product ID]],'Product Master'!$A$2:$D$10,4)</f>
        <v>Supplier B</v>
      </c>
      <c r="P795" s="15">
        <f>Table5[[#This Row],[Total Revenue]]-Table5[[#This Row],[Net Sales Revenue]]</f>
        <v>17304</v>
      </c>
      <c r="Q795" s="15">
        <f>Table5[[#This Row],[Net Sales Revenue]]/Table5[[#This Row],[Units Sold]]</f>
        <v>43</v>
      </c>
      <c r="R795">
        <f>VLOOKUP(Table5[[#This Row],[Product ID]],'Product Master'!$A$1:$E$10,5,FALSE)</f>
        <v>28</v>
      </c>
      <c r="S795" s="15">
        <f>Table5[[#This Row],[standard product cost per unit]]*Table5[[#This Row],[Units Sold]]</f>
        <v>69216</v>
      </c>
      <c r="T795" s="15">
        <f>Table5[[#This Row],[Cost of Sales]]-Table5[[#This Row],[Standard cost]]</f>
        <v>5537.2799999999988</v>
      </c>
      <c r="U795" s="15">
        <f>Table5[[#This Row],[Net Sales Revenue]]-Table5[[#This Row],[Cost of Sales]]</f>
        <v>31542.720000000001</v>
      </c>
      <c r="V795" s="17">
        <f>Table5[[#This Row],[GrossProfit]]/Table5[[#This Row],[Net Sales Revenue]]</f>
        <v>0.29674418604651165</v>
      </c>
    </row>
    <row r="796" spans="1:22" ht="14.25" customHeight="1" x14ac:dyDescent="0.25">
      <c r="A796" s="1" t="s">
        <v>879</v>
      </c>
      <c r="B796" s="1" t="s">
        <v>850</v>
      </c>
      <c r="C796" s="1" t="s">
        <v>52</v>
      </c>
      <c r="D796" s="1" t="s">
        <v>13</v>
      </c>
      <c r="E796" s="1" t="s">
        <v>15</v>
      </c>
      <c r="F796" s="1">
        <v>1804</v>
      </c>
      <c r="G796" s="14">
        <v>28</v>
      </c>
      <c r="H796" s="1">
        <v>0.15</v>
      </c>
      <c r="I796" s="14">
        <v>42935.199999999997</v>
      </c>
      <c r="J796" s="14">
        <v>29224.799999999999</v>
      </c>
      <c r="K796" s="15">
        <f>Table5[[#This Row],[Selling Price]]*Table5[[#This Row],[Units Sold]]</f>
        <v>50512</v>
      </c>
      <c r="L796" t="str">
        <f t="shared" si="12"/>
        <v>2024-06</v>
      </c>
      <c r="M796" t="str">
        <f>VLOOKUP(Table5[[#This Row],[Store ID]],Table4[[Store ID]:[Store Location]],2)</f>
        <v>Glasgow</v>
      </c>
      <c r="N796" t="str">
        <f>VLOOKUP(Table5[[#This Row],[Store ID]],Table4[[Store ID]:[Region]],3)</f>
        <v>Scotland</v>
      </c>
      <c r="O796" t="str">
        <f>VLOOKUP(Table5[[#This Row],[Product ID]],'Product Master'!$A$2:$D$10,4)</f>
        <v>Supplier C</v>
      </c>
      <c r="P796" s="15">
        <f>Table5[[#This Row],[Total Revenue]]-Table5[[#This Row],[Net Sales Revenue]]</f>
        <v>7576.8000000000029</v>
      </c>
      <c r="Q796" s="15">
        <f>Table5[[#This Row],[Net Sales Revenue]]/Table5[[#This Row],[Units Sold]]</f>
        <v>23.799999999999997</v>
      </c>
      <c r="R796">
        <f>VLOOKUP(Table5[[#This Row],[Product ID]],'Product Master'!$A$1:$E$10,5,FALSE)</f>
        <v>15</v>
      </c>
      <c r="S796" s="15">
        <f>Table5[[#This Row],[standard product cost per unit]]*Table5[[#This Row],[Units Sold]]</f>
        <v>27060</v>
      </c>
      <c r="T796" s="15">
        <f>Table5[[#This Row],[Cost of Sales]]-Table5[[#This Row],[Standard cost]]</f>
        <v>2164.7999999999993</v>
      </c>
      <c r="U796" s="15">
        <f>Table5[[#This Row],[Net Sales Revenue]]-Table5[[#This Row],[Cost of Sales]]</f>
        <v>13710.399999999998</v>
      </c>
      <c r="V796" s="17">
        <f>Table5[[#This Row],[GrossProfit]]/Table5[[#This Row],[Net Sales Revenue]]</f>
        <v>0.31932773109243695</v>
      </c>
    </row>
    <row r="797" spans="1:22" ht="14.25" customHeight="1" x14ac:dyDescent="0.25">
      <c r="A797" s="1" t="s">
        <v>880</v>
      </c>
      <c r="B797" s="1" t="s">
        <v>850</v>
      </c>
      <c r="C797" s="1" t="s">
        <v>52</v>
      </c>
      <c r="D797" s="1" t="s">
        <v>17</v>
      </c>
      <c r="E797" s="1" t="s">
        <v>15</v>
      </c>
      <c r="F797" s="1">
        <v>1663</v>
      </c>
      <c r="G797" s="14">
        <v>35</v>
      </c>
      <c r="H797" s="1">
        <v>0.13</v>
      </c>
      <c r="I797" s="14">
        <v>50638.35</v>
      </c>
      <c r="J797" s="14">
        <v>32328.720000000001</v>
      </c>
      <c r="K797" s="15">
        <f>Table5[[#This Row],[Selling Price]]*Table5[[#This Row],[Units Sold]]</f>
        <v>58205</v>
      </c>
      <c r="L797" t="str">
        <f t="shared" si="12"/>
        <v>2024-06</v>
      </c>
      <c r="M797" t="str">
        <f>VLOOKUP(Table5[[#This Row],[Store ID]],Table4[[Store ID]:[Store Location]],2)</f>
        <v>Glasgow</v>
      </c>
      <c r="N797" t="str">
        <f>VLOOKUP(Table5[[#This Row],[Store ID]],Table4[[Store ID]:[Region]],3)</f>
        <v>Scotland</v>
      </c>
      <c r="O797" t="str">
        <f>VLOOKUP(Table5[[#This Row],[Product ID]],'Product Master'!$A$2:$D$10,4)</f>
        <v>Supplier C</v>
      </c>
      <c r="P797" s="15">
        <f>Table5[[#This Row],[Total Revenue]]-Table5[[#This Row],[Net Sales Revenue]]</f>
        <v>7566.6500000000015</v>
      </c>
      <c r="Q797" s="15">
        <f>Table5[[#This Row],[Net Sales Revenue]]/Table5[[#This Row],[Units Sold]]</f>
        <v>30.45</v>
      </c>
      <c r="R797">
        <f>VLOOKUP(Table5[[#This Row],[Product ID]],'Product Master'!$A$1:$E$10,5,FALSE)</f>
        <v>18</v>
      </c>
      <c r="S797" s="15">
        <f>Table5[[#This Row],[standard product cost per unit]]*Table5[[#This Row],[Units Sold]]</f>
        <v>29934</v>
      </c>
      <c r="T797" s="15">
        <f>Table5[[#This Row],[Cost of Sales]]-Table5[[#This Row],[Standard cost]]</f>
        <v>2394.7200000000012</v>
      </c>
      <c r="U797" s="15">
        <f>Table5[[#This Row],[Net Sales Revenue]]-Table5[[#This Row],[Cost of Sales]]</f>
        <v>18309.629999999997</v>
      </c>
      <c r="V797" s="17">
        <f>Table5[[#This Row],[GrossProfit]]/Table5[[#This Row],[Net Sales Revenue]]</f>
        <v>0.36157635467980292</v>
      </c>
    </row>
    <row r="798" spans="1:22" ht="14.25" customHeight="1" x14ac:dyDescent="0.25">
      <c r="A798" s="1" t="s">
        <v>881</v>
      </c>
      <c r="B798" s="1" t="s">
        <v>850</v>
      </c>
      <c r="C798" s="1" t="s">
        <v>52</v>
      </c>
      <c r="D798" s="1" t="s">
        <v>19</v>
      </c>
      <c r="E798" s="1" t="s">
        <v>21</v>
      </c>
      <c r="F798" s="1">
        <v>2578</v>
      </c>
      <c r="G798" s="14">
        <v>18</v>
      </c>
      <c r="H798" s="1">
        <v>0.15</v>
      </c>
      <c r="I798" s="14">
        <v>39443.4</v>
      </c>
      <c r="J798" s="14">
        <v>25058.16</v>
      </c>
      <c r="K798" s="15">
        <f>Table5[[#This Row],[Selling Price]]*Table5[[#This Row],[Units Sold]]</f>
        <v>46404</v>
      </c>
      <c r="L798" t="str">
        <f t="shared" si="12"/>
        <v>2024-06</v>
      </c>
      <c r="M798" t="str">
        <f>VLOOKUP(Table5[[#This Row],[Store ID]],Table4[[Store ID]:[Store Location]],2)</f>
        <v>Glasgow</v>
      </c>
      <c r="N798" t="str">
        <f>VLOOKUP(Table5[[#This Row],[Store ID]],Table4[[Store ID]:[Region]],3)</f>
        <v>Scotland</v>
      </c>
      <c r="O798" t="str">
        <f>VLOOKUP(Table5[[#This Row],[Product ID]],'Product Master'!$A$2:$D$10,4)</f>
        <v>Supplier D</v>
      </c>
      <c r="P798" s="15">
        <f>Table5[[#This Row],[Total Revenue]]-Table5[[#This Row],[Net Sales Revenue]]</f>
        <v>6960.5999999999985</v>
      </c>
      <c r="Q798" s="15">
        <f>Table5[[#This Row],[Net Sales Revenue]]/Table5[[#This Row],[Units Sold]]</f>
        <v>15.3</v>
      </c>
      <c r="R798">
        <f>VLOOKUP(Table5[[#This Row],[Product ID]],'Product Master'!$A$1:$E$10,5,FALSE)</f>
        <v>9</v>
      </c>
      <c r="S798" s="15">
        <f>Table5[[#This Row],[standard product cost per unit]]*Table5[[#This Row],[Units Sold]]</f>
        <v>23202</v>
      </c>
      <c r="T798" s="15">
        <f>Table5[[#This Row],[Cost of Sales]]-Table5[[#This Row],[Standard cost]]</f>
        <v>1856.1599999999999</v>
      </c>
      <c r="U798" s="15">
        <f>Table5[[#This Row],[Net Sales Revenue]]-Table5[[#This Row],[Cost of Sales]]</f>
        <v>14385.240000000002</v>
      </c>
      <c r="V798" s="17">
        <f>Table5[[#This Row],[GrossProfit]]/Table5[[#This Row],[Net Sales Revenue]]</f>
        <v>0.36470588235294121</v>
      </c>
    </row>
    <row r="799" spans="1:22" ht="14.25" customHeight="1" x14ac:dyDescent="0.25">
      <c r="A799" s="1" t="s">
        <v>882</v>
      </c>
      <c r="B799" s="1" t="s">
        <v>850</v>
      </c>
      <c r="C799" s="1" t="s">
        <v>52</v>
      </c>
      <c r="D799" s="1" t="s">
        <v>23</v>
      </c>
      <c r="E799" s="1" t="s">
        <v>21</v>
      </c>
      <c r="F799" s="1">
        <v>2582</v>
      </c>
      <c r="G799" s="14">
        <v>30</v>
      </c>
      <c r="H799" s="1">
        <v>0.12</v>
      </c>
      <c r="I799" s="14">
        <v>68164.800000000003</v>
      </c>
      <c r="J799" s="14">
        <v>39039.839999999997</v>
      </c>
      <c r="K799" s="15">
        <f>Table5[[#This Row],[Selling Price]]*Table5[[#This Row],[Units Sold]]</f>
        <v>77460</v>
      </c>
      <c r="L799" t="str">
        <f t="shared" si="12"/>
        <v>2024-06</v>
      </c>
      <c r="M799" t="str">
        <f>VLOOKUP(Table5[[#This Row],[Store ID]],Table4[[Store ID]:[Store Location]],2)</f>
        <v>Glasgow</v>
      </c>
      <c r="N799" t="str">
        <f>VLOOKUP(Table5[[#This Row],[Store ID]],Table4[[Store ID]:[Region]],3)</f>
        <v>Scotland</v>
      </c>
      <c r="O799" t="str">
        <f>VLOOKUP(Table5[[#This Row],[Product ID]],'Product Master'!$A$2:$D$10,4)</f>
        <v>Supplier D</v>
      </c>
      <c r="P799" s="15">
        <f>Table5[[#This Row],[Total Revenue]]-Table5[[#This Row],[Net Sales Revenue]]</f>
        <v>9295.1999999999971</v>
      </c>
      <c r="Q799" s="15">
        <f>Table5[[#This Row],[Net Sales Revenue]]/Table5[[#This Row],[Units Sold]]</f>
        <v>26.400000000000002</v>
      </c>
      <c r="R799">
        <f>VLOOKUP(Table5[[#This Row],[Product ID]],'Product Master'!$A$1:$E$10,5,FALSE)</f>
        <v>14</v>
      </c>
      <c r="S799" s="15">
        <f>Table5[[#This Row],[standard product cost per unit]]*Table5[[#This Row],[Units Sold]]</f>
        <v>36148</v>
      </c>
      <c r="T799" s="15">
        <f>Table5[[#This Row],[Cost of Sales]]-Table5[[#This Row],[Standard cost]]</f>
        <v>2891.8399999999965</v>
      </c>
      <c r="U799" s="15">
        <f>Table5[[#This Row],[Net Sales Revenue]]-Table5[[#This Row],[Cost of Sales]]</f>
        <v>29124.960000000006</v>
      </c>
      <c r="V799" s="17">
        <f>Table5[[#This Row],[GrossProfit]]/Table5[[#This Row],[Net Sales Revenue]]</f>
        <v>0.42727272727272736</v>
      </c>
    </row>
    <row r="800" spans="1:22" ht="14.25" customHeight="1" x14ac:dyDescent="0.25">
      <c r="A800" s="1" t="s">
        <v>883</v>
      </c>
      <c r="B800" s="1" t="s">
        <v>850</v>
      </c>
      <c r="C800" s="1" t="s">
        <v>52</v>
      </c>
      <c r="D800" s="1" t="s">
        <v>25</v>
      </c>
      <c r="E800" s="1" t="s">
        <v>27</v>
      </c>
      <c r="F800" s="1">
        <v>2398</v>
      </c>
      <c r="G800" s="14">
        <v>40</v>
      </c>
      <c r="H800" s="1">
        <v>0.16</v>
      </c>
      <c r="I800" s="14">
        <v>80572.800000000003</v>
      </c>
      <c r="J800" s="14">
        <v>51796.800000000003</v>
      </c>
      <c r="K800" s="15">
        <f>Table5[[#This Row],[Selling Price]]*Table5[[#This Row],[Units Sold]]</f>
        <v>95920</v>
      </c>
      <c r="L800" t="str">
        <f t="shared" si="12"/>
        <v>2024-06</v>
      </c>
      <c r="M800" t="str">
        <f>VLOOKUP(Table5[[#This Row],[Store ID]],Table4[[Store ID]:[Store Location]],2)</f>
        <v>Glasgow</v>
      </c>
      <c r="N800" t="str">
        <f>VLOOKUP(Table5[[#This Row],[Store ID]],Table4[[Store ID]:[Region]],3)</f>
        <v>Scotland</v>
      </c>
      <c r="O800" t="str">
        <f>VLOOKUP(Table5[[#This Row],[Product ID]],'Product Master'!$A$2:$D$10,4)</f>
        <v>Supplier E</v>
      </c>
      <c r="P800" s="15">
        <f>Table5[[#This Row],[Total Revenue]]-Table5[[#This Row],[Net Sales Revenue]]</f>
        <v>15347.199999999997</v>
      </c>
      <c r="Q800" s="15">
        <f>Table5[[#This Row],[Net Sales Revenue]]/Table5[[#This Row],[Units Sold]]</f>
        <v>33.6</v>
      </c>
      <c r="R800">
        <f>VLOOKUP(Table5[[#This Row],[Product ID]],'Product Master'!$A$1:$E$10,5,FALSE)</f>
        <v>20</v>
      </c>
      <c r="S800" s="15">
        <f>Table5[[#This Row],[standard product cost per unit]]*Table5[[#This Row],[Units Sold]]</f>
        <v>47960</v>
      </c>
      <c r="T800" s="15">
        <f>Table5[[#This Row],[Cost of Sales]]-Table5[[#This Row],[Standard cost]]</f>
        <v>3836.8000000000029</v>
      </c>
      <c r="U800" s="15">
        <f>Table5[[#This Row],[Net Sales Revenue]]-Table5[[#This Row],[Cost of Sales]]</f>
        <v>28776</v>
      </c>
      <c r="V800" s="17">
        <f>Table5[[#This Row],[GrossProfit]]/Table5[[#This Row],[Net Sales Revenue]]</f>
        <v>0.35714285714285715</v>
      </c>
    </row>
    <row r="801" spans="1:22" ht="14.25" customHeight="1" x14ac:dyDescent="0.25">
      <c r="A801" s="1" t="s">
        <v>884</v>
      </c>
      <c r="B801" s="1" t="s">
        <v>850</v>
      </c>
      <c r="C801" s="1" t="s">
        <v>52</v>
      </c>
      <c r="D801" s="1" t="s">
        <v>29</v>
      </c>
      <c r="E801" s="1" t="s">
        <v>31</v>
      </c>
      <c r="F801" s="1">
        <v>2829</v>
      </c>
      <c r="G801" s="14">
        <v>10</v>
      </c>
      <c r="H801" s="1">
        <v>0.12</v>
      </c>
      <c r="I801" s="14">
        <v>24895.200000000001</v>
      </c>
      <c r="J801" s="14">
        <v>12221.28</v>
      </c>
      <c r="K801" s="15">
        <f>Table5[[#This Row],[Selling Price]]*Table5[[#This Row],[Units Sold]]</f>
        <v>28290</v>
      </c>
      <c r="L801" t="str">
        <f t="shared" si="12"/>
        <v>2024-06</v>
      </c>
      <c r="M801" t="str">
        <f>VLOOKUP(Table5[[#This Row],[Store ID]],Table4[[Store ID]:[Store Location]],2)</f>
        <v>Glasgow</v>
      </c>
      <c r="N801" t="str">
        <f>VLOOKUP(Table5[[#This Row],[Store ID]],Table4[[Store ID]:[Region]],3)</f>
        <v>Scotland</v>
      </c>
      <c r="O801" t="str">
        <f>VLOOKUP(Table5[[#This Row],[Product ID]],'Product Master'!$A$2:$D$10,4)</f>
        <v>Supplier F</v>
      </c>
      <c r="P801" s="15">
        <f>Table5[[#This Row],[Total Revenue]]-Table5[[#This Row],[Net Sales Revenue]]</f>
        <v>3394.7999999999993</v>
      </c>
      <c r="Q801" s="15">
        <f>Table5[[#This Row],[Net Sales Revenue]]/Table5[[#This Row],[Units Sold]]</f>
        <v>8.8000000000000007</v>
      </c>
      <c r="R801">
        <f>VLOOKUP(Table5[[#This Row],[Product ID]],'Product Master'!$A$1:$E$10,5,FALSE)</f>
        <v>4</v>
      </c>
      <c r="S801" s="15">
        <f>Table5[[#This Row],[standard product cost per unit]]*Table5[[#This Row],[Units Sold]]</f>
        <v>11316</v>
      </c>
      <c r="T801" s="15">
        <f>Table5[[#This Row],[Cost of Sales]]-Table5[[#This Row],[Standard cost]]</f>
        <v>905.28000000000065</v>
      </c>
      <c r="U801" s="15">
        <f>Table5[[#This Row],[Net Sales Revenue]]-Table5[[#This Row],[Cost of Sales]]</f>
        <v>12673.92</v>
      </c>
      <c r="V801" s="17">
        <f>Table5[[#This Row],[GrossProfit]]/Table5[[#This Row],[Net Sales Revenue]]</f>
        <v>0.50909090909090904</v>
      </c>
    </row>
    <row r="802" spans="1:22" ht="14.25" customHeight="1" x14ac:dyDescent="0.25">
      <c r="A802" s="1" t="s">
        <v>885</v>
      </c>
      <c r="B802" s="1" t="s">
        <v>850</v>
      </c>
      <c r="C802" s="1" t="s">
        <v>52</v>
      </c>
      <c r="D802" s="1" t="s">
        <v>33</v>
      </c>
      <c r="E802" s="1" t="s">
        <v>31</v>
      </c>
      <c r="F802" s="1">
        <v>2318</v>
      </c>
      <c r="G802" s="14">
        <v>22</v>
      </c>
      <c r="H802" s="1">
        <v>0.14000000000000001</v>
      </c>
      <c r="I802" s="14">
        <v>43856.56</v>
      </c>
      <c r="J802" s="14">
        <v>25034.400000000001</v>
      </c>
      <c r="K802" s="15">
        <f>Table5[[#This Row],[Selling Price]]*Table5[[#This Row],[Units Sold]]</f>
        <v>50996</v>
      </c>
      <c r="L802" t="str">
        <f t="shared" si="12"/>
        <v>2024-06</v>
      </c>
      <c r="M802" t="str">
        <f>VLOOKUP(Table5[[#This Row],[Store ID]],Table4[[Store ID]:[Store Location]],2)</f>
        <v>Glasgow</v>
      </c>
      <c r="N802" t="str">
        <f>VLOOKUP(Table5[[#This Row],[Store ID]],Table4[[Store ID]:[Region]],3)</f>
        <v>Scotland</v>
      </c>
      <c r="O802" t="str">
        <f>VLOOKUP(Table5[[#This Row],[Product ID]],'Product Master'!$A$2:$D$10,4)</f>
        <v>Supplier F</v>
      </c>
      <c r="P802" s="15">
        <f>Table5[[#This Row],[Total Revenue]]-Table5[[#This Row],[Net Sales Revenue]]</f>
        <v>7139.4400000000023</v>
      </c>
      <c r="Q802" s="15">
        <f>Table5[[#This Row],[Net Sales Revenue]]/Table5[[#This Row],[Units Sold]]</f>
        <v>18.919999999999998</v>
      </c>
      <c r="R802">
        <f>VLOOKUP(Table5[[#This Row],[Product ID]],'Product Master'!$A$1:$E$10,5,FALSE)</f>
        <v>10</v>
      </c>
      <c r="S802" s="15">
        <f>Table5[[#This Row],[standard product cost per unit]]*Table5[[#This Row],[Units Sold]]</f>
        <v>23180</v>
      </c>
      <c r="T802" s="15">
        <f>Table5[[#This Row],[Cost of Sales]]-Table5[[#This Row],[Standard cost]]</f>
        <v>1854.4000000000015</v>
      </c>
      <c r="U802" s="15">
        <f>Table5[[#This Row],[Net Sales Revenue]]-Table5[[#This Row],[Cost of Sales]]</f>
        <v>18822.159999999996</v>
      </c>
      <c r="V802" s="17">
        <f>Table5[[#This Row],[GrossProfit]]/Table5[[#This Row],[Net Sales Revenue]]</f>
        <v>0.42917547568710351</v>
      </c>
    </row>
    <row r="803" spans="1:22" ht="14.25" customHeight="1" x14ac:dyDescent="0.25">
      <c r="A803" s="1" t="s">
        <v>886</v>
      </c>
      <c r="B803" s="1" t="s">
        <v>850</v>
      </c>
      <c r="C803" s="1" t="s">
        <v>56</v>
      </c>
      <c r="D803" s="1" t="s">
        <v>6</v>
      </c>
      <c r="E803" s="1" t="s">
        <v>8</v>
      </c>
      <c r="F803" s="1">
        <v>1707</v>
      </c>
      <c r="G803" s="14">
        <v>24</v>
      </c>
      <c r="H803" s="1">
        <v>0.13</v>
      </c>
      <c r="I803" s="14">
        <v>35642.160000000003</v>
      </c>
      <c r="J803" s="14">
        <v>22122.720000000001</v>
      </c>
      <c r="K803" s="15">
        <f>Table5[[#This Row],[Selling Price]]*Table5[[#This Row],[Units Sold]]</f>
        <v>40968</v>
      </c>
      <c r="L803" t="str">
        <f t="shared" si="12"/>
        <v>2024-06</v>
      </c>
      <c r="M803" t="str">
        <f>VLOOKUP(Table5[[#This Row],[Store ID]],Table4[[Store ID]:[Store Location]],2)</f>
        <v>Leeds</v>
      </c>
      <c r="N803" t="str">
        <f>VLOOKUP(Table5[[#This Row],[Store ID]],Table4[[Store ID]:[Region]],3)</f>
        <v>North</v>
      </c>
      <c r="O803" t="str">
        <f>VLOOKUP(Table5[[#This Row],[Product ID]],'Product Master'!$A$2:$D$10,4)</f>
        <v>Supplier A</v>
      </c>
      <c r="P803" s="15">
        <f>Table5[[#This Row],[Total Revenue]]-Table5[[#This Row],[Net Sales Revenue]]</f>
        <v>5325.8399999999965</v>
      </c>
      <c r="Q803" s="15">
        <f>Table5[[#This Row],[Net Sales Revenue]]/Table5[[#This Row],[Units Sold]]</f>
        <v>20.880000000000003</v>
      </c>
      <c r="R803">
        <f>VLOOKUP(Table5[[#This Row],[Product ID]],'Product Master'!$A$1:$E$10,5,FALSE)</f>
        <v>12</v>
      </c>
      <c r="S803" s="15">
        <f>Table5[[#This Row],[standard product cost per unit]]*Table5[[#This Row],[Units Sold]]</f>
        <v>20484</v>
      </c>
      <c r="T803" s="15">
        <f>Table5[[#This Row],[Cost of Sales]]-Table5[[#This Row],[Standard cost]]</f>
        <v>1638.7200000000012</v>
      </c>
      <c r="U803" s="15">
        <f>Table5[[#This Row],[Net Sales Revenue]]-Table5[[#This Row],[Cost of Sales]]</f>
        <v>13519.440000000002</v>
      </c>
      <c r="V803" s="17">
        <f>Table5[[#This Row],[GrossProfit]]/Table5[[#This Row],[Net Sales Revenue]]</f>
        <v>0.37931034482758624</v>
      </c>
    </row>
    <row r="804" spans="1:22" ht="14.25" customHeight="1" x14ac:dyDescent="0.25">
      <c r="A804" s="1" t="s">
        <v>887</v>
      </c>
      <c r="B804" s="1" t="s">
        <v>850</v>
      </c>
      <c r="C804" s="1" t="s">
        <v>56</v>
      </c>
      <c r="D804" s="1" t="s">
        <v>10</v>
      </c>
      <c r="E804" s="1" t="s">
        <v>8</v>
      </c>
      <c r="F804" s="1">
        <v>2688</v>
      </c>
      <c r="G804" s="14">
        <v>50</v>
      </c>
      <c r="H804" s="1">
        <v>0.14000000000000001</v>
      </c>
      <c r="I804" s="14">
        <v>115584</v>
      </c>
      <c r="J804" s="14">
        <v>81285.119999999995</v>
      </c>
      <c r="K804" s="15">
        <f>Table5[[#This Row],[Selling Price]]*Table5[[#This Row],[Units Sold]]</f>
        <v>134400</v>
      </c>
      <c r="L804" t="str">
        <f t="shared" si="12"/>
        <v>2024-06</v>
      </c>
      <c r="M804" t="str">
        <f>VLOOKUP(Table5[[#This Row],[Store ID]],Table4[[Store ID]:[Store Location]],2)</f>
        <v>Leeds</v>
      </c>
      <c r="N804" t="str">
        <f>VLOOKUP(Table5[[#This Row],[Store ID]],Table4[[Store ID]:[Region]],3)</f>
        <v>North</v>
      </c>
      <c r="O804" t="str">
        <f>VLOOKUP(Table5[[#This Row],[Product ID]],'Product Master'!$A$2:$D$10,4)</f>
        <v>Supplier B</v>
      </c>
      <c r="P804" s="15">
        <f>Table5[[#This Row],[Total Revenue]]-Table5[[#This Row],[Net Sales Revenue]]</f>
        <v>18816</v>
      </c>
      <c r="Q804" s="15">
        <f>Table5[[#This Row],[Net Sales Revenue]]/Table5[[#This Row],[Units Sold]]</f>
        <v>43</v>
      </c>
      <c r="R804">
        <f>VLOOKUP(Table5[[#This Row],[Product ID]],'Product Master'!$A$1:$E$10,5,FALSE)</f>
        <v>28</v>
      </c>
      <c r="S804" s="15">
        <f>Table5[[#This Row],[standard product cost per unit]]*Table5[[#This Row],[Units Sold]]</f>
        <v>75264</v>
      </c>
      <c r="T804" s="15">
        <f>Table5[[#This Row],[Cost of Sales]]-Table5[[#This Row],[Standard cost]]</f>
        <v>6021.1199999999953</v>
      </c>
      <c r="U804" s="15">
        <f>Table5[[#This Row],[Net Sales Revenue]]-Table5[[#This Row],[Cost of Sales]]</f>
        <v>34298.880000000005</v>
      </c>
      <c r="V804" s="17">
        <f>Table5[[#This Row],[GrossProfit]]/Table5[[#This Row],[Net Sales Revenue]]</f>
        <v>0.29674418604651165</v>
      </c>
    </row>
    <row r="805" spans="1:22" ht="14.25" customHeight="1" x14ac:dyDescent="0.25">
      <c r="A805" s="1" t="s">
        <v>888</v>
      </c>
      <c r="B805" s="1" t="s">
        <v>850</v>
      </c>
      <c r="C805" s="1" t="s">
        <v>56</v>
      </c>
      <c r="D805" s="1" t="s">
        <v>13</v>
      </c>
      <c r="E805" s="1" t="s">
        <v>15</v>
      </c>
      <c r="F805" s="1">
        <v>2098</v>
      </c>
      <c r="G805" s="14">
        <v>28</v>
      </c>
      <c r="H805" s="1">
        <v>0.17</v>
      </c>
      <c r="I805" s="14">
        <v>48757.52</v>
      </c>
      <c r="J805" s="14">
        <v>33987.599999999999</v>
      </c>
      <c r="K805" s="15">
        <f>Table5[[#This Row],[Selling Price]]*Table5[[#This Row],[Units Sold]]</f>
        <v>58744</v>
      </c>
      <c r="L805" t="str">
        <f t="shared" si="12"/>
        <v>2024-06</v>
      </c>
      <c r="M805" t="str">
        <f>VLOOKUP(Table5[[#This Row],[Store ID]],Table4[[Store ID]:[Store Location]],2)</f>
        <v>Leeds</v>
      </c>
      <c r="N805" t="str">
        <f>VLOOKUP(Table5[[#This Row],[Store ID]],Table4[[Store ID]:[Region]],3)</f>
        <v>North</v>
      </c>
      <c r="O805" t="str">
        <f>VLOOKUP(Table5[[#This Row],[Product ID]],'Product Master'!$A$2:$D$10,4)</f>
        <v>Supplier C</v>
      </c>
      <c r="P805" s="15">
        <f>Table5[[#This Row],[Total Revenue]]-Table5[[#This Row],[Net Sales Revenue]]</f>
        <v>9986.4800000000032</v>
      </c>
      <c r="Q805" s="15">
        <f>Table5[[#This Row],[Net Sales Revenue]]/Table5[[#This Row],[Units Sold]]</f>
        <v>23.24</v>
      </c>
      <c r="R805">
        <f>VLOOKUP(Table5[[#This Row],[Product ID]],'Product Master'!$A$1:$E$10,5,FALSE)</f>
        <v>15</v>
      </c>
      <c r="S805" s="15">
        <f>Table5[[#This Row],[standard product cost per unit]]*Table5[[#This Row],[Units Sold]]</f>
        <v>31470</v>
      </c>
      <c r="T805" s="15">
        <f>Table5[[#This Row],[Cost of Sales]]-Table5[[#This Row],[Standard cost]]</f>
        <v>2517.5999999999985</v>
      </c>
      <c r="U805" s="15">
        <f>Table5[[#This Row],[Net Sales Revenue]]-Table5[[#This Row],[Cost of Sales]]</f>
        <v>14769.919999999998</v>
      </c>
      <c r="V805" s="17">
        <f>Table5[[#This Row],[GrossProfit]]/Table5[[#This Row],[Net Sales Revenue]]</f>
        <v>0.30292598967297762</v>
      </c>
    </row>
    <row r="806" spans="1:22" ht="14.25" customHeight="1" x14ac:dyDescent="0.25">
      <c r="A806" s="1" t="s">
        <v>889</v>
      </c>
      <c r="B806" s="1" t="s">
        <v>850</v>
      </c>
      <c r="C806" s="1" t="s">
        <v>56</v>
      </c>
      <c r="D806" s="1" t="s">
        <v>17</v>
      </c>
      <c r="E806" s="1" t="s">
        <v>15</v>
      </c>
      <c r="F806" s="1">
        <v>1887</v>
      </c>
      <c r="G806" s="14">
        <v>35</v>
      </c>
      <c r="H806" s="1">
        <v>0.16</v>
      </c>
      <c r="I806" s="14">
        <v>55477.8</v>
      </c>
      <c r="J806" s="14">
        <v>36683.279999999999</v>
      </c>
      <c r="K806" s="15">
        <f>Table5[[#This Row],[Selling Price]]*Table5[[#This Row],[Units Sold]]</f>
        <v>66045</v>
      </c>
      <c r="L806" t="str">
        <f t="shared" si="12"/>
        <v>2024-06</v>
      </c>
      <c r="M806" t="str">
        <f>VLOOKUP(Table5[[#This Row],[Store ID]],Table4[[Store ID]:[Store Location]],2)</f>
        <v>Leeds</v>
      </c>
      <c r="N806" t="str">
        <f>VLOOKUP(Table5[[#This Row],[Store ID]],Table4[[Store ID]:[Region]],3)</f>
        <v>North</v>
      </c>
      <c r="O806" t="str">
        <f>VLOOKUP(Table5[[#This Row],[Product ID]],'Product Master'!$A$2:$D$10,4)</f>
        <v>Supplier C</v>
      </c>
      <c r="P806" s="15">
        <f>Table5[[#This Row],[Total Revenue]]-Table5[[#This Row],[Net Sales Revenue]]</f>
        <v>10567.199999999997</v>
      </c>
      <c r="Q806" s="15">
        <f>Table5[[#This Row],[Net Sales Revenue]]/Table5[[#This Row],[Units Sold]]</f>
        <v>29.400000000000002</v>
      </c>
      <c r="R806">
        <f>VLOOKUP(Table5[[#This Row],[Product ID]],'Product Master'!$A$1:$E$10,5,FALSE)</f>
        <v>18</v>
      </c>
      <c r="S806" s="15">
        <f>Table5[[#This Row],[standard product cost per unit]]*Table5[[#This Row],[Units Sold]]</f>
        <v>33966</v>
      </c>
      <c r="T806" s="15">
        <f>Table5[[#This Row],[Cost of Sales]]-Table5[[#This Row],[Standard cost]]</f>
        <v>2717.2799999999988</v>
      </c>
      <c r="U806" s="15">
        <f>Table5[[#This Row],[Net Sales Revenue]]-Table5[[#This Row],[Cost of Sales]]</f>
        <v>18794.520000000004</v>
      </c>
      <c r="V806" s="17">
        <f>Table5[[#This Row],[GrossProfit]]/Table5[[#This Row],[Net Sales Revenue]]</f>
        <v>0.3387755102040817</v>
      </c>
    </row>
    <row r="807" spans="1:22" ht="14.25" customHeight="1" x14ac:dyDescent="0.25">
      <c r="A807" s="1" t="s">
        <v>890</v>
      </c>
      <c r="B807" s="1" t="s">
        <v>850</v>
      </c>
      <c r="C807" s="1" t="s">
        <v>56</v>
      </c>
      <c r="D807" s="1" t="s">
        <v>19</v>
      </c>
      <c r="E807" s="1" t="s">
        <v>21</v>
      </c>
      <c r="F807" s="1">
        <v>1412</v>
      </c>
      <c r="G807" s="14">
        <v>18</v>
      </c>
      <c r="H807" s="1">
        <v>0.13</v>
      </c>
      <c r="I807" s="14">
        <v>22111.919999999998</v>
      </c>
      <c r="J807" s="14">
        <v>13724.64</v>
      </c>
      <c r="K807" s="15">
        <f>Table5[[#This Row],[Selling Price]]*Table5[[#This Row],[Units Sold]]</f>
        <v>25416</v>
      </c>
      <c r="L807" t="str">
        <f t="shared" si="12"/>
        <v>2024-06</v>
      </c>
      <c r="M807" t="str">
        <f>VLOOKUP(Table5[[#This Row],[Store ID]],Table4[[Store ID]:[Store Location]],2)</f>
        <v>Leeds</v>
      </c>
      <c r="N807" t="str">
        <f>VLOOKUP(Table5[[#This Row],[Store ID]],Table4[[Store ID]:[Region]],3)</f>
        <v>North</v>
      </c>
      <c r="O807" t="str">
        <f>VLOOKUP(Table5[[#This Row],[Product ID]],'Product Master'!$A$2:$D$10,4)</f>
        <v>Supplier D</v>
      </c>
      <c r="P807" s="15">
        <f>Table5[[#This Row],[Total Revenue]]-Table5[[#This Row],[Net Sales Revenue]]</f>
        <v>3304.0800000000017</v>
      </c>
      <c r="Q807" s="15">
        <f>Table5[[#This Row],[Net Sales Revenue]]/Table5[[#This Row],[Units Sold]]</f>
        <v>15.659999999999998</v>
      </c>
      <c r="R807">
        <f>VLOOKUP(Table5[[#This Row],[Product ID]],'Product Master'!$A$1:$E$10,5,FALSE)</f>
        <v>9</v>
      </c>
      <c r="S807" s="15">
        <f>Table5[[#This Row],[standard product cost per unit]]*Table5[[#This Row],[Units Sold]]</f>
        <v>12708</v>
      </c>
      <c r="T807" s="15">
        <f>Table5[[#This Row],[Cost of Sales]]-Table5[[#This Row],[Standard cost]]</f>
        <v>1016.6399999999994</v>
      </c>
      <c r="U807" s="15">
        <f>Table5[[#This Row],[Net Sales Revenue]]-Table5[[#This Row],[Cost of Sales]]</f>
        <v>8387.2799999999988</v>
      </c>
      <c r="V807" s="17">
        <f>Table5[[#This Row],[GrossProfit]]/Table5[[#This Row],[Net Sales Revenue]]</f>
        <v>0.37931034482758619</v>
      </c>
    </row>
    <row r="808" spans="1:22" ht="14.25" customHeight="1" x14ac:dyDescent="0.25">
      <c r="A808" s="1" t="s">
        <v>891</v>
      </c>
      <c r="B808" s="1" t="s">
        <v>850</v>
      </c>
      <c r="C808" s="1" t="s">
        <v>56</v>
      </c>
      <c r="D808" s="1" t="s">
        <v>23</v>
      </c>
      <c r="E808" s="1" t="s">
        <v>21</v>
      </c>
      <c r="F808" s="1">
        <v>2516</v>
      </c>
      <c r="G808" s="14">
        <v>30</v>
      </c>
      <c r="H808" s="1">
        <v>0.16</v>
      </c>
      <c r="I808" s="14">
        <v>63403.199999999997</v>
      </c>
      <c r="J808" s="14">
        <v>38041.919999999998</v>
      </c>
      <c r="K808" s="15">
        <f>Table5[[#This Row],[Selling Price]]*Table5[[#This Row],[Units Sold]]</f>
        <v>75480</v>
      </c>
      <c r="L808" t="str">
        <f t="shared" si="12"/>
        <v>2024-06</v>
      </c>
      <c r="M808" t="str">
        <f>VLOOKUP(Table5[[#This Row],[Store ID]],Table4[[Store ID]:[Store Location]],2)</f>
        <v>Leeds</v>
      </c>
      <c r="N808" t="str">
        <f>VLOOKUP(Table5[[#This Row],[Store ID]],Table4[[Store ID]:[Region]],3)</f>
        <v>North</v>
      </c>
      <c r="O808" t="str">
        <f>VLOOKUP(Table5[[#This Row],[Product ID]],'Product Master'!$A$2:$D$10,4)</f>
        <v>Supplier D</v>
      </c>
      <c r="P808" s="15">
        <f>Table5[[#This Row],[Total Revenue]]-Table5[[#This Row],[Net Sales Revenue]]</f>
        <v>12076.800000000003</v>
      </c>
      <c r="Q808" s="15">
        <f>Table5[[#This Row],[Net Sales Revenue]]/Table5[[#This Row],[Units Sold]]</f>
        <v>25.2</v>
      </c>
      <c r="R808">
        <f>VLOOKUP(Table5[[#This Row],[Product ID]],'Product Master'!$A$1:$E$10,5,FALSE)</f>
        <v>14</v>
      </c>
      <c r="S808" s="15">
        <f>Table5[[#This Row],[standard product cost per unit]]*Table5[[#This Row],[Units Sold]]</f>
        <v>35224</v>
      </c>
      <c r="T808" s="15">
        <f>Table5[[#This Row],[Cost of Sales]]-Table5[[#This Row],[Standard cost]]</f>
        <v>2817.9199999999983</v>
      </c>
      <c r="U808" s="15">
        <f>Table5[[#This Row],[Net Sales Revenue]]-Table5[[#This Row],[Cost of Sales]]</f>
        <v>25361.279999999999</v>
      </c>
      <c r="V808" s="17">
        <f>Table5[[#This Row],[GrossProfit]]/Table5[[#This Row],[Net Sales Revenue]]</f>
        <v>0.4</v>
      </c>
    </row>
    <row r="809" spans="1:22" ht="14.25" customHeight="1" x14ac:dyDescent="0.25">
      <c r="A809" s="1" t="s">
        <v>892</v>
      </c>
      <c r="B809" s="1" t="s">
        <v>850</v>
      </c>
      <c r="C809" s="1" t="s">
        <v>56</v>
      </c>
      <c r="D809" s="1" t="s">
        <v>25</v>
      </c>
      <c r="E809" s="1" t="s">
        <v>27</v>
      </c>
      <c r="F809" s="1">
        <v>1619</v>
      </c>
      <c r="G809" s="14">
        <v>40</v>
      </c>
      <c r="H809" s="1">
        <v>0.14000000000000001</v>
      </c>
      <c r="I809" s="14">
        <v>55693.599999999999</v>
      </c>
      <c r="J809" s="14">
        <v>34970.400000000001</v>
      </c>
      <c r="K809" s="15">
        <f>Table5[[#This Row],[Selling Price]]*Table5[[#This Row],[Units Sold]]</f>
        <v>64760</v>
      </c>
      <c r="L809" t="str">
        <f t="shared" si="12"/>
        <v>2024-06</v>
      </c>
      <c r="M809" t="str">
        <f>VLOOKUP(Table5[[#This Row],[Store ID]],Table4[[Store ID]:[Store Location]],2)</f>
        <v>Leeds</v>
      </c>
      <c r="N809" t="str">
        <f>VLOOKUP(Table5[[#This Row],[Store ID]],Table4[[Store ID]:[Region]],3)</f>
        <v>North</v>
      </c>
      <c r="O809" t="str">
        <f>VLOOKUP(Table5[[#This Row],[Product ID]],'Product Master'!$A$2:$D$10,4)</f>
        <v>Supplier E</v>
      </c>
      <c r="P809" s="15">
        <f>Table5[[#This Row],[Total Revenue]]-Table5[[#This Row],[Net Sales Revenue]]</f>
        <v>9066.4000000000015</v>
      </c>
      <c r="Q809" s="15">
        <f>Table5[[#This Row],[Net Sales Revenue]]/Table5[[#This Row],[Units Sold]]</f>
        <v>34.4</v>
      </c>
      <c r="R809">
        <f>VLOOKUP(Table5[[#This Row],[Product ID]],'Product Master'!$A$1:$E$10,5,FALSE)</f>
        <v>20</v>
      </c>
      <c r="S809" s="15">
        <f>Table5[[#This Row],[standard product cost per unit]]*Table5[[#This Row],[Units Sold]]</f>
        <v>32380</v>
      </c>
      <c r="T809" s="15">
        <f>Table5[[#This Row],[Cost of Sales]]-Table5[[#This Row],[Standard cost]]</f>
        <v>2590.4000000000015</v>
      </c>
      <c r="U809" s="15">
        <f>Table5[[#This Row],[Net Sales Revenue]]-Table5[[#This Row],[Cost of Sales]]</f>
        <v>20723.199999999997</v>
      </c>
      <c r="V809" s="17">
        <f>Table5[[#This Row],[GrossProfit]]/Table5[[#This Row],[Net Sales Revenue]]</f>
        <v>0.37209302325581389</v>
      </c>
    </row>
    <row r="810" spans="1:22" ht="14.25" customHeight="1" x14ac:dyDescent="0.25">
      <c r="A810" s="1" t="s">
        <v>893</v>
      </c>
      <c r="B810" s="1" t="s">
        <v>850</v>
      </c>
      <c r="C810" s="1" t="s">
        <v>56</v>
      </c>
      <c r="D810" s="1" t="s">
        <v>29</v>
      </c>
      <c r="E810" s="1" t="s">
        <v>31</v>
      </c>
      <c r="F810" s="1">
        <v>2305</v>
      </c>
      <c r="G810" s="14">
        <v>10</v>
      </c>
      <c r="H810" s="1">
        <v>0.16</v>
      </c>
      <c r="I810" s="14">
        <v>19362</v>
      </c>
      <c r="J810" s="14">
        <v>9957.6</v>
      </c>
      <c r="K810" s="15">
        <f>Table5[[#This Row],[Selling Price]]*Table5[[#This Row],[Units Sold]]</f>
        <v>23050</v>
      </c>
      <c r="L810" t="str">
        <f t="shared" si="12"/>
        <v>2024-06</v>
      </c>
      <c r="M810" t="str">
        <f>VLOOKUP(Table5[[#This Row],[Store ID]],Table4[[Store ID]:[Store Location]],2)</f>
        <v>Leeds</v>
      </c>
      <c r="N810" t="str">
        <f>VLOOKUP(Table5[[#This Row],[Store ID]],Table4[[Store ID]:[Region]],3)</f>
        <v>North</v>
      </c>
      <c r="O810" t="str">
        <f>VLOOKUP(Table5[[#This Row],[Product ID]],'Product Master'!$A$2:$D$10,4)</f>
        <v>Supplier F</v>
      </c>
      <c r="P810" s="15">
        <f>Table5[[#This Row],[Total Revenue]]-Table5[[#This Row],[Net Sales Revenue]]</f>
        <v>3688</v>
      </c>
      <c r="Q810" s="15">
        <f>Table5[[#This Row],[Net Sales Revenue]]/Table5[[#This Row],[Units Sold]]</f>
        <v>8.4</v>
      </c>
      <c r="R810">
        <f>VLOOKUP(Table5[[#This Row],[Product ID]],'Product Master'!$A$1:$E$10,5,FALSE)</f>
        <v>4</v>
      </c>
      <c r="S810" s="15">
        <f>Table5[[#This Row],[standard product cost per unit]]*Table5[[#This Row],[Units Sold]]</f>
        <v>9220</v>
      </c>
      <c r="T810" s="15">
        <f>Table5[[#This Row],[Cost of Sales]]-Table5[[#This Row],[Standard cost]]</f>
        <v>737.60000000000036</v>
      </c>
      <c r="U810" s="15">
        <f>Table5[[#This Row],[Net Sales Revenue]]-Table5[[#This Row],[Cost of Sales]]</f>
        <v>9404.4</v>
      </c>
      <c r="V810" s="17">
        <f>Table5[[#This Row],[GrossProfit]]/Table5[[#This Row],[Net Sales Revenue]]</f>
        <v>0.48571428571428571</v>
      </c>
    </row>
    <row r="811" spans="1:22" ht="14.25" customHeight="1" x14ac:dyDescent="0.25">
      <c r="A811" s="1" t="s">
        <v>894</v>
      </c>
      <c r="B811" s="1" t="s">
        <v>850</v>
      </c>
      <c r="C811" s="1" t="s">
        <v>56</v>
      </c>
      <c r="D811" s="1" t="s">
        <v>33</v>
      </c>
      <c r="E811" s="1" t="s">
        <v>31</v>
      </c>
      <c r="F811" s="1">
        <v>1636</v>
      </c>
      <c r="G811" s="14">
        <v>22</v>
      </c>
      <c r="H811" s="1">
        <v>0.15</v>
      </c>
      <c r="I811" s="14">
        <v>30593.200000000001</v>
      </c>
      <c r="J811" s="14">
        <v>17668.8</v>
      </c>
      <c r="K811" s="15">
        <f>Table5[[#This Row],[Selling Price]]*Table5[[#This Row],[Units Sold]]</f>
        <v>35992</v>
      </c>
      <c r="L811" t="str">
        <f t="shared" si="12"/>
        <v>2024-06</v>
      </c>
      <c r="M811" t="str">
        <f>VLOOKUP(Table5[[#This Row],[Store ID]],Table4[[Store ID]:[Store Location]],2)</f>
        <v>Leeds</v>
      </c>
      <c r="N811" t="str">
        <f>VLOOKUP(Table5[[#This Row],[Store ID]],Table4[[Store ID]:[Region]],3)</f>
        <v>North</v>
      </c>
      <c r="O811" t="str">
        <f>VLOOKUP(Table5[[#This Row],[Product ID]],'Product Master'!$A$2:$D$10,4)</f>
        <v>Supplier F</v>
      </c>
      <c r="P811" s="15">
        <f>Table5[[#This Row],[Total Revenue]]-Table5[[#This Row],[Net Sales Revenue]]</f>
        <v>5398.7999999999993</v>
      </c>
      <c r="Q811" s="15">
        <f>Table5[[#This Row],[Net Sales Revenue]]/Table5[[#This Row],[Units Sold]]</f>
        <v>18.7</v>
      </c>
      <c r="R811">
        <f>VLOOKUP(Table5[[#This Row],[Product ID]],'Product Master'!$A$1:$E$10,5,FALSE)</f>
        <v>10</v>
      </c>
      <c r="S811" s="15">
        <f>Table5[[#This Row],[standard product cost per unit]]*Table5[[#This Row],[Units Sold]]</f>
        <v>16360</v>
      </c>
      <c r="T811" s="15">
        <f>Table5[[#This Row],[Cost of Sales]]-Table5[[#This Row],[Standard cost]]</f>
        <v>1308.7999999999993</v>
      </c>
      <c r="U811" s="15">
        <f>Table5[[#This Row],[Net Sales Revenue]]-Table5[[#This Row],[Cost of Sales]]</f>
        <v>12924.400000000001</v>
      </c>
      <c r="V811" s="17">
        <f>Table5[[#This Row],[GrossProfit]]/Table5[[#This Row],[Net Sales Revenue]]</f>
        <v>0.42245989304812837</v>
      </c>
    </row>
    <row r="812" spans="1:22" ht="14.25" customHeight="1" x14ac:dyDescent="0.25">
      <c r="A812" s="1" t="s">
        <v>895</v>
      </c>
      <c r="B812" s="1" t="s">
        <v>896</v>
      </c>
      <c r="C812" s="1" t="s">
        <v>40</v>
      </c>
      <c r="D812" s="1" t="s">
        <v>6</v>
      </c>
      <c r="E812" s="1" t="s">
        <v>8</v>
      </c>
      <c r="F812" s="1">
        <v>1553</v>
      </c>
      <c r="G812" s="14">
        <v>24</v>
      </c>
      <c r="H812" s="1">
        <v>0.15</v>
      </c>
      <c r="I812" s="14">
        <v>31681.200000000001</v>
      </c>
      <c r="J812" s="14">
        <v>20126.88</v>
      </c>
      <c r="K812" s="15">
        <f>Table5[[#This Row],[Selling Price]]*Table5[[#This Row],[Units Sold]]</f>
        <v>37272</v>
      </c>
      <c r="L812" t="str">
        <f t="shared" si="12"/>
        <v>2024-07</v>
      </c>
      <c r="M812" t="str">
        <f>VLOOKUP(Table5[[#This Row],[Store ID]],Table4[[Store ID]:[Store Location]],2)</f>
        <v>Manchester</v>
      </c>
      <c r="N812" t="str">
        <f>VLOOKUP(Table5[[#This Row],[Store ID]],Table4[[Store ID]:[Region]],3)</f>
        <v>North</v>
      </c>
      <c r="O812" t="str">
        <f>VLOOKUP(Table5[[#This Row],[Product ID]],'Product Master'!$A$2:$D$10,4)</f>
        <v>Supplier A</v>
      </c>
      <c r="P812" s="15">
        <f>Table5[[#This Row],[Total Revenue]]-Table5[[#This Row],[Net Sales Revenue]]</f>
        <v>5590.7999999999993</v>
      </c>
      <c r="Q812" s="15">
        <f>Table5[[#This Row],[Net Sales Revenue]]/Table5[[#This Row],[Units Sold]]</f>
        <v>20.400000000000002</v>
      </c>
      <c r="R812">
        <f>VLOOKUP(Table5[[#This Row],[Product ID]],'Product Master'!$A$1:$E$10,5,FALSE)</f>
        <v>12</v>
      </c>
      <c r="S812" s="15">
        <f>Table5[[#This Row],[standard product cost per unit]]*Table5[[#This Row],[Units Sold]]</f>
        <v>18636</v>
      </c>
      <c r="T812" s="15">
        <f>Table5[[#This Row],[Cost of Sales]]-Table5[[#This Row],[Standard cost]]</f>
        <v>1490.880000000001</v>
      </c>
      <c r="U812" s="15">
        <f>Table5[[#This Row],[Net Sales Revenue]]-Table5[[#This Row],[Cost of Sales]]</f>
        <v>11554.32</v>
      </c>
      <c r="V812" s="17">
        <f>Table5[[#This Row],[GrossProfit]]/Table5[[#This Row],[Net Sales Revenue]]</f>
        <v>0.36470588235294116</v>
      </c>
    </row>
    <row r="813" spans="1:22" ht="14.25" customHeight="1" x14ac:dyDescent="0.25">
      <c r="A813" s="1" t="s">
        <v>897</v>
      </c>
      <c r="B813" s="1" t="s">
        <v>896</v>
      </c>
      <c r="C813" s="1" t="s">
        <v>40</v>
      </c>
      <c r="D813" s="1" t="s">
        <v>10</v>
      </c>
      <c r="E813" s="1" t="s">
        <v>8</v>
      </c>
      <c r="F813" s="1">
        <v>1456</v>
      </c>
      <c r="G813" s="14">
        <v>50</v>
      </c>
      <c r="H813" s="1">
        <v>0.12</v>
      </c>
      <c r="I813" s="14">
        <v>64064</v>
      </c>
      <c r="J813" s="14">
        <v>44029.440000000002</v>
      </c>
      <c r="K813" s="15">
        <f>Table5[[#This Row],[Selling Price]]*Table5[[#This Row],[Units Sold]]</f>
        <v>72800</v>
      </c>
      <c r="L813" t="str">
        <f t="shared" si="12"/>
        <v>2024-07</v>
      </c>
      <c r="M813" t="str">
        <f>VLOOKUP(Table5[[#This Row],[Store ID]],Table4[[Store ID]:[Store Location]],2)</f>
        <v>Manchester</v>
      </c>
      <c r="N813" t="str">
        <f>VLOOKUP(Table5[[#This Row],[Store ID]],Table4[[Store ID]:[Region]],3)</f>
        <v>North</v>
      </c>
      <c r="O813" t="str">
        <f>VLOOKUP(Table5[[#This Row],[Product ID]],'Product Master'!$A$2:$D$10,4)</f>
        <v>Supplier B</v>
      </c>
      <c r="P813" s="15">
        <f>Table5[[#This Row],[Total Revenue]]-Table5[[#This Row],[Net Sales Revenue]]</f>
        <v>8736</v>
      </c>
      <c r="Q813" s="15">
        <f>Table5[[#This Row],[Net Sales Revenue]]/Table5[[#This Row],[Units Sold]]</f>
        <v>44</v>
      </c>
      <c r="R813">
        <f>VLOOKUP(Table5[[#This Row],[Product ID]],'Product Master'!$A$1:$E$10,5,FALSE)</f>
        <v>28</v>
      </c>
      <c r="S813" s="15">
        <f>Table5[[#This Row],[standard product cost per unit]]*Table5[[#This Row],[Units Sold]]</f>
        <v>40768</v>
      </c>
      <c r="T813" s="15">
        <f>Table5[[#This Row],[Cost of Sales]]-Table5[[#This Row],[Standard cost]]</f>
        <v>3261.4400000000023</v>
      </c>
      <c r="U813" s="15">
        <f>Table5[[#This Row],[Net Sales Revenue]]-Table5[[#This Row],[Cost of Sales]]</f>
        <v>20034.559999999998</v>
      </c>
      <c r="V813" s="17">
        <f>Table5[[#This Row],[GrossProfit]]/Table5[[#This Row],[Net Sales Revenue]]</f>
        <v>0.31272727272727269</v>
      </c>
    </row>
    <row r="814" spans="1:22" ht="14.25" customHeight="1" x14ac:dyDescent="0.25">
      <c r="A814" s="1" t="s">
        <v>898</v>
      </c>
      <c r="B814" s="1" t="s">
        <v>896</v>
      </c>
      <c r="C814" s="1" t="s">
        <v>40</v>
      </c>
      <c r="D814" s="1" t="s">
        <v>13</v>
      </c>
      <c r="E814" s="1" t="s">
        <v>15</v>
      </c>
      <c r="F814" s="1">
        <v>1927</v>
      </c>
      <c r="G814" s="14">
        <v>28</v>
      </c>
      <c r="H814" s="1">
        <v>0.14000000000000001</v>
      </c>
      <c r="I814" s="14">
        <v>46402.16</v>
      </c>
      <c r="J814" s="14">
        <v>31217.4</v>
      </c>
      <c r="K814" s="15">
        <f>Table5[[#This Row],[Selling Price]]*Table5[[#This Row],[Units Sold]]</f>
        <v>53956</v>
      </c>
      <c r="L814" t="str">
        <f t="shared" si="12"/>
        <v>2024-07</v>
      </c>
      <c r="M814" t="str">
        <f>VLOOKUP(Table5[[#This Row],[Store ID]],Table4[[Store ID]:[Store Location]],2)</f>
        <v>Manchester</v>
      </c>
      <c r="N814" t="str">
        <f>VLOOKUP(Table5[[#This Row],[Store ID]],Table4[[Store ID]:[Region]],3)</f>
        <v>North</v>
      </c>
      <c r="O814" t="str">
        <f>VLOOKUP(Table5[[#This Row],[Product ID]],'Product Master'!$A$2:$D$10,4)</f>
        <v>Supplier C</v>
      </c>
      <c r="P814" s="15">
        <f>Table5[[#This Row],[Total Revenue]]-Table5[[#This Row],[Net Sales Revenue]]</f>
        <v>7553.8399999999965</v>
      </c>
      <c r="Q814" s="15">
        <f>Table5[[#This Row],[Net Sales Revenue]]/Table5[[#This Row],[Units Sold]]</f>
        <v>24.080000000000002</v>
      </c>
      <c r="R814">
        <f>VLOOKUP(Table5[[#This Row],[Product ID]],'Product Master'!$A$1:$E$10,5,FALSE)</f>
        <v>15</v>
      </c>
      <c r="S814" s="15">
        <f>Table5[[#This Row],[standard product cost per unit]]*Table5[[#This Row],[Units Sold]]</f>
        <v>28905</v>
      </c>
      <c r="T814" s="15">
        <f>Table5[[#This Row],[Cost of Sales]]-Table5[[#This Row],[Standard cost]]</f>
        <v>2312.4000000000015</v>
      </c>
      <c r="U814" s="15">
        <f>Table5[[#This Row],[Net Sales Revenue]]-Table5[[#This Row],[Cost of Sales]]</f>
        <v>15184.760000000002</v>
      </c>
      <c r="V814" s="17">
        <f>Table5[[#This Row],[GrossProfit]]/Table5[[#This Row],[Net Sales Revenue]]</f>
        <v>0.32724252491694356</v>
      </c>
    </row>
    <row r="815" spans="1:22" ht="14.25" customHeight="1" x14ac:dyDescent="0.25">
      <c r="A815" s="1" t="s">
        <v>899</v>
      </c>
      <c r="B815" s="1" t="s">
        <v>896</v>
      </c>
      <c r="C815" s="1" t="s">
        <v>40</v>
      </c>
      <c r="D815" s="1" t="s">
        <v>17</v>
      </c>
      <c r="E815" s="1" t="s">
        <v>15</v>
      </c>
      <c r="F815" s="1">
        <v>2807</v>
      </c>
      <c r="G815" s="14">
        <v>35</v>
      </c>
      <c r="H815" s="1">
        <v>0.16</v>
      </c>
      <c r="I815" s="14">
        <v>82525.8</v>
      </c>
      <c r="J815" s="14">
        <v>54568.08</v>
      </c>
      <c r="K815" s="15">
        <f>Table5[[#This Row],[Selling Price]]*Table5[[#This Row],[Units Sold]]</f>
        <v>98245</v>
      </c>
      <c r="L815" t="str">
        <f t="shared" si="12"/>
        <v>2024-07</v>
      </c>
      <c r="M815" t="str">
        <f>VLOOKUP(Table5[[#This Row],[Store ID]],Table4[[Store ID]:[Store Location]],2)</f>
        <v>Manchester</v>
      </c>
      <c r="N815" t="str">
        <f>VLOOKUP(Table5[[#This Row],[Store ID]],Table4[[Store ID]:[Region]],3)</f>
        <v>North</v>
      </c>
      <c r="O815" t="str">
        <f>VLOOKUP(Table5[[#This Row],[Product ID]],'Product Master'!$A$2:$D$10,4)</f>
        <v>Supplier C</v>
      </c>
      <c r="P815" s="15">
        <f>Table5[[#This Row],[Total Revenue]]-Table5[[#This Row],[Net Sales Revenue]]</f>
        <v>15719.199999999997</v>
      </c>
      <c r="Q815" s="15">
        <f>Table5[[#This Row],[Net Sales Revenue]]/Table5[[#This Row],[Units Sold]]</f>
        <v>29.400000000000002</v>
      </c>
      <c r="R815">
        <f>VLOOKUP(Table5[[#This Row],[Product ID]],'Product Master'!$A$1:$E$10,5,FALSE)</f>
        <v>18</v>
      </c>
      <c r="S815" s="15">
        <f>Table5[[#This Row],[standard product cost per unit]]*Table5[[#This Row],[Units Sold]]</f>
        <v>50526</v>
      </c>
      <c r="T815" s="15">
        <f>Table5[[#This Row],[Cost of Sales]]-Table5[[#This Row],[Standard cost]]</f>
        <v>4042.0800000000017</v>
      </c>
      <c r="U815" s="15">
        <f>Table5[[#This Row],[Net Sales Revenue]]-Table5[[#This Row],[Cost of Sales]]</f>
        <v>27957.72</v>
      </c>
      <c r="V815" s="17">
        <f>Table5[[#This Row],[GrossProfit]]/Table5[[#This Row],[Net Sales Revenue]]</f>
        <v>0.33877551020408164</v>
      </c>
    </row>
    <row r="816" spans="1:22" ht="14.25" customHeight="1" x14ac:dyDescent="0.25">
      <c r="A816" s="1" t="s">
        <v>900</v>
      </c>
      <c r="B816" s="1" t="s">
        <v>896</v>
      </c>
      <c r="C816" s="1" t="s">
        <v>40</v>
      </c>
      <c r="D816" s="1" t="s">
        <v>19</v>
      </c>
      <c r="E816" s="1" t="s">
        <v>21</v>
      </c>
      <c r="F816" s="1">
        <v>1878</v>
      </c>
      <c r="G816" s="14">
        <v>18</v>
      </c>
      <c r="H816" s="1">
        <v>0.15</v>
      </c>
      <c r="I816" s="14">
        <v>28733.4</v>
      </c>
      <c r="J816" s="14">
        <v>18254.16</v>
      </c>
      <c r="K816" s="15">
        <f>Table5[[#This Row],[Selling Price]]*Table5[[#This Row],[Units Sold]]</f>
        <v>33804</v>
      </c>
      <c r="L816" t="str">
        <f t="shared" si="12"/>
        <v>2024-07</v>
      </c>
      <c r="M816" t="str">
        <f>VLOOKUP(Table5[[#This Row],[Store ID]],Table4[[Store ID]:[Store Location]],2)</f>
        <v>Manchester</v>
      </c>
      <c r="N816" t="str">
        <f>VLOOKUP(Table5[[#This Row],[Store ID]],Table4[[Store ID]:[Region]],3)</f>
        <v>North</v>
      </c>
      <c r="O816" t="str">
        <f>VLOOKUP(Table5[[#This Row],[Product ID]],'Product Master'!$A$2:$D$10,4)</f>
        <v>Supplier D</v>
      </c>
      <c r="P816" s="15">
        <f>Table5[[#This Row],[Total Revenue]]-Table5[[#This Row],[Net Sales Revenue]]</f>
        <v>5070.5999999999985</v>
      </c>
      <c r="Q816" s="15">
        <f>Table5[[#This Row],[Net Sales Revenue]]/Table5[[#This Row],[Units Sold]]</f>
        <v>15.3</v>
      </c>
      <c r="R816">
        <f>VLOOKUP(Table5[[#This Row],[Product ID]],'Product Master'!$A$1:$E$10,5,FALSE)</f>
        <v>9</v>
      </c>
      <c r="S816" s="15">
        <f>Table5[[#This Row],[standard product cost per unit]]*Table5[[#This Row],[Units Sold]]</f>
        <v>16902</v>
      </c>
      <c r="T816" s="15">
        <f>Table5[[#This Row],[Cost of Sales]]-Table5[[#This Row],[Standard cost]]</f>
        <v>1352.1599999999999</v>
      </c>
      <c r="U816" s="15">
        <f>Table5[[#This Row],[Net Sales Revenue]]-Table5[[#This Row],[Cost of Sales]]</f>
        <v>10479.240000000002</v>
      </c>
      <c r="V816" s="17">
        <f>Table5[[#This Row],[GrossProfit]]/Table5[[#This Row],[Net Sales Revenue]]</f>
        <v>0.36470588235294121</v>
      </c>
    </row>
    <row r="817" spans="1:22" ht="14.25" customHeight="1" x14ac:dyDescent="0.25">
      <c r="A817" s="1" t="s">
        <v>901</v>
      </c>
      <c r="B817" s="1" t="s">
        <v>896</v>
      </c>
      <c r="C817" s="1" t="s">
        <v>40</v>
      </c>
      <c r="D817" s="1" t="s">
        <v>23</v>
      </c>
      <c r="E817" s="1" t="s">
        <v>21</v>
      </c>
      <c r="F817" s="1">
        <v>2274</v>
      </c>
      <c r="G817" s="14">
        <v>30</v>
      </c>
      <c r="H817" s="1">
        <v>0.16</v>
      </c>
      <c r="I817" s="14">
        <v>57304.800000000003</v>
      </c>
      <c r="J817" s="14">
        <v>34382.879999999997</v>
      </c>
      <c r="K817" s="15">
        <f>Table5[[#This Row],[Selling Price]]*Table5[[#This Row],[Units Sold]]</f>
        <v>68220</v>
      </c>
      <c r="L817" t="str">
        <f t="shared" si="12"/>
        <v>2024-07</v>
      </c>
      <c r="M817" t="str">
        <f>VLOOKUP(Table5[[#This Row],[Store ID]],Table4[[Store ID]:[Store Location]],2)</f>
        <v>Manchester</v>
      </c>
      <c r="N817" t="str">
        <f>VLOOKUP(Table5[[#This Row],[Store ID]],Table4[[Store ID]:[Region]],3)</f>
        <v>North</v>
      </c>
      <c r="O817" t="str">
        <f>VLOOKUP(Table5[[#This Row],[Product ID]],'Product Master'!$A$2:$D$10,4)</f>
        <v>Supplier D</v>
      </c>
      <c r="P817" s="15">
        <f>Table5[[#This Row],[Total Revenue]]-Table5[[#This Row],[Net Sales Revenue]]</f>
        <v>10915.199999999997</v>
      </c>
      <c r="Q817" s="15">
        <f>Table5[[#This Row],[Net Sales Revenue]]/Table5[[#This Row],[Units Sold]]</f>
        <v>25.200000000000003</v>
      </c>
      <c r="R817">
        <f>VLOOKUP(Table5[[#This Row],[Product ID]],'Product Master'!$A$1:$E$10,5,FALSE)</f>
        <v>14</v>
      </c>
      <c r="S817" s="15">
        <f>Table5[[#This Row],[standard product cost per unit]]*Table5[[#This Row],[Units Sold]]</f>
        <v>31836</v>
      </c>
      <c r="T817" s="15">
        <f>Table5[[#This Row],[Cost of Sales]]-Table5[[#This Row],[Standard cost]]</f>
        <v>2546.8799999999974</v>
      </c>
      <c r="U817" s="15">
        <f>Table5[[#This Row],[Net Sales Revenue]]-Table5[[#This Row],[Cost of Sales]]</f>
        <v>22921.920000000006</v>
      </c>
      <c r="V817" s="17">
        <f>Table5[[#This Row],[GrossProfit]]/Table5[[#This Row],[Net Sales Revenue]]</f>
        <v>0.40000000000000008</v>
      </c>
    </row>
    <row r="818" spans="1:22" ht="14.25" customHeight="1" x14ac:dyDescent="0.25">
      <c r="A818" s="1" t="s">
        <v>902</v>
      </c>
      <c r="B818" s="1" t="s">
        <v>896</v>
      </c>
      <c r="C818" s="1" t="s">
        <v>40</v>
      </c>
      <c r="D818" s="1" t="s">
        <v>25</v>
      </c>
      <c r="E818" s="1" t="s">
        <v>27</v>
      </c>
      <c r="F818" s="1">
        <v>2477</v>
      </c>
      <c r="G818" s="14">
        <v>40</v>
      </c>
      <c r="H818" s="1">
        <v>0.14000000000000001</v>
      </c>
      <c r="I818" s="14">
        <v>85208.8</v>
      </c>
      <c r="J818" s="14">
        <v>53503.199999999997</v>
      </c>
      <c r="K818" s="15">
        <f>Table5[[#This Row],[Selling Price]]*Table5[[#This Row],[Units Sold]]</f>
        <v>99080</v>
      </c>
      <c r="L818" t="str">
        <f t="shared" si="12"/>
        <v>2024-07</v>
      </c>
      <c r="M818" t="str">
        <f>VLOOKUP(Table5[[#This Row],[Store ID]],Table4[[Store ID]:[Store Location]],2)</f>
        <v>Manchester</v>
      </c>
      <c r="N818" t="str">
        <f>VLOOKUP(Table5[[#This Row],[Store ID]],Table4[[Store ID]:[Region]],3)</f>
        <v>North</v>
      </c>
      <c r="O818" t="str">
        <f>VLOOKUP(Table5[[#This Row],[Product ID]],'Product Master'!$A$2:$D$10,4)</f>
        <v>Supplier E</v>
      </c>
      <c r="P818" s="15">
        <f>Table5[[#This Row],[Total Revenue]]-Table5[[#This Row],[Net Sales Revenue]]</f>
        <v>13871.199999999997</v>
      </c>
      <c r="Q818" s="15">
        <f>Table5[[#This Row],[Net Sales Revenue]]/Table5[[#This Row],[Units Sold]]</f>
        <v>34.4</v>
      </c>
      <c r="R818">
        <f>VLOOKUP(Table5[[#This Row],[Product ID]],'Product Master'!$A$1:$E$10,5,FALSE)</f>
        <v>20</v>
      </c>
      <c r="S818" s="15">
        <f>Table5[[#This Row],[standard product cost per unit]]*Table5[[#This Row],[Units Sold]]</f>
        <v>49540</v>
      </c>
      <c r="T818" s="15">
        <f>Table5[[#This Row],[Cost of Sales]]-Table5[[#This Row],[Standard cost]]</f>
        <v>3963.1999999999971</v>
      </c>
      <c r="U818" s="15">
        <f>Table5[[#This Row],[Net Sales Revenue]]-Table5[[#This Row],[Cost of Sales]]</f>
        <v>31705.600000000006</v>
      </c>
      <c r="V818" s="17">
        <f>Table5[[#This Row],[GrossProfit]]/Table5[[#This Row],[Net Sales Revenue]]</f>
        <v>0.372093023255814</v>
      </c>
    </row>
    <row r="819" spans="1:22" ht="14.25" customHeight="1" x14ac:dyDescent="0.25">
      <c r="A819" s="1" t="s">
        <v>903</v>
      </c>
      <c r="B819" s="1" t="s">
        <v>896</v>
      </c>
      <c r="C819" s="1" t="s">
        <v>40</v>
      </c>
      <c r="D819" s="1" t="s">
        <v>29</v>
      </c>
      <c r="E819" s="1" t="s">
        <v>31</v>
      </c>
      <c r="F819" s="1">
        <v>1522</v>
      </c>
      <c r="G819" s="14">
        <v>10</v>
      </c>
      <c r="H819" s="1">
        <v>0.14000000000000001</v>
      </c>
      <c r="I819" s="14">
        <v>13089.2</v>
      </c>
      <c r="J819" s="14">
        <v>6575.04</v>
      </c>
      <c r="K819" s="15">
        <f>Table5[[#This Row],[Selling Price]]*Table5[[#This Row],[Units Sold]]</f>
        <v>15220</v>
      </c>
      <c r="L819" t="str">
        <f t="shared" si="12"/>
        <v>2024-07</v>
      </c>
      <c r="M819" t="str">
        <f>VLOOKUP(Table5[[#This Row],[Store ID]],Table4[[Store ID]:[Store Location]],2)</f>
        <v>Manchester</v>
      </c>
      <c r="N819" t="str">
        <f>VLOOKUP(Table5[[#This Row],[Store ID]],Table4[[Store ID]:[Region]],3)</f>
        <v>North</v>
      </c>
      <c r="O819" t="str">
        <f>VLOOKUP(Table5[[#This Row],[Product ID]],'Product Master'!$A$2:$D$10,4)</f>
        <v>Supplier F</v>
      </c>
      <c r="P819" s="15">
        <f>Table5[[#This Row],[Total Revenue]]-Table5[[#This Row],[Net Sales Revenue]]</f>
        <v>2130.7999999999993</v>
      </c>
      <c r="Q819" s="15">
        <f>Table5[[#This Row],[Net Sales Revenue]]/Table5[[#This Row],[Units Sold]]</f>
        <v>8.6</v>
      </c>
      <c r="R819">
        <f>VLOOKUP(Table5[[#This Row],[Product ID]],'Product Master'!$A$1:$E$10,5,FALSE)</f>
        <v>4</v>
      </c>
      <c r="S819" s="15">
        <f>Table5[[#This Row],[standard product cost per unit]]*Table5[[#This Row],[Units Sold]]</f>
        <v>6088</v>
      </c>
      <c r="T819" s="15">
        <f>Table5[[#This Row],[Cost of Sales]]-Table5[[#This Row],[Standard cost]]</f>
        <v>487.03999999999996</v>
      </c>
      <c r="U819" s="15">
        <f>Table5[[#This Row],[Net Sales Revenue]]-Table5[[#This Row],[Cost of Sales]]</f>
        <v>6514.1600000000008</v>
      </c>
      <c r="V819" s="17">
        <f>Table5[[#This Row],[GrossProfit]]/Table5[[#This Row],[Net Sales Revenue]]</f>
        <v>0.49767441860465117</v>
      </c>
    </row>
    <row r="820" spans="1:22" ht="14.25" customHeight="1" x14ac:dyDescent="0.25">
      <c r="A820" s="1" t="s">
        <v>904</v>
      </c>
      <c r="B820" s="1" t="s">
        <v>896</v>
      </c>
      <c r="C820" s="1" t="s">
        <v>40</v>
      </c>
      <c r="D820" s="1" t="s">
        <v>33</v>
      </c>
      <c r="E820" s="1" t="s">
        <v>31</v>
      </c>
      <c r="F820" s="1">
        <v>1518</v>
      </c>
      <c r="G820" s="14">
        <v>22</v>
      </c>
      <c r="H820" s="1">
        <v>0.16</v>
      </c>
      <c r="I820" s="14">
        <v>28052.639999999999</v>
      </c>
      <c r="J820" s="14">
        <v>16394.400000000001</v>
      </c>
      <c r="K820" s="15">
        <f>Table5[[#This Row],[Selling Price]]*Table5[[#This Row],[Units Sold]]</f>
        <v>33396</v>
      </c>
      <c r="L820" t="str">
        <f t="shared" si="12"/>
        <v>2024-07</v>
      </c>
      <c r="M820" t="str">
        <f>VLOOKUP(Table5[[#This Row],[Store ID]],Table4[[Store ID]:[Store Location]],2)</f>
        <v>Manchester</v>
      </c>
      <c r="N820" t="str">
        <f>VLOOKUP(Table5[[#This Row],[Store ID]],Table4[[Store ID]:[Region]],3)</f>
        <v>North</v>
      </c>
      <c r="O820" t="str">
        <f>VLOOKUP(Table5[[#This Row],[Product ID]],'Product Master'!$A$2:$D$10,4)</f>
        <v>Supplier F</v>
      </c>
      <c r="P820" s="15">
        <f>Table5[[#This Row],[Total Revenue]]-Table5[[#This Row],[Net Sales Revenue]]</f>
        <v>5343.3600000000006</v>
      </c>
      <c r="Q820" s="15">
        <f>Table5[[#This Row],[Net Sales Revenue]]/Table5[[#This Row],[Units Sold]]</f>
        <v>18.48</v>
      </c>
      <c r="R820">
        <f>VLOOKUP(Table5[[#This Row],[Product ID]],'Product Master'!$A$1:$E$10,5,FALSE)</f>
        <v>10</v>
      </c>
      <c r="S820" s="15">
        <f>Table5[[#This Row],[standard product cost per unit]]*Table5[[#This Row],[Units Sold]]</f>
        <v>15180</v>
      </c>
      <c r="T820" s="15">
        <f>Table5[[#This Row],[Cost of Sales]]-Table5[[#This Row],[Standard cost]]</f>
        <v>1214.4000000000015</v>
      </c>
      <c r="U820" s="15">
        <f>Table5[[#This Row],[Net Sales Revenue]]-Table5[[#This Row],[Cost of Sales]]</f>
        <v>11658.239999999998</v>
      </c>
      <c r="V820" s="17">
        <f>Table5[[#This Row],[GrossProfit]]/Table5[[#This Row],[Net Sales Revenue]]</f>
        <v>0.4155844155844155</v>
      </c>
    </row>
    <row r="821" spans="1:22" ht="14.25" customHeight="1" x14ac:dyDescent="0.25">
      <c r="A821" s="1" t="s">
        <v>905</v>
      </c>
      <c r="B821" s="1" t="s">
        <v>896</v>
      </c>
      <c r="C821" s="1" t="s">
        <v>44</v>
      </c>
      <c r="D821" s="1" t="s">
        <v>6</v>
      </c>
      <c r="E821" s="1" t="s">
        <v>8</v>
      </c>
      <c r="F821" s="1">
        <v>2684</v>
      </c>
      <c r="G821" s="14">
        <v>24</v>
      </c>
      <c r="H821" s="1">
        <v>0.12</v>
      </c>
      <c r="I821" s="14">
        <v>56686.080000000002</v>
      </c>
      <c r="J821" s="14">
        <v>34784.639999999999</v>
      </c>
      <c r="K821" s="15">
        <f>Table5[[#This Row],[Selling Price]]*Table5[[#This Row],[Units Sold]]</f>
        <v>64416</v>
      </c>
      <c r="L821" t="str">
        <f t="shared" si="12"/>
        <v>2024-07</v>
      </c>
      <c r="M821" t="str">
        <f>VLOOKUP(Table5[[#This Row],[Store ID]],Table4[[Store ID]:[Store Location]],2)</f>
        <v>Birmingham</v>
      </c>
      <c r="N821" t="str">
        <f>VLOOKUP(Table5[[#This Row],[Store ID]],Table4[[Store ID]:[Region]],3)</f>
        <v>Midlands</v>
      </c>
      <c r="O821" t="str">
        <f>VLOOKUP(Table5[[#This Row],[Product ID]],'Product Master'!$A$2:$D$10,4)</f>
        <v>Supplier A</v>
      </c>
      <c r="P821" s="15">
        <f>Table5[[#This Row],[Total Revenue]]-Table5[[#This Row],[Net Sales Revenue]]</f>
        <v>7729.9199999999983</v>
      </c>
      <c r="Q821" s="15">
        <f>Table5[[#This Row],[Net Sales Revenue]]/Table5[[#This Row],[Units Sold]]</f>
        <v>21.12</v>
      </c>
      <c r="R821">
        <f>VLOOKUP(Table5[[#This Row],[Product ID]],'Product Master'!$A$1:$E$10,5,FALSE)</f>
        <v>12</v>
      </c>
      <c r="S821" s="15">
        <f>Table5[[#This Row],[standard product cost per unit]]*Table5[[#This Row],[Units Sold]]</f>
        <v>32208</v>
      </c>
      <c r="T821" s="15">
        <f>Table5[[#This Row],[Cost of Sales]]-Table5[[#This Row],[Standard cost]]</f>
        <v>2576.6399999999994</v>
      </c>
      <c r="U821" s="15">
        <f>Table5[[#This Row],[Net Sales Revenue]]-Table5[[#This Row],[Cost of Sales]]</f>
        <v>21901.440000000002</v>
      </c>
      <c r="V821" s="17">
        <f>Table5[[#This Row],[GrossProfit]]/Table5[[#This Row],[Net Sales Revenue]]</f>
        <v>0.38636363636363641</v>
      </c>
    </row>
    <row r="822" spans="1:22" ht="14.25" customHeight="1" x14ac:dyDescent="0.25">
      <c r="A822" s="1" t="s">
        <v>906</v>
      </c>
      <c r="B822" s="1" t="s">
        <v>896</v>
      </c>
      <c r="C822" s="1" t="s">
        <v>44</v>
      </c>
      <c r="D822" s="1" t="s">
        <v>10</v>
      </c>
      <c r="E822" s="1" t="s">
        <v>8</v>
      </c>
      <c r="F822" s="1">
        <v>2640</v>
      </c>
      <c r="G822" s="14">
        <v>50</v>
      </c>
      <c r="H822" s="1">
        <v>0.16</v>
      </c>
      <c r="I822" s="14">
        <v>110880</v>
      </c>
      <c r="J822" s="14">
        <v>79833.600000000006</v>
      </c>
      <c r="K822" s="15">
        <f>Table5[[#This Row],[Selling Price]]*Table5[[#This Row],[Units Sold]]</f>
        <v>132000</v>
      </c>
      <c r="L822" t="str">
        <f t="shared" si="12"/>
        <v>2024-07</v>
      </c>
      <c r="M822" t="str">
        <f>VLOOKUP(Table5[[#This Row],[Store ID]],Table4[[Store ID]:[Store Location]],2)</f>
        <v>Birmingham</v>
      </c>
      <c r="N822" t="str">
        <f>VLOOKUP(Table5[[#This Row],[Store ID]],Table4[[Store ID]:[Region]],3)</f>
        <v>Midlands</v>
      </c>
      <c r="O822" t="str">
        <f>VLOOKUP(Table5[[#This Row],[Product ID]],'Product Master'!$A$2:$D$10,4)</f>
        <v>Supplier B</v>
      </c>
      <c r="P822" s="15">
        <f>Table5[[#This Row],[Total Revenue]]-Table5[[#This Row],[Net Sales Revenue]]</f>
        <v>21120</v>
      </c>
      <c r="Q822" s="15">
        <f>Table5[[#This Row],[Net Sales Revenue]]/Table5[[#This Row],[Units Sold]]</f>
        <v>42</v>
      </c>
      <c r="R822">
        <f>VLOOKUP(Table5[[#This Row],[Product ID]],'Product Master'!$A$1:$E$10,5,FALSE)</f>
        <v>28</v>
      </c>
      <c r="S822" s="15">
        <f>Table5[[#This Row],[standard product cost per unit]]*Table5[[#This Row],[Units Sold]]</f>
        <v>73920</v>
      </c>
      <c r="T822" s="15">
        <f>Table5[[#This Row],[Cost of Sales]]-Table5[[#This Row],[Standard cost]]</f>
        <v>5913.6000000000058</v>
      </c>
      <c r="U822" s="15">
        <f>Table5[[#This Row],[Net Sales Revenue]]-Table5[[#This Row],[Cost of Sales]]</f>
        <v>31046.399999999994</v>
      </c>
      <c r="V822" s="17">
        <f>Table5[[#This Row],[GrossProfit]]/Table5[[#This Row],[Net Sales Revenue]]</f>
        <v>0.27999999999999997</v>
      </c>
    </row>
    <row r="823" spans="1:22" ht="14.25" customHeight="1" x14ac:dyDescent="0.25">
      <c r="A823" s="1" t="s">
        <v>907</v>
      </c>
      <c r="B823" s="1" t="s">
        <v>896</v>
      </c>
      <c r="C823" s="1" t="s">
        <v>44</v>
      </c>
      <c r="D823" s="1" t="s">
        <v>13</v>
      </c>
      <c r="E823" s="1" t="s">
        <v>15</v>
      </c>
      <c r="F823" s="1">
        <v>2450</v>
      </c>
      <c r="G823" s="14">
        <v>28</v>
      </c>
      <c r="H823" s="1">
        <v>0.13</v>
      </c>
      <c r="I823" s="14">
        <v>59682</v>
      </c>
      <c r="J823" s="14">
        <v>39690</v>
      </c>
      <c r="K823" s="15">
        <f>Table5[[#This Row],[Selling Price]]*Table5[[#This Row],[Units Sold]]</f>
        <v>68600</v>
      </c>
      <c r="L823" t="str">
        <f t="shared" si="12"/>
        <v>2024-07</v>
      </c>
      <c r="M823" t="str">
        <f>VLOOKUP(Table5[[#This Row],[Store ID]],Table4[[Store ID]:[Store Location]],2)</f>
        <v>Birmingham</v>
      </c>
      <c r="N823" t="str">
        <f>VLOOKUP(Table5[[#This Row],[Store ID]],Table4[[Store ID]:[Region]],3)</f>
        <v>Midlands</v>
      </c>
      <c r="O823" t="str">
        <f>VLOOKUP(Table5[[#This Row],[Product ID]],'Product Master'!$A$2:$D$10,4)</f>
        <v>Supplier C</v>
      </c>
      <c r="P823" s="15">
        <f>Table5[[#This Row],[Total Revenue]]-Table5[[#This Row],[Net Sales Revenue]]</f>
        <v>8918</v>
      </c>
      <c r="Q823" s="15">
        <f>Table5[[#This Row],[Net Sales Revenue]]/Table5[[#This Row],[Units Sold]]</f>
        <v>24.36</v>
      </c>
      <c r="R823">
        <f>VLOOKUP(Table5[[#This Row],[Product ID]],'Product Master'!$A$1:$E$10,5,FALSE)</f>
        <v>15</v>
      </c>
      <c r="S823" s="15">
        <f>Table5[[#This Row],[standard product cost per unit]]*Table5[[#This Row],[Units Sold]]</f>
        <v>36750</v>
      </c>
      <c r="T823" s="15">
        <f>Table5[[#This Row],[Cost of Sales]]-Table5[[#This Row],[Standard cost]]</f>
        <v>2940</v>
      </c>
      <c r="U823" s="15">
        <f>Table5[[#This Row],[Net Sales Revenue]]-Table5[[#This Row],[Cost of Sales]]</f>
        <v>19992</v>
      </c>
      <c r="V823" s="17">
        <f>Table5[[#This Row],[GrossProfit]]/Table5[[#This Row],[Net Sales Revenue]]</f>
        <v>0.33497536945812806</v>
      </c>
    </row>
    <row r="824" spans="1:22" ht="14.25" customHeight="1" x14ac:dyDescent="0.25">
      <c r="A824" s="1" t="s">
        <v>908</v>
      </c>
      <c r="B824" s="1" t="s">
        <v>896</v>
      </c>
      <c r="C824" s="1" t="s">
        <v>44</v>
      </c>
      <c r="D824" s="1" t="s">
        <v>17</v>
      </c>
      <c r="E824" s="1" t="s">
        <v>15</v>
      </c>
      <c r="F824" s="1">
        <v>2538</v>
      </c>
      <c r="G824" s="14">
        <v>35</v>
      </c>
      <c r="H824" s="1">
        <v>0.17</v>
      </c>
      <c r="I824" s="14">
        <v>73728.899999999994</v>
      </c>
      <c r="J824" s="14">
        <v>49338.720000000001</v>
      </c>
      <c r="K824" s="15">
        <f>Table5[[#This Row],[Selling Price]]*Table5[[#This Row],[Units Sold]]</f>
        <v>88830</v>
      </c>
      <c r="L824" t="str">
        <f t="shared" si="12"/>
        <v>2024-07</v>
      </c>
      <c r="M824" t="str">
        <f>VLOOKUP(Table5[[#This Row],[Store ID]],Table4[[Store ID]:[Store Location]],2)</f>
        <v>Birmingham</v>
      </c>
      <c r="N824" t="str">
        <f>VLOOKUP(Table5[[#This Row],[Store ID]],Table4[[Store ID]:[Region]],3)</f>
        <v>Midlands</v>
      </c>
      <c r="O824" t="str">
        <f>VLOOKUP(Table5[[#This Row],[Product ID]],'Product Master'!$A$2:$D$10,4)</f>
        <v>Supplier C</v>
      </c>
      <c r="P824" s="15">
        <f>Table5[[#This Row],[Total Revenue]]-Table5[[#This Row],[Net Sales Revenue]]</f>
        <v>15101.100000000006</v>
      </c>
      <c r="Q824" s="15">
        <f>Table5[[#This Row],[Net Sales Revenue]]/Table5[[#This Row],[Units Sold]]</f>
        <v>29.049999999999997</v>
      </c>
      <c r="R824">
        <f>VLOOKUP(Table5[[#This Row],[Product ID]],'Product Master'!$A$1:$E$10,5,FALSE)</f>
        <v>18</v>
      </c>
      <c r="S824" s="15">
        <f>Table5[[#This Row],[standard product cost per unit]]*Table5[[#This Row],[Units Sold]]</f>
        <v>45684</v>
      </c>
      <c r="T824" s="15">
        <f>Table5[[#This Row],[Cost of Sales]]-Table5[[#This Row],[Standard cost]]</f>
        <v>3654.7200000000012</v>
      </c>
      <c r="U824" s="15">
        <f>Table5[[#This Row],[Net Sales Revenue]]-Table5[[#This Row],[Cost of Sales]]</f>
        <v>24390.179999999993</v>
      </c>
      <c r="V824" s="17">
        <f>Table5[[#This Row],[GrossProfit]]/Table5[[#This Row],[Net Sales Revenue]]</f>
        <v>0.33080895008605843</v>
      </c>
    </row>
    <row r="825" spans="1:22" ht="14.25" customHeight="1" x14ac:dyDescent="0.25">
      <c r="A825" s="1" t="s">
        <v>909</v>
      </c>
      <c r="B825" s="1" t="s">
        <v>896</v>
      </c>
      <c r="C825" s="1" t="s">
        <v>44</v>
      </c>
      <c r="D825" s="1" t="s">
        <v>19</v>
      </c>
      <c r="E825" s="1" t="s">
        <v>21</v>
      </c>
      <c r="F825" s="1">
        <v>2754</v>
      </c>
      <c r="G825" s="14">
        <v>18</v>
      </c>
      <c r="H825" s="1">
        <v>0.14000000000000001</v>
      </c>
      <c r="I825" s="14">
        <v>42631.92</v>
      </c>
      <c r="J825" s="14">
        <v>26768.880000000001</v>
      </c>
      <c r="K825" s="15">
        <f>Table5[[#This Row],[Selling Price]]*Table5[[#This Row],[Units Sold]]</f>
        <v>49572</v>
      </c>
      <c r="L825" t="str">
        <f t="shared" si="12"/>
        <v>2024-07</v>
      </c>
      <c r="M825" t="str">
        <f>VLOOKUP(Table5[[#This Row],[Store ID]],Table4[[Store ID]:[Store Location]],2)</f>
        <v>Birmingham</v>
      </c>
      <c r="N825" t="str">
        <f>VLOOKUP(Table5[[#This Row],[Store ID]],Table4[[Store ID]:[Region]],3)</f>
        <v>Midlands</v>
      </c>
      <c r="O825" t="str">
        <f>VLOOKUP(Table5[[#This Row],[Product ID]],'Product Master'!$A$2:$D$10,4)</f>
        <v>Supplier D</v>
      </c>
      <c r="P825" s="15">
        <f>Table5[[#This Row],[Total Revenue]]-Table5[[#This Row],[Net Sales Revenue]]</f>
        <v>6940.0800000000017</v>
      </c>
      <c r="Q825" s="15">
        <f>Table5[[#This Row],[Net Sales Revenue]]/Table5[[#This Row],[Units Sold]]</f>
        <v>15.479999999999999</v>
      </c>
      <c r="R825">
        <f>VLOOKUP(Table5[[#This Row],[Product ID]],'Product Master'!$A$1:$E$10,5,FALSE)</f>
        <v>9</v>
      </c>
      <c r="S825" s="15">
        <f>Table5[[#This Row],[standard product cost per unit]]*Table5[[#This Row],[Units Sold]]</f>
        <v>24786</v>
      </c>
      <c r="T825" s="15">
        <f>Table5[[#This Row],[Cost of Sales]]-Table5[[#This Row],[Standard cost]]</f>
        <v>1982.880000000001</v>
      </c>
      <c r="U825" s="15">
        <f>Table5[[#This Row],[Net Sales Revenue]]-Table5[[#This Row],[Cost of Sales]]</f>
        <v>15863.039999999997</v>
      </c>
      <c r="V825" s="17">
        <f>Table5[[#This Row],[GrossProfit]]/Table5[[#This Row],[Net Sales Revenue]]</f>
        <v>0.37209302325581389</v>
      </c>
    </row>
    <row r="826" spans="1:22" ht="14.25" customHeight="1" x14ac:dyDescent="0.25">
      <c r="A826" s="1" t="s">
        <v>910</v>
      </c>
      <c r="B826" s="1" t="s">
        <v>896</v>
      </c>
      <c r="C826" s="1" t="s">
        <v>44</v>
      </c>
      <c r="D826" s="1" t="s">
        <v>23</v>
      </c>
      <c r="E826" s="1" t="s">
        <v>21</v>
      </c>
      <c r="F826" s="1">
        <v>1694</v>
      </c>
      <c r="G826" s="14">
        <v>30</v>
      </c>
      <c r="H826" s="1">
        <v>0.17</v>
      </c>
      <c r="I826" s="14">
        <v>42180.6</v>
      </c>
      <c r="J826" s="14">
        <v>25613.279999999999</v>
      </c>
      <c r="K826" s="15">
        <f>Table5[[#This Row],[Selling Price]]*Table5[[#This Row],[Units Sold]]</f>
        <v>50820</v>
      </c>
      <c r="L826" t="str">
        <f t="shared" si="12"/>
        <v>2024-07</v>
      </c>
      <c r="M826" t="str">
        <f>VLOOKUP(Table5[[#This Row],[Store ID]],Table4[[Store ID]:[Store Location]],2)</f>
        <v>Birmingham</v>
      </c>
      <c r="N826" t="str">
        <f>VLOOKUP(Table5[[#This Row],[Store ID]],Table4[[Store ID]:[Region]],3)</f>
        <v>Midlands</v>
      </c>
      <c r="O826" t="str">
        <f>VLOOKUP(Table5[[#This Row],[Product ID]],'Product Master'!$A$2:$D$10,4)</f>
        <v>Supplier D</v>
      </c>
      <c r="P826" s="15">
        <f>Table5[[#This Row],[Total Revenue]]-Table5[[#This Row],[Net Sales Revenue]]</f>
        <v>8639.4000000000015</v>
      </c>
      <c r="Q826" s="15">
        <f>Table5[[#This Row],[Net Sales Revenue]]/Table5[[#This Row],[Units Sold]]</f>
        <v>24.9</v>
      </c>
      <c r="R826">
        <f>VLOOKUP(Table5[[#This Row],[Product ID]],'Product Master'!$A$1:$E$10,5,FALSE)</f>
        <v>14</v>
      </c>
      <c r="S826" s="15">
        <f>Table5[[#This Row],[standard product cost per unit]]*Table5[[#This Row],[Units Sold]]</f>
        <v>23716</v>
      </c>
      <c r="T826" s="15">
        <f>Table5[[#This Row],[Cost of Sales]]-Table5[[#This Row],[Standard cost]]</f>
        <v>1897.2799999999988</v>
      </c>
      <c r="U826" s="15">
        <f>Table5[[#This Row],[Net Sales Revenue]]-Table5[[#This Row],[Cost of Sales]]</f>
        <v>16567.32</v>
      </c>
      <c r="V826" s="17">
        <f>Table5[[#This Row],[GrossProfit]]/Table5[[#This Row],[Net Sales Revenue]]</f>
        <v>0.39277108433734942</v>
      </c>
    </row>
    <row r="827" spans="1:22" ht="14.25" customHeight="1" x14ac:dyDescent="0.25">
      <c r="A827" s="1" t="s">
        <v>911</v>
      </c>
      <c r="B827" s="1" t="s">
        <v>896</v>
      </c>
      <c r="C827" s="1" t="s">
        <v>44</v>
      </c>
      <c r="D827" s="1" t="s">
        <v>25</v>
      </c>
      <c r="E827" s="1" t="s">
        <v>27</v>
      </c>
      <c r="F827" s="1">
        <v>1852</v>
      </c>
      <c r="G827" s="14">
        <v>40</v>
      </c>
      <c r="H827" s="1">
        <v>0.17</v>
      </c>
      <c r="I827" s="14">
        <v>61486.400000000001</v>
      </c>
      <c r="J827" s="14">
        <v>40003.199999999997</v>
      </c>
      <c r="K827" s="15">
        <f>Table5[[#This Row],[Selling Price]]*Table5[[#This Row],[Units Sold]]</f>
        <v>74080</v>
      </c>
      <c r="L827" t="str">
        <f t="shared" si="12"/>
        <v>2024-07</v>
      </c>
      <c r="M827" t="str">
        <f>VLOOKUP(Table5[[#This Row],[Store ID]],Table4[[Store ID]:[Store Location]],2)</f>
        <v>Birmingham</v>
      </c>
      <c r="N827" t="str">
        <f>VLOOKUP(Table5[[#This Row],[Store ID]],Table4[[Store ID]:[Region]],3)</f>
        <v>Midlands</v>
      </c>
      <c r="O827" t="str">
        <f>VLOOKUP(Table5[[#This Row],[Product ID]],'Product Master'!$A$2:$D$10,4)</f>
        <v>Supplier E</v>
      </c>
      <c r="P827" s="15">
        <f>Table5[[#This Row],[Total Revenue]]-Table5[[#This Row],[Net Sales Revenue]]</f>
        <v>12593.599999999999</v>
      </c>
      <c r="Q827" s="15">
        <f>Table5[[#This Row],[Net Sales Revenue]]/Table5[[#This Row],[Units Sold]]</f>
        <v>33.200000000000003</v>
      </c>
      <c r="R827">
        <f>VLOOKUP(Table5[[#This Row],[Product ID]],'Product Master'!$A$1:$E$10,5,FALSE)</f>
        <v>20</v>
      </c>
      <c r="S827" s="15">
        <f>Table5[[#This Row],[standard product cost per unit]]*Table5[[#This Row],[Units Sold]]</f>
        <v>37040</v>
      </c>
      <c r="T827" s="15">
        <f>Table5[[#This Row],[Cost of Sales]]-Table5[[#This Row],[Standard cost]]</f>
        <v>2963.1999999999971</v>
      </c>
      <c r="U827" s="15">
        <f>Table5[[#This Row],[Net Sales Revenue]]-Table5[[#This Row],[Cost of Sales]]</f>
        <v>21483.200000000004</v>
      </c>
      <c r="V827" s="17">
        <f>Table5[[#This Row],[GrossProfit]]/Table5[[#This Row],[Net Sales Revenue]]</f>
        <v>0.34939759036144585</v>
      </c>
    </row>
    <row r="828" spans="1:22" ht="14.25" customHeight="1" x14ac:dyDescent="0.25">
      <c r="A828" s="1" t="s">
        <v>912</v>
      </c>
      <c r="B828" s="1" t="s">
        <v>896</v>
      </c>
      <c r="C828" s="1" t="s">
        <v>44</v>
      </c>
      <c r="D828" s="1" t="s">
        <v>29</v>
      </c>
      <c r="E828" s="1" t="s">
        <v>31</v>
      </c>
      <c r="F828" s="1">
        <v>2406</v>
      </c>
      <c r="G828" s="14">
        <v>10</v>
      </c>
      <c r="H828" s="1">
        <v>0.15</v>
      </c>
      <c r="I828" s="14">
        <v>20451</v>
      </c>
      <c r="J828" s="14">
        <v>10393.92</v>
      </c>
      <c r="K828" s="15">
        <f>Table5[[#This Row],[Selling Price]]*Table5[[#This Row],[Units Sold]]</f>
        <v>24060</v>
      </c>
      <c r="L828" t="str">
        <f t="shared" si="12"/>
        <v>2024-07</v>
      </c>
      <c r="M828" t="str">
        <f>VLOOKUP(Table5[[#This Row],[Store ID]],Table4[[Store ID]:[Store Location]],2)</f>
        <v>Birmingham</v>
      </c>
      <c r="N828" t="str">
        <f>VLOOKUP(Table5[[#This Row],[Store ID]],Table4[[Store ID]:[Region]],3)</f>
        <v>Midlands</v>
      </c>
      <c r="O828" t="str">
        <f>VLOOKUP(Table5[[#This Row],[Product ID]],'Product Master'!$A$2:$D$10,4)</f>
        <v>Supplier F</v>
      </c>
      <c r="P828" s="15">
        <f>Table5[[#This Row],[Total Revenue]]-Table5[[#This Row],[Net Sales Revenue]]</f>
        <v>3609</v>
      </c>
      <c r="Q828" s="15">
        <f>Table5[[#This Row],[Net Sales Revenue]]/Table5[[#This Row],[Units Sold]]</f>
        <v>8.5</v>
      </c>
      <c r="R828">
        <f>VLOOKUP(Table5[[#This Row],[Product ID]],'Product Master'!$A$1:$E$10,5,FALSE)</f>
        <v>4</v>
      </c>
      <c r="S828" s="15">
        <f>Table5[[#This Row],[standard product cost per unit]]*Table5[[#This Row],[Units Sold]]</f>
        <v>9624</v>
      </c>
      <c r="T828" s="15">
        <f>Table5[[#This Row],[Cost of Sales]]-Table5[[#This Row],[Standard cost]]</f>
        <v>769.92000000000007</v>
      </c>
      <c r="U828" s="15">
        <f>Table5[[#This Row],[Net Sales Revenue]]-Table5[[#This Row],[Cost of Sales]]</f>
        <v>10057.08</v>
      </c>
      <c r="V828" s="17">
        <f>Table5[[#This Row],[GrossProfit]]/Table5[[#This Row],[Net Sales Revenue]]</f>
        <v>0.49176470588235294</v>
      </c>
    </row>
    <row r="829" spans="1:22" ht="14.25" customHeight="1" x14ac:dyDescent="0.25">
      <c r="A829" s="1" t="s">
        <v>913</v>
      </c>
      <c r="B829" s="1" t="s">
        <v>896</v>
      </c>
      <c r="C829" s="1" t="s">
        <v>44</v>
      </c>
      <c r="D829" s="1" t="s">
        <v>33</v>
      </c>
      <c r="E829" s="1" t="s">
        <v>31</v>
      </c>
      <c r="F829" s="1">
        <v>1487</v>
      </c>
      <c r="G829" s="14">
        <v>22</v>
      </c>
      <c r="H829" s="1">
        <v>0.12</v>
      </c>
      <c r="I829" s="14">
        <v>28788.32</v>
      </c>
      <c r="J829" s="14">
        <v>16059.6</v>
      </c>
      <c r="K829" s="15">
        <f>Table5[[#This Row],[Selling Price]]*Table5[[#This Row],[Units Sold]]</f>
        <v>32714</v>
      </c>
      <c r="L829" t="str">
        <f t="shared" si="12"/>
        <v>2024-07</v>
      </c>
      <c r="M829" t="str">
        <f>VLOOKUP(Table5[[#This Row],[Store ID]],Table4[[Store ID]:[Store Location]],2)</f>
        <v>Birmingham</v>
      </c>
      <c r="N829" t="str">
        <f>VLOOKUP(Table5[[#This Row],[Store ID]],Table4[[Store ID]:[Region]],3)</f>
        <v>Midlands</v>
      </c>
      <c r="O829" t="str">
        <f>VLOOKUP(Table5[[#This Row],[Product ID]],'Product Master'!$A$2:$D$10,4)</f>
        <v>Supplier F</v>
      </c>
      <c r="P829" s="15">
        <f>Table5[[#This Row],[Total Revenue]]-Table5[[#This Row],[Net Sales Revenue]]</f>
        <v>3925.6800000000003</v>
      </c>
      <c r="Q829" s="15">
        <f>Table5[[#This Row],[Net Sales Revenue]]/Table5[[#This Row],[Units Sold]]</f>
        <v>19.36</v>
      </c>
      <c r="R829">
        <f>VLOOKUP(Table5[[#This Row],[Product ID]],'Product Master'!$A$1:$E$10,5,FALSE)</f>
        <v>10</v>
      </c>
      <c r="S829" s="15">
        <f>Table5[[#This Row],[standard product cost per unit]]*Table5[[#This Row],[Units Sold]]</f>
        <v>14870</v>
      </c>
      <c r="T829" s="15">
        <f>Table5[[#This Row],[Cost of Sales]]-Table5[[#This Row],[Standard cost]]</f>
        <v>1189.6000000000004</v>
      </c>
      <c r="U829" s="15">
        <f>Table5[[#This Row],[Net Sales Revenue]]-Table5[[#This Row],[Cost of Sales]]</f>
        <v>12728.72</v>
      </c>
      <c r="V829" s="17">
        <f>Table5[[#This Row],[GrossProfit]]/Table5[[#This Row],[Net Sales Revenue]]</f>
        <v>0.44214876033057848</v>
      </c>
    </row>
    <row r="830" spans="1:22" ht="14.25" customHeight="1" x14ac:dyDescent="0.25">
      <c r="A830" s="1" t="s">
        <v>914</v>
      </c>
      <c r="B830" s="1" t="s">
        <v>896</v>
      </c>
      <c r="C830" s="1" t="s">
        <v>48</v>
      </c>
      <c r="D830" s="1" t="s">
        <v>6</v>
      </c>
      <c r="E830" s="1" t="s">
        <v>8</v>
      </c>
      <c r="F830" s="1">
        <v>2455</v>
      </c>
      <c r="G830" s="14">
        <v>24</v>
      </c>
      <c r="H830" s="1">
        <v>0.17</v>
      </c>
      <c r="I830" s="14">
        <v>48903.6</v>
      </c>
      <c r="J830" s="14">
        <v>31816.799999999999</v>
      </c>
      <c r="K830" s="15">
        <f>Table5[[#This Row],[Selling Price]]*Table5[[#This Row],[Units Sold]]</f>
        <v>58920</v>
      </c>
      <c r="L830" t="str">
        <f t="shared" si="12"/>
        <v>2024-07</v>
      </c>
      <c r="M830" t="str">
        <f>VLOOKUP(Table5[[#This Row],[Store ID]],Table4[[Store ID]:[Store Location]],2)</f>
        <v>London Stratford</v>
      </c>
      <c r="N830" t="str">
        <f>VLOOKUP(Table5[[#This Row],[Store ID]],Table4[[Store ID]:[Region]],3)</f>
        <v>South</v>
      </c>
      <c r="O830" t="str">
        <f>VLOOKUP(Table5[[#This Row],[Product ID]],'Product Master'!$A$2:$D$10,4)</f>
        <v>Supplier A</v>
      </c>
      <c r="P830" s="15">
        <f>Table5[[#This Row],[Total Revenue]]-Table5[[#This Row],[Net Sales Revenue]]</f>
        <v>10016.400000000001</v>
      </c>
      <c r="Q830" s="15">
        <f>Table5[[#This Row],[Net Sales Revenue]]/Table5[[#This Row],[Units Sold]]</f>
        <v>19.919999999999998</v>
      </c>
      <c r="R830">
        <f>VLOOKUP(Table5[[#This Row],[Product ID]],'Product Master'!$A$1:$E$10,5,FALSE)</f>
        <v>12</v>
      </c>
      <c r="S830" s="15">
        <f>Table5[[#This Row],[standard product cost per unit]]*Table5[[#This Row],[Units Sold]]</f>
        <v>29460</v>
      </c>
      <c r="T830" s="15">
        <f>Table5[[#This Row],[Cost of Sales]]-Table5[[#This Row],[Standard cost]]</f>
        <v>2356.7999999999993</v>
      </c>
      <c r="U830" s="15">
        <f>Table5[[#This Row],[Net Sales Revenue]]-Table5[[#This Row],[Cost of Sales]]</f>
        <v>17086.8</v>
      </c>
      <c r="V830" s="17">
        <f>Table5[[#This Row],[GrossProfit]]/Table5[[#This Row],[Net Sales Revenue]]</f>
        <v>0.3493975903614458</v>
      </c>
    </row>
    <row r="831" spans="1:22" ht="14.25" customHeight="1" x14ac:dyDescent="0.25">
      <c r="A831" s="1" t="s">
        <v>915</v>
      </c>
      <c r="B831" s="1" t="s">
        <v>896</v>
      </c>
      <c r="C831" s="1" t="s">
        <v>48</v>
      </c>
      <c r="D831" s="1" t="s">
        <v>10</v>
      </c>
      <c r="E831" s="1" t="s">
        <v>8</v>
      </c>
      <c r="F831" s="1">
        <v>1628</v>
      </c>
      <c r="G831" s="14">
        <v>50</v>
      </c>
      <c r="H831" s="1">
        <v>0.14000000000000001</v>
      </c>
      <c r="I831" s="14">
        <v>70004</v>
      </c>
      <c r="J831" s="14">
        <v>49230.720000000001</v>
      </c>
      <c r="K831" s="15">
        <f>Table5[[#This Row],[Selling Price]]*Table5[[#This Row],[Units Sold]]</f>
        <v>81400</v>
      </c>
      <c r="L831" t="str">
        <f t="shared" si="12"/>
        <v>2024-07</v>
      </c>
      <c r="M831" t="str">
        <f>VLOOKUP(Table5[[#This Row],[Store ID]],Table4[[Store ID]:[Store Location]],2)</f>
        <v>London Stratford</v>
      </c>
      <c r="N831" t="str">
        <f>VLOOKUP(Table5[[#This Row],[Store ID]],Table4[[Store ID]:[Region]],3)</f>
        <v>South</v>
      </c>
      <c r="O831" t="str">
        <f>VLOOKUP(Table5[[#This Row],[Product ID]],'Product Master'!$A$2:$D$10,4)</f>
        <v>Supplier B</v>
      </c>
      <c r="P831" s="15">
        <f>Table5[[#This Row],[Total Revenue]]-Table5[[#This Row],[Net Sales Revenue]]</f>
        <v>11396</v>
      </c>
      <c r="Q831" s="15">
        <f>Table5[[#This Row],[Net Sales Revenue]]/Table5[[#This Row],[Units Sold]]</f>
        <v>43</v>
      </c>
      <c r="R831">
        <f>VLOOKUP(Table5[[#This Row],[Product ID]],'Product Master'!$A$1:$E$10,5,FALSE)</f>
        <v>28</v>
      </c>
      <c r="S831" s="15">
        <f>Table5[[#This Row],[standard product cost per unit]]*Table5[[#This Row],[Units Sold]]</f>
        <v>45584</v>
      </c>
      <c r="T831" s="15">
        <f>Table5[[#This Row],[Cost of Sales]]-Table5[[#This Row],[Standard cost]]</f>
        <v>3646.7200000000012</v>
      </c>
      <c r="U831" s="15">
        <f>Table5[[#This Row],[Net Sales Revenue]]-Table5[[#This Row],[Cost of Sales]]</f>
        <v>20773.28</v>
      </c>
      <c r="V831" s="17">
        <f>Table5[[#This Row],[GrossProfit]]/Table5[[#This Row],[Net Sales Revenue]]</f>
        <v>0.29674418604651159</v>
      </c>
    </row>
    <row r="832" spans="1:22" ht="14.25" customHeight="1" x14ac:dyDescent="0.25">
      <c r="A832" s="1" t="s">
        <v>916</v>
      </c>
      <c r="B832" s="1" t="s">
        <v>896</v>
      </c>
      <c r="C832" s="1" t="s">
        <v>48</v>
      </c>
      <c r="D832" s="1" t="s">
        <v>13</v>
      </c>
      <c r="E832" s="1" t="s">
        <v>15</v>
      </c>
      <c r="F832" s="1">
        <v>2670</v>
      </c>
      <c r="G832" s="14">
        <v>28</v>
      </c>
      <c r="H832" s="1">
        <v>0.14000000000000001</v>
      </c>
      <c r="I832" s="14">
        <v>64293.599999999999</v>
      </c>
      <c r="J832" s="14">
        <v>43254</v>
      </c>
      <c r="K832" s="15">
        <f>Table5[[#This Row],[Selling Price]]*Table5[[#This Row],[Units Sold]]</f>
        <v>74760</v>
      </c>
      <c r="L832" t="str">
        <f t="shared" si="12"/>
        <v>2024-07</v>
      </c>
      <c r="M832" t="str">
        <f>VLOOKUP(Table5[[#This Row],[Store ID]],Table4[[Store ID]:[Store Location]],2)</f>
        <v>London Stratford</v>
      </c>
      <c r="N832" t="str">
        <f>VLOOKUP(Table5[[#This Row],[Store ID]],Table4[[Store ID]:[Region]],3)</f>
        <v>South</v>
      </c>
      <c r="O832" t="str">
        <f>VLOOKUP(Table5[[#This Row],[Product ID]],'Product Master'!$A$2:$D$10,4)</f>
        <v>Supplier C</v>
      </c>
      <c r="P832" s="15">
        <f>Table5[[#This Row],[Total Revenue]]-Table5[[#This Row],[Net Sales Revenue]]</f>
        <v>10466.400000000001</v>
      </c>
      <c r="Q832" s="15">
        <f>Table5[[#This Row],[Net Sales Revenue]]/Table5[[#This Row],[Units Sold]]</f>
        <v>24.08</v>
      </c>
      <c r="R832">
        <f>VLOOKUP(Table5[[#This Row],[Product ID]],'Product Master'!$A$1:$E$10,5,FALSE)</f>
        <v>15</v>
      </c>
      <c r="S832" s="15">
        <f>Table5[[#This Row],[standard product cost per unit]]*Table5[[#This Row],[Units Sold]]</f>
        <v>40050</v>
      </c>
      <c r="T832" s="15">
        <f>Table5[[#This Row],[Cost of Sales]]-Table5[[#This Row],[Standard cost]]</f>
        <v>3204</v>
      </c>
      <c r="U832" s="15">
        <f>Table5[[#This Row],[Net Sales Revenue]]-Table5[[#This Row],[Cost of Sales]]</f>
        <v>21039.599999999999</v>
      </c>
      <c r="V832" s="17">
        <f>Table5[[#This Row],[GrossProfit]]/Table5[[#This Row],[Net Sales Revenue]]</f>
        <v>0.3272425249169435</v>
      </c>
    </row>
    <row r="833" spans="1:22" ht="14.25" customHeight="1" x14ac:dyDescent="0.25">
      <c r="A833" s="1" t="s">
        <v>917</v>
      </c>
      <c r="B833" s="1" t="s">
        <v>896</v>
      </c>
      <c r="C833" s="1" t="s">
        <v>48</v>
      </c>
      <c r="D833" s="1" t="s">
        <v>17</v>
      </c>
      <c r="E833" s="1" t="s">
        <v>15</v>
      </c>
      <c r="F833" s="1">
        <v>2952</v>
      </c>
      <c r="G833" s="14">
        <v>35</v>
      </c>
      <c r="H833" s="1">
        <v>0.15</v>
      </c>
      <c r="I833" s="14">
        <v>87822</v>
      </c>
      <c r="J833" s="14">
        <v>57386.879999999997</v>
      </c>
      <c r="K833" s="15">
        <f>Table5[[#This Row],[Selling Price]]*Table5[[#This Row],[Units Sold]]</f>
        <v>103320</v>
      </c>
      <c r="L833" t="str">
        <f t="shared" si="12"/>
        <v>2024-07</v>
      </c>
      <c r="M833" t="str">
        <f>VLOOKUP(Table5[[#This Row],[Store ID]],Table4[[Store ID]:[Store Location]],2)</f>
        <v>London Stratford</v>
      </c>
      <c r="N833" t="str">
        <f>VLOOKUP(Table5[[#This Row],[Store ID]],Table4[[Store ID]:[Region]],3)</f>
        <v>South</v>
      </c>
      <c r="O833" t="str">
        <f>VLOOKUP(Table5[[#This Row],[Product ID]],'Product Master'!$A$2:$D$10,4)</f>
        <v>Supplier C</v>
      </c>
      <c r="P833" s="15">
        <f>Table5[[#This Row],[Total Revenue]]-Table5[[#This Row],[Net Sales Revenue]]</f>
        <v>15498</v>
      </c>
      <c r="Q833" s="15">
        <f>Table5[[#This Row],[Net Sales Revenue]]/Table5[[#This Row],[Units Sold]]</f>
        <v>29.75</v>
      </c>
      <c r="R833">
        <f>VLOOKUP(Table5[[#This Row],[Product ID]],'Product Master'!$A$1:$E$10,5,FALSE)</f>
        <v>18</v>
      </c>
      <c r="S833" s="15">
        <f>Table5[[#This Row],[standard product cost per unit]]*Table5[[#This Row],[Units Sold]]</f>
        <v>53136</v>
      </c>
      <c r="T833" s="15">
        <f>Table5[[#This Row],[Cost of Sales]]-Table5[[#This Row],[Standard cost]]</f>
        <v>4250.8799999999974</v>
      </c>
      <c r="U833" s="15">
        <f>Table5[[#This Row],[Net Sales Revenue]]-Table5[[#This Row],[Cost of Sales]]</f>
        <v>30435.120000000003</v>
      </c>
      <c r="V833" s="17">
        <f>Table5[[#This Row],[GrossProfit]]/Table5[[#This Row],[Net Sales Revenue]]</f>
        <v>0.34655462184873953</v>
      </c>
    </row>
    <row r="834" spans="1:22" ht="14.25" customHeight="1" x14ac:dyDescent="0.25">
      <c r="A834" s="1" t="s">
        <v>918</v>
      </c>
      <c r="B834" s="1" t="s">
        <v>896</v>
      </c>
      <c r="C834" s="1" t="s">
        <v>48</v>
      </c>
      <c r="D834" s="1" t="s">
        <v>19</v>
      </c>
      <c r="E834" s="1" t="s">
        <v>21</v>
      </c>
      <c r="F834" s="1">
        <v>2354</v>
      </c>
      <c r="G834" s="14">
        <v>18</v>
      </c>
      <c r="H834" s="1">
        <v>0.16</v>
      </c>
      <c r="I834" s="14">
        <v>35592.480000000003</v>
      </c>
      <c r="J834" s="14">
        <v>22880.880000000001</v>
      </c>
      <c r="K834" s="15">
        <f>Table5[[#This Row],[Selling Price]]*Table5[[#This Row],[Units Sold]]</f>
        <v>42372</v>
      </c>
      <c r="L834" t="str">
        <f t="shared" ref="L834:L897" si="13">TEXT(B834,"yyyy-mm")</f>
        <v>2024-07</v>
      </c>
      <c r="M834" t="str">
        <f>VLOOKUP(Table5[[#This Row],[Store ID]],Table4[[Store ID]:[Store Location]],2)</f>
        <v>London Stratford</v>
      </c>
      <c r="N834" t="str">
        <f>VLOOKUP(Table5[[#This Row],[Store ID]],Table4[[Store ID]:[Region]],3)</f>
        <v>South</v>
      </c>
      <c r="O834" t="str">
        <f>VLOOKUP(Table5[[#This Row],[Product ID]],'Product Master'!$A$2:$D$10,4)</f>
        <v>Supplier D</v>
      </c>
      <c r="P834" s="15">
        <f>Table5[[#This Row],[Total Revenue]]-Table5[[#This Row],[Net Sales Revenue]]</f>
        <v>6779.5199999999968</v>
      </c>
      <c r="Q834" s="15">
        <f>Table5[[#This Row],[Net Sales Revenue]]/Table5[[#This Row],[Units Sold]]</f>
        <v>15.120000000000001</v>
      </c>
      <c r="R834">
        <f>VLOOKUP(Table5[[#This Row],[Product ID]],'Product Master'!$A$1:$E$10,5,FALSE)</f>
        <v>9</v>
      </c>
      <c r="S834" s="15">
        <f>Table5[[#This Row],[standard product cost per unit]]*Table5[[#This Row],[Units Sold]]</f>
        <v>21186</v>
      </c>
      <c r="T834" s="15">
        <f>Table5[[#This Row],[Cost of Sales]]-Table5[[#This Row],[Standard cost]]</f>
        <v>1694.880000000001</v>
      </c>
      <c r="U834" s="15">
        <f>Table5[[#This Row],[Net Sales Revenue]]-Table5[[#This Row],[Cost of Sales]]</f>
        <v>12711.600000000002</v>
      </c>
      <c r="V834" s="17">
        <f>Table5[[#This Row],[GrossProfit]]/Table5[[#This Row],[Net Sales Revenue]]</f>
        <v>0.35714285714285715</v>
      </c>
    </row>
    <row r="835" spans="1:22" ht="14.25" customHeight="1" x14ac:dyDescent="0.25">
      <c r="A835" s="1" t="s">
        <v>919</v>
      </c>
      <c r="B835" s="1" t="s">
        <v>896</v>
      </c>
      <c r="C835" s="1" t="s">
        <v>48</v>
      </c>
      <c r="D835" s="1" t="s">
        <v>23</v>
      </c>
      <c r="E835" s="1" t="s">
        <v>21</v>
      </c>
      <c r="F835" s="1">
        <v>2917</v>
      </c>
      <c r="G835" s="14">
        <v>30</v>
      </c>
      <c r="H835" s="1">
        <v>0.14000000000000001</v>
      </c>
      <c r="I835" s="14">
        <v>75258.600000000006</v>
      </c>
      <c r="J835" s="14">
        <v>44105.04</v>
      </c>
      <c r="K835" s="15">
        <f>Table5[[#This Row],[Selling Price]]*Table5[[#This Row],[Units Sold]]</f>
        <v>87510</v>
      </c>
      <c r="L835" t="str">
        <f t="shared" si="13"/>
        <v>2024-07</v>
      </c>
      <c r="M835" t="str">
        <f>VLOOKUP(Table5[[#This Row],[Store ID]],Table4[[Store ID]:[Store Location]],2)</f>
        <v>London Stratford</v>
      </c>
      <c r="N835" t="str">
        <f>VLOOKUP(Table5[[#This Row],[Store ID]],Table4[[Store ID]:[Region]],3)</f>
        <v>South</v>
      </c>
      <c r="O835" t="str">
        <f>VLOOKUP(Table5[[#This Row],[Product ID]],'Product Master'!$A$2:$D$10,4)</f>
        <v>Supplier D</v>
      </c>
      <c r="P835" s="15">
        <f>Table5[[#This Row],[Total Revenue]]-Table5[[#This Row],[Net Sales Revenue]]</f>
        <v>12251.399999999994</v>
      </c>
      <c r="Q835" s="15">
        <f>Table5[[#This Row],[Net Sales Revenue]]/Table5[[#This Row],[Units Sold]]</f>
        <v>25.8</v>
      </c>
      <c r="R835">
        <f>VLOOKUP(Table5[[#This Row],[Product ID]],'Product Master'!$A$1:$E$10,5,FALSE)</f>
        <v>14</v>
      </c>
      <c r="S835" s="15">
        <f>Table5[[#This Row],[standard product cost per unit]]*Table5[[#This Row],[Units Sold]]</f>
        <v>40838</v>
      </c>
      <c r="T835" s="15">
        <f>Table5[[#This Row],[Cost of Sales]]-Table5[[#This Row],[Standard cost]]</f>
        <v>3267.0400000000009</v>
      </c>
      <c r="U835" s="15">
        <f>Table5[[#This Row],[Net Sales Revenue]]-Table5[[#This Row],[Cost of Sales]]</f>
        <v>31153.560000000005</v>
      </c>
      <c r="V835" s="17">
        <f>Table5[[#This Row],[GrossProfit]]/Table5[[#This Row],[Net Sales Revenue]]</f>
        <v>0.41395348837209306</v>
      </c>
    </row>
    <row r="836" spans="1:22" ht="14.25" customHeight="1" x14ac:dyDescent="0.25">
      <c r="A836" s="1" t="s">
        <v>920</v>
      </c>
      <c r="B836" s="1" t="s">
        <v>896</v>
      </c>
      <c r="C836" s="1" t="s">
        <v>48</v>
      </c>
      <c r="D836" s="1" t="s">
        <v>25</v>
      </c>
      <c r="E836" s="1" t="s">
        <v>27</v>
      </c>
      <c r="F836" s="1">
        <v>1478</v>
      </c>
      <c r="G836" s="14">
        <v>40</v>
      </c>
      <c r="H836" s="1">
        <v>0.16</v>
      </c>
      <c r="I836" s="14">
        <v>49660.800000000003</v>
      </c>
      <c r="J836" s="14">
        <v>31924.799999999999</v>
      </c>
      <c r="K836" s="15">
        <f>Table5[[#This Row],[Selling Price]]*Table5[[#This Row],[Units Sold]]</f>
        <v>59120</v>
      </c>
      <c r="L836" t="str">
        <f t="shared" si="13"/>
        <v>2024-07</v>
      </c>
      <c r="M836" t="str">
        <f>VLOOKUP(Table5[[#This Row],[Store ID]],Table4[[Store ID]:[Store Location]],2)</f>
        <v>London Stratford</v>
      </c>
      <c r="N836" t="str">
        <f>VLOOKUP(Table5[[#This Row],[Store ID]],Table4[[Store ID]:[Region]],3)</f>
        <v>South</v>
      </c>
      <c r="O836" t="str">
        <f>VLOOKUP(Table5[[#This Row],[Product ID]],'Product Master'!$A$2:$D$10,4)</f>
        <v>Supplier E</v>
      </c>
      <c r="P836" s="15">
        <f>Table5[[#This Row],[Total Revenue]]-Table5[[#This Row],[Net Sales Revenue]]</f>
        <v>9459.1999999999971</v>
      </c>
      <c r="Q836" s="15">
        <f>Table5[[#This Row],[Net Sales Revenue]]/Table5[[#This Row],[Units Sold]]</f>
        <v>33.6</v>
      </c>
      <c r="R836">
        <f>VLOOKUP(Table5[[#This Row],[Product ID]],'Product Master'!$A$1:$E$10,5,FALSE)</f>
        <v>20</v>
      </c>
      <c r="S836" s="15">
        <f>Table5[[#This Row],[standard product cost per unit]]*Table5[[#This Row],[Units Sold]]</f>
        <v>29560</v>
      </c>
      <c r="T836" s="15">
        <f>Table5[[#This Row],[Cost of Sales]]-Table5[[#This Row],[Standard cost]]</f>
        <v>2364.7999999999993</v>
      </c>
      <c r="U836" s="15">
        <f>Table5[[#This Row],[Net Sales Revenue]]-Table5[[#This Row],[Cost of Sales]]</f>
        <v>17736.000000000004</v>
      </c>
      <c r="V836" s="17">
        <f>Table5[[#This Row],[GrossProfit]]/Table5[[#This Row],[Net Sales Revenue]]</f>
        <v>0.35714285714285721</v>
      </c>
    </row>
    <row r="837" spans="1:22" ht="14.25" customHeight="1" x14ac:dyDescent="0.25">
      <c r="A837" s="1" t="s">
        <v>921</v>
      </c>
      <c r="B837" s="1" t="s">
        <v>896</v>
      </c>
      <c r="C837" s="1" t="s">
        <v>48</v>
      </c>
      <c r="D837" s="1" t="s">
        <v>29</v>
      </c>
      <c r="E837" s="1" t="s">
        <v>31</v>
      </c>
      <c r="F837" s="1">
        <v>1513</v>
      </c>
      <c r="G837" s="14">
        <v>10</v>
      </c>
      <c r="H837" s="1">
        <v>0.12</v>
      </c>
      <c r="I837" s="14">
        <v>13314.4</v>
      </c>
      <c r="J837" s="14">
        <v>6536.16</v>
      </c>
      <c r="K837" s="15">
        <f>Table5[[#This Row],[Selling Price]]*Table5[[#This Row],[Units Sold]]</f>
        <v>15130</v>
      </c>
      <c r="L837" t="str">
        <f t="shared" si="13"/>
        <v>2024-07</v>
      </c>
      <c r="M837" t="str">
        <f>VLOOKUP(Table5[[#This Row],[Store ID]],Table4[[Store ID]:[Store Location]],2)</f>
        <v>London Stratford</v>
      </c>
      <c r="N837" t="str">
        <f>VLOOKUP(Table5[[#This Row],[Store ID]],Table4[[Store ID]:[Region]],3)</f>
        <v>South</v>
      </c>
      <c r="O837" t="str">
        <f>VLOOKUP(Table5[[#This Row],[Product ID]],'Product Master'!$A$2:$D$10,4)</f>
        <v>Supplier F</v>
      </c>
      <c r="P837" s="15">
        <f>Table5[[#This Row],[Total Revenue]]-Table5[[#This Row],[Net Sales Revenue]]</f>
        <v>1815.6000000000004</v>
      </c>
      <c r="Q837" s="15">
        <f>Table5[[#This Row],[Net Sales Revenue]]/Table5[[#This Row],[Units Sold]]</f>
        <v>8.7999999999999989</v>
      </c>
      <c r="R837">
        <f>VLOOKUP(Table5[[#This Row],[Product ID]],'Product Master'!$A$1:$E$10,5,FALSE)</f>
        <v>4</v>
      </c>
      <c r="S837" s="15">
        <f>Table5[[#This Row],[standard product cost per unit]]*Table5[[#This Row],[Units Sold]]</f>
        <v>6052</v>
      </c>
      <c r="T837" s="15">
        <f>Table5[[#This Row],[Cost of Sales]]-Table5[[#This Row],[Standard cost]]</f>
        <v>484.15999999999985</v>
      </c>
      <c r="U837" s="15">
        <f>Table5[[#This Row],[Net Sales Revenue]]-Table5[[#This Row],[Cost of Sales]]</f>
        <v>6778.24</v>
      </c>
      <c r="V837" s="17">
        <f>Table5[[#This Row],[GrossProfit]]/Table5[[#This Row],[Net Sales Revenue]]</f>
        <v>0.50909090909090904</v>
      </c>
    </row>
    <row r="838" spans="1:22" ht="14.25" customHeight="1" x14ac:dyDescent="0.25">
      <c r="A838" s="1" t="s">
        <v>922</v>
      </c>
      <c r="B838" s="1" t="s">
        <v>896</v>
      </c>
      <c r="C838" s="1" t="s">
        <v>48</v>
      </c>
      <c r="D838" s="1" t="s">
        <v>33</v>
      </c>
      <c r="E838" s="1" t="s">
        <v>31</v>
      </c>
      <c r="F838" s="1">
        <v>1518</v>
      </c>
      <c r="G838" s="14">
        <v>22</v>
      </c>
      <c r="H838" s="1">
        <v>0.15</v>
      </c>
      <c r="I838" s="14">
        <v>28386.6</v>
      </c>
      <c r="J838" s="14">
        <v>16394.400000000001</v>
      </c>
      <c r="K838" s="15">
        <f>Table5[[#This Row],[Selling Price]]*Table5[[#This Row],[Units Sold]]</f>
        <v>33396</v>
      </c>
      <c r="L838" t="str">
        <f t="shared" si="13"/>
        <v>2024-07</v>
      </c>
      <c r="M838" t="str">
        <f>VLOOKUP(Table5[[#This Row],[Store ID]],Table4[[Store ID]:[Store Location]],2)</f>
        <v>London Stratford</v>
      </c>
      <c r="N838" t="str">
        <f>VLOOKUP(Table5[[#This Row],[Store ID]],Table4[[Store ID]:[Region]],3)</f>
        <v>South</v>
      </c>
      <c r="O838" t="str">
        <f>VLOOKUP(Table5[[#This Row],[Product ID]],'Product Master'!$A$2:$D$10,4)</f>
        <v>Supplier F</v>
      </c>
      <c r="P838" s="15">
        <f>Table5[[#This Row],[Total Revenue]]-Table5[[#This Row],[Net Sales Revenue]]</f>
        <v>5009.4000000000015</v>
      </c>
      <c r="Q838" s="15">
        <f>Table5[[#This Row],[Net Sales Revenue]]/Table5[[#This Row],[Units Sold]]</f>
        <v>18.7</v>
      </c>
      <c r="R838">
        <f>VLOOKUP(Table5[[#This Row],[Product ID]],'Product Master'!$A$1:$E$10,5,FALSE)</f>
        <v>10</v>
      </c>
      <c r="S838" s="15">
        <f>Table5[[#This Row],[standard product cost per unit]]*Table5[[#This Row],[Units Sold]]</f>
        <v>15180</v>
      </c>
      <c r="T838" s="15">
        <f>Table5[[#This Row],[Cost of Sales]]-Table5[[#This Row],[Standard cost]]</f>
        <v>1214.4000000000015</v>
      </c>
      <c r="U838" s="15">
        <f>Table5[[#This Row],[Net Sales Revenue]]-Table5[[#This Row],[Cost of Sales]]</f>
        <v>11992.199999999997</v>
      </c>
      <c r="V838" s="17">
        <f>Table5[[#This Row],[GrossProfit]]/Table5[[#This Row],[Net Sales Revenue]]</f>
        <v>0.42245989304812825</v>
      </c>
    </row>
    <row r="839" spans="1:22" ht="14.25" customHeight="1" x14ac:dyDescent="0.25">
      <c r="A839" s="1" t="s">
        <v>923</v>
      </c>
      <c r="B839" s="1" t="s">
        <v>896</v>
      </c>
      <c r="C839" s="1" t="s">
        <v>52</v>
      </c>
      <c r="D839" s="1" t="s">
        <v>6</v>
      </c>
      <c r="E839" s="1" t="s">
        <v>8</v>
      </c>
      <c r="F839" s="1">
        <v>2019</v>
      </c>
      <c r="G839" s="14">
        <v>24</v>
      </c>
      <c r="H839" s="1">
        <v>0.17</v>
      </c>
      <c r="I839" s="14">
        <v>40218.480000000003</v>
      </c>
      <c r="J839" s="14">
        <v>26166.240000000002</v>
      </c>
      <c r="K839" s="15">
        <f>Table5[[#This Row],[Selling Price]]*Table5[[#This Row],[Units Sold]]</f>
        <v>48456</v>
      </c>
      <c r="L839" t="str">
        <f t="shared" si="13"/>
        <v>2024-07</v>
      </c>
      <c r="M839" t="str">
        <f>VLOOKUP(Table5[[#This Row],[Store ID]],Table4[[Store ID]:[Store Location]],2)</f>
        <v>Glasgow</v>
      </c>
      <c r="N839" t="str">
        <f>VLOOKUP(Table5[[#This Row],[Store ID]],Table4[[Store ID]:[Region]],3)</f>
        <v>Scotland</v>
      </c>
      <c r="O839" t="str">
        <f>VLOOKUP(Table5[[#This Row],[Product ID]],'Product Master'!$A$2:$D$10,4)</f>
        <v>Supplier A</v>
      </c>
      <c r="P839" s="15">
        <f>Table5[[#This Row],[Total Revenue]]-Table5[[#This Row],[Net Sales Revenue]]</f>
        <v>8237.5199999999968</v>
      </c>
      <c r="Q839" s="15">
        <f>Table5[[#This Row],[Net Sales Revenue]]/Table5[[#This Row],[Units Sold]]</f>
        <v>19.920000000000002</v>
      </c>
      <c r="R839">
        <f>VLOOKUP(Table5[[#This Row],[Product ID]],'Product Master'!$A$1:$E$10,5,FALSE)</f>
        <v>12</v>
      </c>
      <c r="S839" s="15">
        <f>Table5[[#This Row],[standard product cost per unit]]*Table5[[#This Row],[Units Sold]]</f>
        <v>24228</v>
      </c>
      <c r="T839" s="15">
        <f>Table5[[#This Row],[Cost of Sales]]-Table5[[#This Row],[Standard cost]]</f>
        <v>1938.2400000000016</v>
      </c>
      <c r="U839" s="15">
        <f>Table5[[#This Row],[Net Sales Revenue]]-Table5[[#This Row],[Cost of Sales]]</f>
        <v>14052.240000000002</v>
      </c>
      <c r="V839" s="17">
        <f>Table5[[#This Row],[GrossProfit]]/Table5[[#This Row],[Net Sales Revenue]]</f>
        <v>0.3493975903614458</v>
      </c>
    </row>
    <row r="840" spans="1:22" ht="14.25" customHeight="1" x14ac:dyDescent="0.25">
      <c r="A840" s="1" t="s">
        <v>924</v>
      </c>
      <c r="B840" s="1" t="s">
        <v>896</v>
      </c>
      <c r="C840" s="1" t="s">
        <v>52</v>
      </c>
      <c r="D840" s="1" t="s">
        <v>10</v>
      </c>
      <c r="E840" s="1" t="s">
        <v>8</v>
      </c>
      <c r="F840" s="1">
        <v>2248</v>
      </c>
      <c r="G840" s="14">
        <v>50</v>
      </c>
      <c r="H840" s="1">
        <v>0.13</v>
      </c>
      <c r="I840" s="14">
        <v>97788</v>
      </c>
      <c r="J840" s="14">
        <v>67979.520000000004</v>
      </c>
      <c r="K840" s="15">
        <f>Table5[[#This Row],[Selling Price]]*Table5[[#This Row],[Units Sold]]</f>
        <v>112400</v>
      </c>
      <c r="L840" t="str">
        <f t="shared" si="13"/>
        <v>2024-07</v>
      </c>
      <c r="M840" t="str">
        <f>VLOOKUP(Table5[[#This Row],[Store ID]],Table4[[Store ID]:[Store Location]],2)</f>
        <v>Glasgow</v>
      </c>
      <c r="N840" t="str">
        <f>VLOOKUP(Table5[[#This Row],[Store ID]],Table4[[Store ID]:[Region]],3)</f>
        <v>Scotland</v>
      </c>
      <c r="O840" t="str">
        <f>VLOOKUP(Table5[[#This Row],[Product ID]],'Product Master'!$A$2:$D$10,4)</f>
        <v>Supplier B</v>
      </c>
      <c r="P840" s="15">
        <f>Table5[[#This Row],[Total Revenue]]-Table5[[#This Row],[Net Sales Revenue]]</f>
        <v>14612</v>
      </c>
      <c r="Q840" s="15">
        <f>Table5[[#This Row],[Net Sales Revenue]]/Table5[[#This Row],[Units Sold]]</f>
        <v>43.5</v>
      </c>
      <c r="R840">
        <f>VLOOKUP(Table5[[#This Row],[Product ID]],'Product Master'!$A$1:$E$10,5,FALSE)</f>
        <v>28</v>
      </c>
      <c r="S840" s="15">
        <f>Table5[[#This Row],[standard product cost per unit]]*Table5[[#This Row],[Units Sold]]</f>
        <v>62944</v>
      </c>
      <c r="T840" s="15">
        <f>Table5[[#This Row],[Cost of Sales]]-Table5[[#This Row],[Standard cost]]</f>
        <v>5035.5200000000041</v>
      </c>
      <c r="U840" s="15">
        <f>Table5[[#This Row],[Net Sales Revenue]]-Table5[[#This Row],[Cost of Sales]]</f>
        <v>29808.479999999996</v>
      </c>
      <c r="V840" s="17">
        <f>Table5[[#This Row],[GrossProfit]]/Table5[[#This Row],[Net Sales Revenue]]</f>
        <v>0.30482758620689648</v>
      </c>
    </row>
    <row r="841" spans="1:22" ht="14.25" customHeight="1" x14ac:dyDescent="0.25">
      <c r="A841" s="1" t="s">
        <v>925</v>
      </c>
      <c r="B841" s="1" t="s">
        <v>896</v>
      </c>
      <c r="C841" s="1" t="s">
        <v>52</v>
      </c>
      <c r="D841" s="1" t="s">
        <v>13</v>
      </c>
      <c r="E841" s="1" t="s">
        <v>15</v>
      </c>
      <c r="F841" s="1">
        <v>2305</v>
      </c>
      <c r="G841" s="14">
        <v>28</v>
      </c>
      <c r="H841" s="1">
        <v>0.15</v>
      </c>
      <c r="I841" s="14">
        <v>54859</v>
      </c>
      <c r="J841" s="14">
        <v>37341</v>
      </c>
      <c r="K841" s="15">
        <f>Table5[[#This Row],[Selling Price]]*Table5[[#This Row],[Units Sold]]</f>
        <v>64540</v>
      </c>
      <c r="L841" t="str">
        <f t="shared" si="13"/>
        <v>2024-07</v>
      </c>
      <c r="M841" t="str">
        <f>VLOOKUP(Table5[[#This Row],[Store ID]],Table4[[Store ID]:[Store Location]],2)</f>
        <v>Glasgow</v>
      </c>
      <c r="N841" t="str">
        <f>VLOOKUP(Table5[[#This Row],[Store ID]],Table4[[Store ID]:[Region]],3)</f>
        <v>Scotland</v>
      </c>
      <c r="O841" t="str">
        <f>VLOOKUP(Table5[[#This Row],[Product ID]],'Product Master'!$A$2:$D$10,4)</f>
        <v>Supplier C</v>
      </c>
      <c r="P841" s="15">
        <f>Table5[[#This Row],[Total Revenue]]-Table5[[#This Row],[Net Sales Revenue]]</f>
        <v>9681</v>
      </c>
      <c r="Q841" s="15">
        <f>Table5[[#This Row],[Net Sales Revenue]]/Table5[[#This Row],[Units Sold]]</f>
        <v>23.8</v>
      </c>
      <c r="R841">
        <f>VLOOKUP(Table5[[#This Row],[Product ID]],'Product Master'!$A$1:$E$10,5,FALSE)</f>
        <v>15</v>
      </c>
      <c r="S841" s="15">
        <f>Table5[[#This Row],[standard product cost per unit]]*Table5[[#This Row],[Units Sold]]</f>
        <v>34575</v>
      </c>
      <c r="T841" s="15">
        <f>Table5[[#This Row],[Cost of Sales]]-Table5[[#This Row],[Standard cost]]</f>
        <v>2766</v>
      </c>
      <c r="U841" s="15">
        <f>Table5[[#This Row],[Net Sales Revenue]]-Table5[[#This Row],[Cost of Sales]]</f>
        <v>17518</v>
      </c>
      <c r="V841" s="17">
        <f>Table5[[#This Row],[GrossProfit]]/Table5[[#This Row],[Net Sales Revenue]]</f>
        <v>0.31932773109243695</v>
      </c>
    </row>
    <row r="842" spans="1:22" ht="14.25" customHeight="1" x14ac:dyDescent="0.25">
      <c r="A842" s="1" t="s">
        <v>926</v>
      </c>
      <c r="B842" s="1" t="s">
        <v>896</v>
      </c>
      <c r="C842" s="1" t="s">
        <v>52</v>
      </c>
      <c r="D842" s="1" t="s">
        <v>17</v>
      </c>
      <c r="E842" s="1" t="s">
        <v>15</v>
      </c>
      <c r="F842" s="1">
        <v>2138</v>
      </c>
      <c r="G842" s="14">
        <v>35</v>
      </c>
      <c r="H842" s="1">
        <v>0.16</v>
      </c>
      <c r="I842" s="14">
        <v>62857.2</v>
      </c>
      <c r="J842" s="14">
        <v>41562.720000000001</v>
      </c>
      <c r="K842" s="15">
        <f>Table5[[#This Row],[Selling Price]]*Table5[[#This Row],[Units Sold]]</f>
        <v>74830</v>
      </c>
      <c r="L842" t="str">
        <f t="shared" si="13"/>
        <v>2024-07</v>
      </c>
      <c r="M842" t="str">
        <f>VLOOKUP(Table5[[#This Row],[Store ID]],Table4[[Store ID]:[Store Location]],2)</f>
        <v>Glasgow</v>
      </c>
      <c r="N842" t="str">
        <f>VLOOKUP(Table5[[#This Row],[Store ID]],Table4[[Store ID]:[Region]],3)</f>
        <v>Scotland</v>
      </c>
      <c r="O842" t="str">
        <f>VLOOKUP(Table5[[#This Row],[Product ID]],'Product Master'!$A$2:$D$10,4)</f>
        <v>Supplier C</v>
      </c>
      <c r="P842" s="15">
        <f>Table5[[#This Row],[Total Revenue]]-Table5[[#This Row],[Net Sales Revenue]]</f>
        <v>11972.800000000003</v>
      </c>
      <c r="Q842" s="15">
        <f>Table5[[#This Row],[Net Sales Revenue]]/Table5[[#This Row],[Units Sold]]</f>
        <v>29.4</v>
      </c>
      <c r="R842">
        <f>VLOOKUP(Table5[[#This Row],[Product ID]],'Product Master'!$A$1:$E$10,5,FALSE)</f>
        <v>18</v>
      </c>
      <c r="S842" s="15">
        <f>Table5[[#This Row],[standard product cost per unit]]*Table5[[#This Row],[Units Sold]]</f>
        <v>38484</v>
      </c>
      <c r="T842" s="15">
        <f>Table5[[#This Row],[Cost of Sales]]-Table5[[#This Row],[Standard cost]]</f>
        <v>3078.7200000000012</v>
      </c>
      <c r="U842" s="15">
        <f>Table5[[#This Row],[Net Sales Revenue]]-Table5[[#This Row],[Cost of Sales]]</f>
        <v>21294.479999999996</v>
      </c>
      <c r="V842" s="17">
        <f>Table5[[#This Row],[GrossProfit]]/Table5[[#This Row],[Net Sales Revenue]]</f>
        <v>0.33877551020408159</v>
      </c>
    </row>
    <row r="843" spans="1:22" ht="14.25" customHeight="1" x14ac:dyDescent="0.25">
      <c r="A843" s="1" t="s">
        <v>927</v>
      </c>
      <c r="B843" s="1" t="s">
        <v>896</v>
      </c>
      <c r="C843" s="1" t="s">
        <v>52</v>
      </c>
      <c r="D843" s="1" t="s">
        <v>19</v>
      </c>
      <c r="E843" s="1" t="s">
        <v>21</v>
      </c>
      <c r="F843" s="1">
        <v>2173</v>
      </c>
      <c r="G843" s="14">
        <v>18</v>
      </c>
      <c r="H843" s="1">
        <v>0.12</v>
      </c>
      <c r="I843" s="14">
        <v>34420.32</v>
      </c>
      <c r="J843" s="14">
        <v>21121.56</v>
      </c>
      <c r="K843" s="15">
        <f>Table5[[#This Row],[Selling Price]]*Table5[[#This Row],[Units Sold]]</f>
        <v>39114</v>
      </c>
      <c r="L843" t="str">
        <f t="shared" si="13"/>
        <v>2024-07</v>
      </c>
      <c r="M843" t="str">
        <f>VLOOKUP(Table5[[#This Row],[Store ID]],Table4[[Store ID]:[Store Location]],2)</f>
        <v>Glasgow</v>
      </c>
      <c r="N843" t="str">
        <f>VLOOKUP(Table5[[#This Row],[Store ID]],Table4[[Store ID]:[Region]],3)</f>
        <v>Scotland</v>
      </c>
      <c r="O843" t="str">
        <f>VLOOKUP(Table5[[#This Row],[Product ID]],'Product Master'!$A$2:$D$10,4)</f>
        <v>Supplier D</v>
      </c>
      <c r="P843" s="15">
        <f>Table5[[#This Row],[Total Revenue]]-Table5[[#This Row],[Net Sales Revenue]]</f>
        <v>4693.68</v>
      </c>
      <c r="Q843" s="15">
        <f>Table5[[#This Row],[Net Sales Revenue]]/Table5[[#This Row],[Units Sold]]</f>
        <v>15.84</v>
      </c>
      <c r="R843">
        <f>VLOOKUP(Table5[[#This Row],[Product ID]],'Product Master'!$A$1:$E$10,5,FALSE)</f>
        <v>9</v>
      </c>
      <c r="S843" s="15">
        <f>Table5[[#This Row],[standard product cost per unit]]*Table5[[#This Row],[Units Sold]]</f>
        <v>19557</v>
      </c>
      <c r="T843" s="15">
        <f>Table5[[#This Row],[Cost of Sales]]-Table5[[#This Row],[Standard cost]]</f>
        <v>1564.5600000000013</v>
      </c>
      <c r="U843" s="15">
        <f>Table5[[#This Row],[Net Sales Revenue]]-Table5[[#This Row],[Cost of Sales]]</f>
        <v>13298.759999999998</v>
      </c>
      <c r="V843" s="17">
        <f>Table5[[#This Row],[GrossProfit]]/Table5[[#This Row],[Net Sales Revenue]]</f>
        <v>0.3863636363636363</v>
      </c>
    </row>
    <row r="844" spans="1:22" ht="14.25" customHeight="1" x14ac:dyDescent="0.25">
      <c r="A844" s="1" t="s">
        <v>928</v>
      </c>
      <c r="B844" s="1" t="s">
        <v>896</v>
      </c>
      <c r="C844" s="1" t="s">
        <v>52</v>
      </c>
      <c r="D844" s="1" t="s">
        <v>23</v>
      </c>
      <c r="E844" s="1" t="s">
        <v>21</v>
      </c>
      <c r="F844" s="1">
        <v>1843</v>
      </c>
      <c r="G844" s="14">
        <v>30</v>
      </c>
      <c r="H844" s="1">
        <v>0.13</v>
      </c>
      <c r="I844" s="14">
        <v>48102.3</v>
      </c>
      <c r="J844" s="14">
        <v>27866.16</v>
      </c>
      <c r="K844" s="15">
        <f>Table5[[#This Row],[Selling Price]]*Table5[[#This Row],[Units Sold]]</f>
        <v>55290</v>
      </c>
      <c r="L844" t="str">
        <f t="shared" si="13"/>
        <v>2024-07</v>
      </c>
      <c r="M844" t="str">
        <f>VLOOKUP(Table5[[#This Row],[Store ID]],Table4[[Store ID]:[Store Location]],2)</f>
        <v>Glasgow</v>
      </c>
      <c r="N844" t="str">
        <f>VLOOKUP(Table5[[#This Row],[Store ID]],Table4[[Store ID]:[Region]],3)</f>
        <v>Scotland</v>
      </c>
      <c r="O844" t="str">
        <f>VLOOKUP(Table5[[#This Row],[Product ID]],'Product Master'!$A$2:$D$10,4)</f>
        <v>Supplier D</v>
      </c>
      <c r="P844" s="15">
        <f>Table5[[#This Row],[Total Revenue]]-Table5[[#This Row],[Net Sales Revenue]]</f>
        <v>7187.6999999999971</v>
      </c>
      <c r="Q844" s="15">
        <f>Table5[[#This Row],[Net Sales Revenue]]/Table5[[#This Row],[Units Sold]]</f>
        <v>26.1</v>
      </c>
      <c r="R844">
        <f>VLOOKUP(Table5[[#This Row],[Product ID]],'Product Master'!$A$1:$E$10,5,FALSE)</f>
        <v>14</v>
      </c>
      <c r="S844" s="15">
        <f>Table5[[#This Row],[standard product cost per unit]]*Table5[[#This Row],[Units Sold]]</f>
        <v>25802</v>
      </c>
      <c r="T844" s="15">
        <f>Table5[[#This Row],[Cost of Sales]]-Table5[[#This Row],[Standard cost]]</f>
        <v>2064.16</v>
      </c>
      <c r="U844" s="15">
        <f>Table5[[#This Row],[Net Sales Revenue]]-Table5[[#This Row],[Cost of Sales]]</f>
        <v>20236.140000000003</v>
      </c>
      <c r="V844" s="17">
        <f>Table5[[#This Row],[GrossProfit]]/Table5[[#This Row],[Net Sales Revenue]]</f>
        <v>0.42068965517241386</v>
      </c>
    </row>
    <row r="845" spans="1:22" ht="14.25" customHeight="1" x14ac:dyDescent="0.25">
      <c r="A845" s="1" t="s">
        <v>929</v>
      </c>
      <c r="B845" s="1" t="s">
        <v>896</v>
      </c>
      <c r="C845" s="1" t="s">
        <v>52</v>
      </c>
      <c r="D845" s="1" t="s">
        <v>25</v>
      </c>
      <c r="E845" s="1" t="s">
        <v>27</v>
      </c>
      <c r="F845" s="1">
        <v>1795</v>
      </c>
      <c r="G845" s="14">
        <v>40</v>
      </c>
      <c r="H845" s="1">
        <v>0.14000000000000001</v>
      </c>
      <c r="I845" s="14">
        <v>61748</v>
      </c>
      <c r="J845" s="14">
        <v>38772</v>
      </c>
      <c r="K845" s="15">
        <f>Table5[[#This Row],[Selling Price]]*Table5[[#This Row],[Units Sold]]</f>
        <v>71800</v>
      </c>
      <c r="L845" t="str">
        <f t="shared" si="13"/>
        <v>2024-07</v>
      </c>
      <c r="M845" t="str">
        <f>VLOOKUP(Table5[[#This Row],[Store ID]],Table4[[Store ID]:[Store Location]],2)</f>
        <v>Glasgow</v>
      </c>
      <c r="N845" t="str">
        <f>VLOOKUP(Table5[[#This Row],[Store ID]],Table4[[Store ID]:[Region]],3)</f>
        <v>Scotland</v>
      </c>
      <c r="O845" t="str">
        <f>VLOOKUP(Table5[[#This Row],[Product ID]],'Product Master'!$A$2:$D$10,4)</f>
        <v>Supplier E</v>
      </c>
      <c r="P845" s="15">
        <f>Table5[[#This Row],[Total Revenue]]-Table5[[#This Row],[Net Sales Revenue]]</f>
        <v>10052</v>
      </c>
      <c r="Q845" s="15">
        <f>Table5[[#This Row],[Net Sales Revenue]]/Table5[[#This Row],[Units Sold]]</f>
        <v>34.4</v>
      </c>
      <c r="R845">
        <f>VLOOKUP(Table5[[#This Row],[Product ID]],'Product Master'!$A$1:$E$10,5,FALSE)</f>
        <v>20</v>
      </c>
      <c r="S845" s="15">
        <f>Table5[[#This Row],[standard product cost per unit]]*Table5[[#This Row],[Units Sold]]</f>
        <v>35900</v>
      </c>
      <c r="T845" s="15">
        <f>Table5[[#This Row],[Cost of Sales]]-Table5[[#This Row],[Standard cost]]</f>
        <v>2872</v>
      </c>
      <c r="U845" s="15">
        <f>Table5[[#This Row],[Net Sales Revenue]]-Table5[[#This Row],[Cost of Sales]]</f>
        <v>22976</v>
      </c>
      <c r="V845" s="17">
        <f>Table5[[#This Row],[GrossProfit]]/Table5[[#This Row],[Net Sales Revenue]]</f>
        <v>0.37209302325581395</v>
      </c>
    </row>
    <row r="846" spans="1:22" ht="14.25" customHeight="1" x14ac:dyDescent="0.25">
      <c r="A846" s="1" t="s">
        <v>930</v>
      </c>
      <c r="B846" s="1" t="s">
        <v>896</v>
      </c>
      <c r="C846" s="1" t="s">
        <v>52</v>
      </c>
      <c r="D846" s="1" t="s">
        <v>29</v>
      </c>
      <c r="E846" s="1" t="s">
        <v>31</v>
      </c>
      <c r="F846" s="1">
        <v>2477</v>
      </c>
      <c r="G846" s="14">
        <v>10</v>
      </c>
      <c r="H846" s="1">
        <v>0.15</v>
      </c>
      <c r="I846" s="14">
        <v>21054.5</v>
      </c>
      <c r="J846" s="14">
        <v>10700.64</v>
      </c>
      <c r="K846" s="15">
        <f>Table5[[#This Row],[Selling Price]]*Table5[[#This Row],[Units Sold]]</f>
        <v>24770</v>
      </c>
      <c r="L846" t="str">
        <f t="shared" si="13"/>
        <v>2024-07</v>
      </c>
      <c r="M846" t="str">
        <f>VLOOKUP(Table5[[#This Row],[Store ID]],Table4[[Store ID]:[Store Location]],2)</f>
        <v>Glasgow</v>
      </c>
      <c r="N846" t="str">
        <f>VLOOKUP(Table5[[#This Row],[Store ID]],Table4[[Store ID]:[Region]],3)</f>
        <v>Scotland</v>
      </c>
      <c r="O846" t="str">
        <f>VLOOKUP(Table5[[#This Row],[Product ID]],'Product Master'!$A$2:$D$10,4)</f>
        <v>Supplier F</v>
      </c>
      <c r="P846" s="15">
        <f>Table5[[#This Row],[Total Revenue]]-Table5[[#This Row],[Net Sales Revenue]]</f>
        <v>3715.5</v>
      </c>
      <c r="Q846" s="15">
        <f>Table5[[#This Row],[Net Sales Revenue]]/Table5[[#This Row],[Units Sold]]</f>
        <v>8.5</v>
      </c>
      <c r="R846">
        <f>VLOOKUP(Table5[[#This Row],[Product ID]],'Product Master'!$A$1:$E$10,5,FALSE)</f>
        <v>4</v>
      </c>
      <c r="S846" s="15">
        <f>Table5[[#This Row],[standard product cost per unit]]*Table5[[#This Row],[Units Sold]]</f>
        <v>9908</v>
      </c>
      <c r="T846" s="15">
        <f>Table5[[#This Row],[Cost of Sales]]-Table5[[#This Row],[Standard cost]]</f>
        <v>792.63999999999942</v>
      </c>
      <c r="U846" s="15">
        <f>Table5[[#This Row],[Net Sales Revenue]]-Table5[[#This Row],[Cost of Sales]]</f>
        <v>10353.86</v>
      </c>
      <c r="V846" s="17">
        <f>Table5[[#This Row],[GrossProfit]]/Table5[[#This Row],[Net Sales Revenue]]</f>
        <v>0.49176470588235299</v>
      </c>
    </row>
    <row r="847" spans="1:22" ht="14.25" customHeight="1" x14ac:dyDescent="0.25">
      <c r="A847" s="1" t="s">
        <v>931</v>
      </c>
      <c r="B847" s="1" t="s">
        <v>896</v>
      </c>
      <c r="C847" s="1" t="s">
        <v>52</v>
      </c>
      <c r="D847" s="1" t="s">
        <v>33</v>
      </c>
      <c r="E847" s="1" t="s">
        <v>31</v>
      </c>
      <c r="F847" s="1">
        <v>3036</v>
      </c>
      <c r="G847" s="14">
        <v>22</v>
      </c>
      <c r="H847" s="1">
        <v>0.12</v>
      </c>
      <c r="I847" s="14">
        <v>58776.959999999999</v>
      </c>
      <c r="J847" s="14">
        <v>32788.800000000003</v>
      </c>
      <c r="K847" s="15">
        <f>Table5[[#This Row],[Selling Price]]*Table5[[#This Row],[Units Sold]]</f>
        <v>66792</v>
      </c>
      <c r="L847" t="str">
        <f t="shared" si="13"/>
        <v>2024-07</v>
      </c>
      <c r="M847" t="str">
        <f>VLOOKUP(Table5[[#This Row],[Store ID]],Table4[[Store ID]:[Store Location]],2)</f>
        <v>Glasgow</v>
      </c>
      <c r="N847" t="str">
        <f>VLOOKUP(Table5[[#This Row],[Store ID]],Table4[[Store ID]:[Region]],3)</f>
        <v>Scotland</v>
      </c>
      <c r="O847" t="str">
        <f>VLOOKUP(Table5[[#This Row],[Product ID]],'Product Master'!$A$2:$D$10,4)</f>
        <v>Supplier F</v>
      </c>
      <c r="P847" s="15">
        <f>Table5[[#This Row],[Total Revenue]]-Table5[[#This Row],[Net Sales Revenue]]</f>
        <v>8015.0400000000009</v>
      </c>
      <c r="Q847" s="15">
        <f>Table5[[#This Row],[Net Sales Revenue]]/Table5[[#This Row],[Units Sold]]</f>
        <v>19.36</v>
      </c>
      <c r="R847">
        <f>VLOOKUP(Table5[[#This Row],[Product ID]],'Product Master'!$A$1:$E$10,5,FALSE)</f>
        <v>10</v>
      </c>
      <c r="S847" s="15">
        <f>Table5[[#This Row],[standard product cost per unit]]*Table5[[#This Row],[Units Sold]]</f>
        <v>30360</v>
      </c>
      <c r="T847" s="15">
        <f>Table5[[#This Row],[Cost of Sales]]-Table5[[#This Row],[Standard cost]]</f>
        <v>2428.8000000000029</v>
      </c>
      <c r="U847" s="15">
        <f>Table5[[#This Row],[Net Sales Revenue]]-Table5[[#This Row],[Cost of Sales]]</f>
        <v>25988.159999999996</v>
      </c>
      <c r="V847" s="17">
        <f>Table5[[#This Row],[GrossProfit]]/Table5[[#This Row],[Net Sales Revenue]]</f>
        <v>0.44214876033057843</v>
      </c>
    </row>
    <row r="848" spans="1:22" ht="14.25" customHeight="1" x14ac:dyDescent="0.25">
      <c r="A848" s="1" t="s">
        <v>932</v>
      </c>
      <c r="B848" s="1" t="s">
        <v>896</v>
      </c>
      <c r="C848" s="1" t="s">
        <v>56</v>
      </c>
      <c r="D848" s="1" t="s">
        <v>6</v>
      </c>
      <c r="E848" s="1" t="s">
        <v>8</v>
      </c>
      <c r="F848" s="1">
        <v>1790</v>
      </c>
      <c r="G848" s="14">
        <v>24</v>
      </c>
      <c r="H848" s="1">
        <v>0.14000000000000001</v>
      </c>
      <c r="I848" s="14">
        <v>36945.599999999999</v>
      </c>
      <c r="J848" s="14">
        <v>23198.400000000001</v>
      </c>
      <c r="K848" s="15">
        <f>Table5[[#This Row],[Selling Price]]*Table5[[#This Row],[Units Sold]]</f>
        <v>42960</v>
      </c>
      <c r="L848" t="str">
        <f t="shared" si="13"/>
        <v>2024-07</v>
      </c>
      <c r="M848" t="str">
        <f>VLOOKUP(Table5[[#This Row],[Store ID]],Table4[[Store ID]:[Store Location]],2)</f>
        <v>Leeds</v>
      </c>
      <c r="N848" t="str">
        <f>VLOOKUP(Table5[[#This Row],[Store ID]],Table4[[Store ID]:[Region]],3)</f>
        <v>North</v>
      </c>
      <c r="O848" t="str">
        <f>VLOOKUP(Table5[[#This Row],[Product ID]],'Product Master'!$A$2:$D$10,4)</f>
        <v>Supplier A</v>
      </c>
      <c r="P848" s="15">
        <f>Table5[[#This Row],[Total Revenue]]-Table5[[#This Row],[Net Sales Revenue]]</f>
        <v>6014.4000000000015</v>
      </c>
      <c r="Q848" s="15">
        <f>Table5[[#This Row],[Net Sales Revenue]]/Table5[[#This Row],[Units Sold]]</f>
        <v>20.64</v>
      </c>
      <c r="R848">
        <f>VLOOKUP(Table5[[#This Row],[Product ID]],'Product Master'!$A$1:$E$10,5,FALSE)</f>
        <v>12</v>
      </c>
      <c r="S848" s="15">
        <f>Table5[[#This Row],[standard product cost per unit]]*Table5[[#This Row],[Units Sold]]</f>
        <v>21480</v>
      </c>
      <c r="T848" s="15">
        <f>Table5[[#This Row],[Cost of Sales]]-Table5[[#This Row],[Standard cost]]</f>
        <v>1718.4000000000015</v>
      </c>
      <c r="U848" s="15">
        <f>Table5[[#This Row],[Net Sales Revenue]]-Table5[[#This Row],[Cost of Sales]]</f>
        <v>13747.199999999997</v>
      </c>
      <c r="V848" s="17">
        <f>Table5[[#This Row],[GrossProfit]]/Table5[[#This Row],[Net Sales Revenue]]</f>
        <v>0.37209302325581389</v>
      </c>
    </row>
    <row r="849" spans="1:22" ht="14.25" customHeight="1" x14ac:dyDescent="0.25">
      <c r="A849" s="1" t="s">
        <v>933</v>
      </c>
      <c r="B849" s="1" t="s">
        <v>896</v>
      </c>
      <c r="C849" s="1" t="s">
        <v>56</v>
      </c>
      <c r="D849" s="1" t="s">
        <v>10</v>
      </c>
      <c r="E849" s="1" t="s">
        <v>8</v>
      </c>
      <c r="F849" s="1">
        <v>1412</v>
      </c>
      <c r="G849" s="14">
        <v>50</v>
      </c>
      <c r="H849" s="1">
        <v>0.16</v>
      </c>
      <c r="I849" s="14">
        <v>59304</v>
      </c>
      <c r="J849" s="14">
        <v>42698.879999999997</v>
      </c>
      <c r="K849" s="15">
        <f>Table5[[#This Row],[Selling Price]]*Table5[[#This Row],[Units Sold]]</f>
        <v>70600</v>
      </c>
      <c r="L849" t="str">
        <f t="shared" si="13"/>
        <v>2024-07</v>
      </c>
      <c r="M849" t="str">
        <f>VLOOKUP(Table5[[#This Row],[Store ID]],Table4[[Store ID]:[Store Location]],2)</f>
        <v>Leeds</v>
      </c>
      <c r="N849" t="str">
        <f>VLOOKUP(Table5[[#This Row],[Store ID]],Table4[[Store ID]:[Region]],3)</f>
        <v>North</v>
      </c>
      <c r="O849" t="str">
        <f>VLOOKUP(Table5[[#This Row],[Product ID]],'Product Master'!$A$2:$D$10,4)</f>
        <v>Supplier B</v>
      </c>
      <c r="P849" s="15">
        <f>Table5[[#This Row],[Total Revenue]]-Table5[[#This Row],[Net Sales Revenue]]</f>
        <v>11296</v>
      </c>
      <c r="Q849" s="15">
        <f>Table5[[#This Row],[Net Sales Revenue]]/Table5[[#This Row],[Units Sold]]</f>
        <v>42</v>
      </c>
      <c r="R849">
        <f>VLOOKUP(Table5[[#This Row],[Product ID]],'Product Master'!$A$1:$E$10,5,FALSE)</f>
        <v>28</v>
      </c>
      <c r="S849" s="15">
        <f>Table5[[#This Row],[standard product cost per unit]]*Table5[[#This Row],[Units Sold]]</f>
        <v>39536</v>
      </c>
      <c r="T849" s="15">
        <f>Table5[[#This Row],[Cost of Sales]]-Table5[[#This Row],[Standard cost]]</f>
        <v>3162.8799999999974</v>
      </c>
      <c r="U849" s="15">
        <f>Table5[[#This Row],[Net Sales Revenue]]-Table5[[#This Row],[Cost of Sales]]</f>
        <v>16605.120000000003</v>
      </c>
      <c r="V849" s="17">
        <f>Table5[[#This Row],[GrossProfit]]/Table5[[#This Row],[Net Sales Revenue]]</f>
        <v>0.28000000000000003</v>
      </c>
    </row>
    <row r="850" spans="1:22" ht="14.25" customHeight="1" x14ac:dyDescent="0.25">
      <c r="A850" s="1" t="s">
        <v>934</v>
      </c>
      <c r="B850" s="1" t="s">
        <v>896</v>
      </c>
      <c r="C850" s="1" t="s">
        <v>56</v>
      </c>
      <c r="D850" s="1" t="s">
        <v>13</v>
      </c>
      <c r="E850" s="1" t="s">
        <v>15</v>
      </c>
      <c r="F850" s="1">
        <v>2063</v>
      </c>
      <c r="G850" s="14">
        <v>28</v>
      </c>
      <c r="H850" s="1">
        <v>0.14000000000000001</v>
      </c>
      <c r="I850" s="14">
        <v>49677.04</v>
      </c>
      <c r="J850" s="14">
        <v>33420.6</v>
      </c>
      <c r="K850" s="15">
        <f>Table5[[#This Row],[Selling Price]]*Table5[[#This Row],[Units Sold]]</f>
        <v>57764</v>
      </c>
      <c r="L850" t="str">
        <f t="shared" si="13"/>
        <v>2024-07</v>
      </c>
      <c r="M850" t="str">
        <f>VLOOKUP(Table5[[#This Row],[Store ID]],Table4[[Store ID]:[Store Location]],2)</f>
        <v>Leeds</v>
      </c>
      <c r="N850" t="str">
        <f>VLOOKUP(Table5[[#This Row],[Store ID]],Table4[[Store ID]:[Region]],3)</f>
        <v>North</v>
      </c>
      <c r="O850" t="str">
        <f>VLOOKUP(Table5[[#This Row],[Product ID]],'Product Master'!$A$2:$D$10,4)</f>
        <v>Supplier C</v>
      </c>
      <c r="P850" s="15">
        <f>Table5[[#This Row],[Total Revenue]]-Table5[[#This Row],[Net Sales Revenue]]</f>
        <v>8086.9599999999991</v>
      </c>
      <c r="Q850" s="15">
        <f>Table5[[#This Row],[Net Sales Revenue]]/Table5[[#This Row],[Units Sold]]</f>
        <v>24.080000000000002</v>
      </c>
      <c r="R850">
        <f>VLOOKUP(Table5[[#This Row],[Product ID]],'Product Master'!$A$1:$E$10,5,FALSE)</f>
        <v>15</v>
      </c>
      <c r="S850" s="15">
        <f>Table5[[#This Row],[standard product cost per unit]]*Table5[[#This Row],[Units Sold]]</f>
        <v>30945</v>
      </c>
      <c r="T850" s="15">
        <f>Table5[[#This Row],[Cost of Sales]]-Table5[[#This Row],[Standard cost]]</f>
        <v>2475.5999999999985</v>
      </c>
      <c r="U850" s="15">
        <f>Table5[[#This Row],[Net Sales Revenue]]-Table5[[#This Row],[Cost of Sales]]</f>
        <v>16256.440000000002</v>
      </c>
      <c r="V850" s="17">
        <f>Table5[[#This Row],[GrossProfit]]/Table5[[#This Row],[Net Sales Revenue]]</f>
        <v>0.32724252491694356</v>
      </c>
    </row>
    <row r="851" spans="1:22" ht="14.25" customHeight="1" x14ac:dyDescent="0.25">
      <c r="A851" s="1" t="s">
        <v>935</v>
      </c>
      <c r="B851" s="1" t="s">
        <v>896</v>
      </c>
      <c r="C851" s="1" t="s">
        <v>56</v>
      </c>
      <c r="D851" s="1" t="s">
        <v>17</v>
      </c>
      <c r="E851" s="1" t="s">
        <v>15</v>
      </c>
      <c r="F851" s="1">
        <v>2186</v>
      </c>
      <c r="G851" s="14">
        <v>35</v>
      </c>
      <c r="H851" s="1">
        <v>0.17</v>
      </c>
      <c r="I851" s="14">
        <v>63503.3</v>
      </c>
      <c r="J851" s="14">
        <v>42495.839999999997</v>
      </c>
      <c r="K851" s="15">
        <f>Table5[[#This Row],[Selling Price]]*Table5[[#This Row],[Units Sold]]</f>
        <v>76510</v>
      </c>
      <c r="L851" t="str">
        <f t="shared" si="13"/>
        <v>2024-07</v>
      </c>
      <c r="M851" t="str">
        <f>VLOOKUP(Table5[[#This Row],[Store ID]],Table4[[Store ID]:[Store Location]],2)</f>
        <v>Leeds</v>
      </c>
      <c r="N851" t="str">
        <f>VLOOKUP(Table5[[#This Row],[Store ID]],Table4[[Store ID]:[Region]],3)</f>
        <v>North</v>
      </c>
      <c r="O851" t="str">
        <f>VLOOKUP(Table5[[#This Row],[Product ID]],'Product Master'!$A$2:$D$10,4)</f>
        <v>Supplier C</v>
      </c>
      <c r="P851" s="15">
        <f>Table5[[#This Row],[Total Revenue]]-Table5[[#This Row],[Net Sales Revenue]]</f>
        <v>13006.699999999997</v>
      </c>
      <c r="Q851" s="15">
        <f>Table5[[#This Row],[Net Sales Revenue]]/Table5[[#This Row],[Units Sold]]</f>
        <v>29.05</v>
      </c>
      <c r="R851">
        <f>VLOOKUP(Table5[[#This Row],[Product ID]],'Product Master'!$A$1:$E$10,5,FALSE)</f>
        <v>18</v>
      </c>
      <c r="S851" s="15">
        <f>Table5[[#This Row],[standard product cost per unit]]*Table5[[#This Row],[Units Sold]]</f>
        <v>39348</v>
      </c>
      <c r="T851" s="15">
        <f>Table5[[#This Row],[Cost of Sales]]-Table5[[#This Row],[Standard cost]]</f>
        <v>3147.8399999999965</v>
      </c>
      <c r="U851" s="15">
        <f>Table5[[#This Row],[Net Sales Revenue]]-Table5[[#This Row],[Cost of Sales]]</f>
        <v>21007.460000000006</v>
      </c>
      <c r="V851" s="17">
        <f>Table5[[#This Row],[GrossProfit]]/Table5[[#This Row],[Net Sales Revenue]]</f>
        <v>0.3308089500860586</v>
      </c>
    </row>
    <row r="852" spans="1:22" ht="14.25" customHeight="1" x14ac:dyDescent="0.25">
      <c r="A852" s="1" t="s">
        <v>936</v>
      </c>
      <c r="B852" s="1" t="s">
        <v>896</v>
      </c>
      <c r="C852" s="1" t="s">
        <v>56</v>
      </c>
      <c r="D852" s="1" t="s">
        <v>19</v>
      </c>
      <c r="E852" s="1" t="s">
        <v>21</v>
      </c>
      <c r="F852" s="1">
        <v>1469</v>
      </c>
      <c r="G852" s="14">
        <v>18</v>
      </c>
      <c r="H852" s="1">
        <v>0.14000000000000001</v>
      </c>
      <c r="I852" s="14">
        <v>22740.12</v>
      </c>
      <c r="J852" s="14">
        <v>14278.68</v>
      </c>
      <c r="K852" s="15">
        <f>Table5[[#This Row],[Selling Price]]*Table5[[#This Row],[Units Sold]]</f>
        <v>26442</v>
      </c>
      <c r="L852" t="str">
        <f t="shared" si="13"/>
        <v>2024-07</v>
      </c>
      <c r="M852" t="str">
        <f>VLOOKUP(Table5[[#This Row],[Store ID]],Table4[[Store ID]:[Store Location]],2)</f>
        <v>Leeds</v>
      </c>
      <c r="N852" t="str">
        <f>VLOOKUP(Table5[[#This Row],[Store ID]],Table4[[Store ID]:[Region]],3)</f>
        <v>North</v>
      </c>
      <c r="O852" t="str">
        <f>VLOOKUP(Table5[[#This Row],[Product ID]],'Product Master'!$A$2:$D$10,4)</f>
        <v>Supplier D</v>
      </c>
      <c r="P852" s="15">
        <f>Table5[[#This Row],[Total Revenue]]-Table5[[#This Row],[Net Sales Revenue]]</f>
        <v>3701.880000000001</v>
      </c>
      <c r="Q852" s="15">
        <f>Table5[[#This Row],[Net Sales Revenue]]/Table5[[#This Row],[Units Sold]]</f>
        <v>15.479999999999999</v>
      </c>
      <c r="R852">
        <f>VLOOKUP(Table5[[#This Row],[Product ID]],'Product Master'!$A$1:$E$10,5,FALSE)</f>
        <v>9</v>
      </c>
      <c r="S852" s="15">
        <f>Table5[[#This Row],[standard product cost per unit]]*Table5[[#This Row],[Units Sold]]</f>
        <v>13221</v>
      </c>
      <c r="T852" s="15">
        <f>Table5[[#This Row],[Cost of Sales]]-Table5[[#This Row],[Standard cost]]</f>
        <v>1057.6800000000003</v>
      </c>
      <c r="U852" s="15">
        <f>Table5[[#This Row],[Net Sales Revenue]]-Table5[[#This Row],[Cost of Sales]]</f>
        <v>8461.4399999999987</v>
      </c>
      <c r="V852" s="17">
        <f>Table5[[#This Row],[GrossProfit]]/Table5[[#This Row],[Net Sales Revenue]]</f>
        <v>0.37209302325581389</v>
      </c>
    </row>
    <row r="853" spans="1:22" ht="14.25" customHeight="1" x14ac:dyDescent="0.25">
      <c r="A853" s="1" t="s">
        <v>937</v>
      </c>
      <c r="B853" s="1" t="s">
        <v>896</v>
      </c>
      <c r="C853" s="1" t="s">
        <v>56</v>
      </c>
      <c r="D853" s="1" t="s">
        <v>23</v>
      </c>
      <c r="E853" s="1" t="s">
        <v>21</v>
      </c>
      <c r="F853" s="1">
        <v>2574</v>
      </c>
      <c r="G853" s="14">
        <v>30</v>
      </c>
      <c r="H853" s="1">
        <v>0.12</v>
      </c>
      <c r="I853" s="14">
        <v>67953.600000000006</v>
      </c>
      <c r="J853" s="14">
        <v>38918.879999999997</v>
      </c>
      <c r="K853" s="15">
        <f>Table5[[#This Row],[Selling Price]]*Table5[[#This Row],[Units Sold]]</f>
        <v>77220</v>
      </c>
      <c r="L853" t="str">
        <f t="shared" si="13"/>
        <v>2024-07</v>
      </c>
      <c r="M853" t="str">
        <f>VLOOKUP(Table5[[#This Row],[Store ID]],Table4[[Store ID]:[Store Location]],2)</f>
        <v>Leeds</v>
      </c>
      <c r="N853" t="str">
        <f>VLOOKUP(Table5[[#This Row],[Store ID]],Table4[[Store ID]:[Region]],3)</f>
        <v>North</v>
      </c>
      <c r="O853" t="str">
        <f>VLOOKUP(Table5[[#This Row],[Product ID]],'Product Master'!$A$2:$D$10,4)</f>
        <v>Supplier D</v>
      </c>
      <c r="P853" s="15">
        <f>Table5[[#This Row],[Total Revenue]]-Table5[[#This Row],[Net Sales Revenue]]</f>
        <v>9266.3999999999942</v>
      </c>
      <c r="Q853" s="15">
        <f>Table5[[#This Row],[Net Sales Revenue]]/Table5[[#This Row],[Units Sold]]</f>
        <v>26.400000000000002</v>
      </c>
      <c r="R853">
        <f>VLOOKUP(Table5[[#This Row],[Product ID]],'Product Master'!$A$1:$E$10,5,FALSE)</f>
        <v>14</v>
      </c>
      <c r="S853" s="15">
        <f>Table5[[#This Row],[standard product cost per unit]]*Table5[[#This Row],[Units Sold]]</f>
        <v>36036</v>
      </c>
      <c r="T853" s="15">
        <f>Table5[[#This Row],[Cost of Sales]]-Table5[[#This Row],[Standard cost]]</f>
        <v>2882.8799999999974</v>
      </c>
      <c r="U853" s="15">
        <f>Table5[[#This Row],[Net Sales Revenue]]-Table5[[#This Row],[Cost of Sales]]</f>
        <v>29034.720000000008</v>
      </c>
      <c r="V853" s="17">
        <f>Table5[[#This Row],[GrossProfit]]/Table5[[#This Row],[Net Sales Revenue]]</f>
        <v>0.42727272727272736</v>
      </c>
    </row>
    <row r="854" spans="1:22" ht="14.25" customHeight="1" x14ac:dyDescent="0.25">
      <c r="A854" s="1" t="s">
        <v>938</v>
      </c>
      <c r="B854" s="1" t="s">
        <v>896</v>
      </c>
      <c r="C854" s="1" t="s">
        <v>56</v>
      </c>
      <c r="D854" s="1" t="s">
        <v>25</v>
      </c>
      <c r="E854" s="1" t="s">
        <v>27</v>
      </c>
      <c r="F854" s="1">
        <v>1416</v>
      </c>
      <c r="G854" s="14">
        <v>40</v>
      </c>
      <c r="H854" s="1">
        <v>0.12</v>
      </c>
      <c r="I854" s="14">
        <v>49843.199999999997</v>
      </c>
      <c r="J854" s="14">
        <v>30585.599999999999</v>
      </c>
      <c r="K854" s="15">
        <f>Table5[[#This Row],[Selling Price]]*Table5[[#This Row],[Units Sold]]</f>
        <v>56640</v>
      </c>
      <c r="L854" t="str">
        <f t="shared" si="13"/>
        <v>2024-07</v>
      </c>
      <c r="M854" t="str">
        <f>VLOOKUP(Table5[[#This Row],[Store ID]],Table4[[Store ID]:[Store Location]],2)</f>
        <v>Leeds</v>
      </c>
      <c r="N854" t="str">
        <f>VLOOKUP(Table5[[#This Row],[Store ID]],Table4[[Store ID]:[Region]],3)</f>
        <v>North</v>
      </c>
      <c r="O854" t="str">
        <f>VLOOKUP(Table5[[#This Row],[Product ID]],'Product Master'!$A$2:$D$10,4)</f>
        <v>Supplier E</v>
      </c>
      <c r="P854" s="15">
        <f>Table5[[#This Row],[Total Revenue]]-Table5[[#This Row],[Net Sales Revenue]]</f>
        <v>6796.8000000000029</v>
      </c>
      <c r="Q854" s="15">
        <f>Table5[[#This Row],[Net Sales Revenue]]/Table5[[#This Row],[Units Sold]]</f>
        <v>35.199999999999996</v>
      </c>
      <c r="R854">
        <f>VLOOKUP(Table5[[#This Row],[Product ID]],'Product Master'!$A$1:$E$10,5,FALSE)</f>
        <v>20</v>
      </c>
      <c r="S854" s="15">
        <f>Table5[[#This Row],[standard product cost per unit]]*Table5[[#This Row],[Units Sold]]</f>
        <v>28320</v>
      </c>
      <c r="T854" s="15">
        <f>Table5[[#This Row],[Cost of Sales]]-Table5[[#This Row],[Standard cost]]</f>
        <v>2265.5999999999985</v>
      </c>
      <c r="U854" s="15">
        <f>Table5[[#This Row],[Net Sales Revenue]]-Table5[[#This Row],[Cost of Sales]]</f>
        <v>19257.599999999999</v>
      </c>
      <c r="V854" s="17">
        <f>Table5[[#This Row],[GrossProfit]]/Table5[[#This Row],[Net Sales Revenue]]</f>
        <v>0.38636363636363635</v>
      </c>
    </row>
    <row r="855" spans="1:22" ht="14.25" customHeight="1" x14ac:dyDescent="0.25">
      <c r="A855" s="1" t="s">
        <v>939</v>
      </c>
      <c r="B855" s="1" t="s">
        <v>896</v>
      </c>
      <c r="C855" s="1" t="s">
        <v>56</v>
      </c>
      <c r="D855" s="1" t="s">
        <v>29</v>
      </c>
      <c r="E855" s="1" t="s">
        <v>31</v>
      </c>
      <c r="F855" s="1">
        <v>1641</v>
      </c>
      <c r="G855" s="14">
        <v>10</v>
      </c>
      <c r="H855" s="1">
        <v>0.13</v>
      </c>
      <c r="I855" s="14">
        <v>14276.7</v>
      </c>
      <c r="J855" s="14">
        <v>7089.12</v>
      </c>
      <c r="K855" s="15">
        <f>Table5[[#This Row],[Selling Price]]*Table5[[#This Row],[Units Sold]]</f>
        <v>16410</v>
      </c>
      <c r="L855" t="str">
        <f t="shared" si="13"/>
        <v>2024-07</v>
      </c>
      <c r="M855" t="str">
        <f>VLOOKUP(Table5[[#This Row],[Store ID]],Table4[[Store ID]:[Store Location]],2)</f>
        <v>Leeds</v>
      </c>
      <c r="N855" t="str">
        <f>VLOOKUP(Table5[[#This Row],[Store ID]],Table4[[Store ID]:[Region]],3)</f>
        <v>North</v>
      </c>
      <c r="O855" t="str">
        <f>VLOOKUP(Table5[[#This Row],[Product ID]],'Product Master'!$A$2:$D$10,4)</f>
        <v>Supplier F</v>
      </c>
      <c r="P855" s="15">
        <f>Table5[[#This Row],[Total Revenue]]-Table5[[#This Row],[Net Sales Revenue]]</f>
        <v>2133.2999999999993</v>
      </c>
      <c r="Q855" s="15">
        <f>Table5[[#This Row],[Net Sales Revenue]]/Table5[[#This Row],[Units Sold]]</f>
        <v>8.7000000000000011</v>
      </c>
      <c r="R855">
        <f>VLOOKUP(Table5[[#This Row],[Product ID]],'Product Master'!$A$1:$E$10,5,FALSE)</f>
        <v>4</v>
      </c>
      <c r="S855" s="15">
        <f>Table5[[#This Row],[standard product cost per unit]]*Table5[[#This Row],[Units Sold]]</f>
        <v>6564</v>
      </c>
      <c r="T855" s="15">
        <f>Table5[[#This Row],[Cost of Sales]]-Table5[[#This Row],[Standard cost]]</f>
        <v>525.11999999999989</v>
      </c>
      <c r="U855" s="15">
        <f>Table5[[#This Row],[Net Sales Revenue]]-Table5[[#This Row],[Cost of Sales]]</f>
        <v>7187.5800000000008</v>
      </c>
      <c r="V855" s="17">
        <f>Table5[[#This Row],[GrossProfit]]/Table5[[#This Row],[Net Sales Revenue]]</f>
        <v>0.50344827586206897</v>
      </c>
    </row>
    <row r="856" spans="1:22" ht="14.25" customHeight="1" x14ac:dyDescent="0.25">
      <c r="A856" s="1" t="s">
        <v>940</v>
      </c>
      <c r="B856" s="1" t="s">
        <v>896</v>
      </c>
      <c r="C856" s="1" t="s">
        <v>56</v>
      </c>
      <c r="D856" s="1" t="s">
        <v>33</v>
      </c>
      <c r="E856" s="1" t="s">
        <v>31</v>
      </c>
      <c r="F856" s="1">
        <v>2389</v>
      </c>
      <c r="G856" s="14">
        <v>22</v>
      </c>
      <c r="H856" s="1">
        <v>0.12</v>
      </c>
      <c r="I856" s="14">
        <v>46251.040000000001</v>
      </c>
      <c r="J856" s="14">
        <v>25801.200000000001</v>
      </c>
      <c r="K856" s="15">
        <f>Table5[[#This Row],[Selling Price]]*Table5[[#This Row],[Units Sold]]</f>
        <v>52558</v>
      </c>
      <c r="L856" t="str">
        <f t="shared" si="13"/>
        <v>2024-07</v>
      </c>
      <c r="M856" t="str">
        <f>VLOOKUP(Table5[[#This Row],[Store ID]],Table4[[Store ID]:[Store Location]],2)</f>
        <v>Leeds</v>
      </c>
      <c r="N856" t="str">
        <f>VLOOKUP(Table5[[#This Row],[Store ID]],Table4[[Store ID]:[Region]],3)</f>
        <v>North</v>
      </c>
      <c r="O856" t="str">
        <f>VLOOKUP(Table5[[#This Row],[Product ID]],'Product Master'!$A$2:$D$10,4)</f>
        <v>Supplier F</v>
      </c>
      <c r="P856" s="15">
        <f>Table5[[#This Row],[Total Revenue]]-Table5[[#This Row],[Net Sales Revenue]]</f>
        <v>6306.9599999999991</v>
      </c>
      <c r="Q856" s="15">
        <f>Table5[[#This Row],[Net Sales Revenue]]/Table5[[#This Row],[Units Sold]]</f>
        <v>19.36</v>
      </c>
      <c r="R856">
        <f>VLOOKUP(Table5[[#This Row],[Product ID]],'Product Master'!$A$1:$E$10,5,FALSE)</f>
        <v>10</v>
      </c>
      <c r="S856" s="15">
        <f>Table5[[#This Row],[standard product cost per unit]]*Table5[[#This Row],[Units Sold]]</f>
        <v>23890</v>
      </c>
      <c r="T856" s="15">
        <f>Table5[[#This Row],[Cost of Sales]]-Table5[[#This Row],[Standard cost]]</f>
        <v>1911.2000000000007</v>
      </c>
      <c r="U856" s="15">
        <f>Table5[[#This Row],[Net Sales Revenue]]-Table5[[#This Row],[Cost of Sales]]</f>
        <v>20449.84</v>
      </c>
      <c r="V856" s="17">
        <f>Table5[[#This Row],[GrossProfit]]/Table5[[#This Row],[Net Sales Revenue]]</f>
        <v>0.44214876033057848</v>
      </c>
    </row>
    <row r="857" spans="1:22" ht="14.25" customHeight="1" x14ac:dyDescent="0.25">
      <c r="A857" s="1" t="s">
        <v>941</v>
      </c>
      <c r="B857" s="1" t="s">
        <v>942</v>
      </c>
      <c r="C857" s="1" t="s">
        <v>40</v>
      </c>
      <c r="D857" s="1" t="s">
        <v>6</v>
      </c>
      <c r="E857" s="1" t="s">
        <v>8</v>
      </c>
      <c r="F857" s="1">
        <v>1975</v>
      </c>
      <c r="G857" s="14">
        <v>24</v>
      </c>
      <c r="H857" s="1">
        <v>0.16</v>
      </c>
      <c r="I857" s="14">
        <v>39816</v>
      </c>
      <c r="J857" s="14">
        <v>25596</v>
      </c>
      <c r="K857" s="15">
        <f>Table5[[#This Row],[Selling Price]]*Table5[[#This Row],[Units Sold]]</f>
        <v>47400</v>
      </c>
      <c r="L857" t="str">
        <f t="shared" si="13"/>
        <v>2024-08</v>
      </c>
      <c r="M857" t="str">
        <f>VLOOKUP(Table5[[#This Row],[Store ID]],Table4[[Store ID]:[Store Location]],2)</f>
        <v>Manchester</v>
      </c>
      <c r="N857" t="str">
        <f>VLOOKUP(Table5[[#This Row],[Store ID]],Table4[[Store ID]:[Region]],3)</f>
        <v>North</v>
      </c>
      <c r="O857" t="str">
        <f>VLOOKUP(Table5[[#This Row],[Product ID]],'Product Master'!$A$2:$D$10,4)</f>
        <v>Supplier A</v>
      </c>
      <c r="P857" s="15">
        <f>Table5[[#This Row],[Total Revenue]]-Table5[[#This Row],[Net Sales Revenue]]</f>
        <v>7584</v>
      </c>
      <c r="Q857" s="15">
        <f>Table5[[#This Row],[Net Sales Revenue]]/Table5[[#This Row],[Units Sold]]</f>
        <v>20.16</v>
      </c>
      <c r="R857">
        <f>VLOOKUP(Table5[[#This Row],[Product ID]],'Product Master'!$A$1:$E$10,5,FALSE)</f>
        <v>12</v>
      </c>
      <c r="S857" s="15">
        <f>Table5[[#This Row],[standard product cost per unit]]*Table5[[#This Row],[Units Sold]]</f>
        <v>23700</v>
      </c>
      <c r="T857" s="15">
        <f>Table5[[#This Row],[Cost of Sales]]-Table5[[#This Row],[Standard cost]]</f>
        <v>1896</v>
      </c>
      <c r="U857" s="15">
        <f>Table5[[#This Row],[Net Sales Revenue]]-Table5[[#This Row],[Cost of Sales]]</f>
        <v>14220</v>
      </c>
      <c r="V857" s="17">
        <f>Table5[[#This Row],[GrossProfit]]/Table5[[#This Row],[Net Sales Revenue]]</f>
        <v>0.35714285714285715</v>
      </c>
    </row>
    <row r="858" spans="1:22" ht="14.25" customHeight="1" x14ac:dyDescent="0.25">
      <c r="A858" s="1" t="s">
        <v>943</v>
      </c>
      <c r="B858" s="1" t="s">
        <v>942</v>
      </c>
      <c r="C858" s="1" t="s">
        <v>40</v>
      </c>
      <c r="D858" s="1" t="s">
        <v>10</v>
      </c>
      <c r="E858" s="1" t="s">
        <v>8</v>
      </c>
      <c r="F858" s="1">
        <v>2714</v>
      </c>
      <c r="G858" s="14">
        <v>50</v>
      </c>
      <c r="H858" s="1">
        <v>0.15</v>
      </c>
      <c r="I858" s="14">
        <v>115345</v>
      </c>
      <c r="J858" s="14">
        <v>82071.360000000001</v>
      </c>
      <c r="K858" s="15">
        <f>Table5[[#This Row],[Selling Price]]*Table5[[#This Row],[Units Sold]]</f>
        <v>135700</v>
      </c>
      <c r="L858" t="str">
        <f t="shared" si="13"/>
        <v>2024-08</v>
      </c>
      <c r="M858" t="str">
        <f>VLOOKUP(Table5[[#This Row],[Store ID]],Table4[[Store ID]:[Store Location]],2)</f>
        <v>Manchester</v>
      </c>
      <c r="N858" t="str">
        <f>VLOOKUP(Table5[[#This Row],[Store ID]],Table4[[Store ID]:[Region]],3)</f>
        <v>North</v>
      </c>
      <c r="O858" t="str">
        <f>VLOOKUP(Table5[[#This Row],[Product ID]],'Product Master'!$A$2:$D$10,4)</f>
        <v>Supplier B</v>
      </c>
      <c r="P858" s="15">
        <f>Table5[[#This Row],[Total Revenue]]-Table5[[#This Row],[Net Sales Revenue]]</f>
        <v>20355</v>
      </c>
      <c r="Q858" s="15">
        <f>Table5[[#This Row],[Net Sales Revenue]]/Table5[[#This Row],[Units Sold]]</f>
        <v>42.5</v>
      </c>
      <c r="R858">
        <f>VLOOKUP(Table5[[#This Row],[Product ID]],'Product Master'!$A$1:$E$10,5,FALSE)</f>
        <v>28</v>
      </c>
      <c r="S858" s="15">
        <f>Table5[[#This Row],[standard product cost per unit]]*Table5[[#This Row],[Units Sold]]</f>
        <v>75992</v>
      </c>
      <c r="T858" s="15">
        <f>Table5[[#This Row],[Cost of Sales]]-Table5[[#This Row],[Standard cost]]</f>
        <v>6079.3600000000006</v>
      </c>
      <c r="U858" s="15">
        <f>Table5[[#This Row],[Net Sales Revenue]]-Table5[[#This Row],[Cost of Sales]]</f>
        <v>33273.64</v>
      </c>
      <c r="V858" s="17">
        <f>Table5[[#This Row],[GrossProfit]]/Table5[[#This Row],[Net Sales Revenue]]</f>
        <v>0.28847058823529409</v>
      </c>
    </row>
    <row r="859" spans="1:22" ht="14.25" customHeight="1" x14ac:dyDescent="0.25">
      <c r="A859" s="1" t="s">
        <v>944</v>
      </c>
      <c r="B859" s="1" t="s">
        <v>942</v>
      </c>
      <c r="C859" s="1" t="s">
        <v>40</v>
      </c>
      <c r="D859" s="1" t="s">
        <v>13</v>
      </c>
      <c r="E859" s="1" t="s">
        <v>15</v>
      </c>
      <c r="F859" s="1">
        <v>2050</v>
      </c>
      <c r="G859" s="14">
        <v>28</v>
      </c>
      <c r="H859" s="1">
        <v>0.15</v>
      </c>
      <c r="I859" s="14">
        <v>48790</v>
      </c>
      <c r="J859" s="14">
        <v>33210</v>
      </c>
      <c r="K859" s="15">
        <f>Table5[[#This Row],[Selling Price]]*Table5[[#This Row],[Units Sold]]</f>
        <v>57400</v>
      </c>
      <c r="L859" t="str">
        <f t="shared" si="13"/>
        <v>2024-08</v>
      </c>
      <c r="M859" t="str">
        <f>VLOOKUP(Table5[[#This Row],[Store ID]],Table4[[Store ID]:[Store Location]],2)</f>
        <v>Manchester</v>
      </c>
      <c r="N859" t="str">
        <f>VLOOKUP(Table5[[#This Row],[Store ID]],Table4[[Store ID]:[Region]],3)</f>
        <v>North</v>
      </c>
      <c r="O859" t="str">
        <f>VLOOKUP(Table5[[#This Row],[Product ID]],'Product Master'!$A$2:$D$10,4)</f>
        <v>Supplier C</v>
      </c>
      <c r="P859" s="15">
        <f>Table5[[#This Row],[Total Revenue]]-Table5[[#This Row],[Net Sales Revenue]]</f>
        <v>8610</v>
      </c>
      <c r="Q859" s="15">
        <f>Table5[[#This Row],[Net Sales Revenue]]/Table5[[#This Row],[Units Sold]]</f>
        <v>23.8</v>
      </c>
      <c r="R859">
        <f>VLOOKUP(Table5[[#This Row],[Product ID]],'Product Master'!$A$1:$E$10,5,FALSE)</f>
        <v>15</v>
      </c>
      <c r="S859" s="15">
        <f>Table5[[#This Row],[standard product cost per unit]]*Table5[[#This Row],[Units Sold]]</f>
        <v>30750</v>
      </c>
      <c r="T859" s="15">
        <f>Table5[[#This Row],[Cost of Sales]]-Table5[[#This Row],[Standard cost]]</f>
        <v>2460</v>
      </c>
      <c r="U859" s="15">
        <f>Table5[[#This Row],[Net Sales Revenue]]-Table5[[#This Row],[Cost of Sales]]</f>
        <v>15580</v>
      </c>
      <c r="V859" s="17">
        <f>Table5[[#This Row],[GrossProfit]]/Table5[[#This Row],[Net Sales Revenue]]</f>
        <v>0.31932773109243695</v>
      </c>
    </row>
    <row r="860" spans="1:22" ht="14.25" customHeight="1" x14ac:dyDescent="0.25">
      <c r="A860" s="1" t="s">
        <v>945</v>
      </c>
      <c r="B860" s="1" t="s">
        <v>942</v>
      </c>
      <c r="C860" s="1" t="s">
        <v>40</v>
      </c>
      <c r="D860" s="1" t="s">
        <v>17</v>
      </c>
      <c r="E860" s="1" t="s">
        <v>15</v>
      </c>
      <c r="F860" s="1">
        <v>3062</v>
      </c>
      <c r="G860" s="14">
        <v>35</v>
      </c>
      <c r="H860" s="1">
        <v>0.15</v>
      </c>
      <c r="I860" s="14">
        <v>91094.5</v>
      </c>
      <c r="J860" s="14">
        <v>59525.279999999999</v>
      </c>
      <c r="K860" s="15">
        <f>Table5[[#This Row],[Selling Price]]*Table5[[#This Row],[Units Sold]]</f>
        <v>107170</v>
      </c>
      <c r="L860" t="str">
        <f t="shared" si="13"/>
        <v>2024-08</v>
      </c>
      <c r="M860" t="str">
        <f>VLOOKUP(Table5[[#This Row],[Store ID]],Table4[[Store ID]:[Store Location]],2)</f>
        <v>Manchester</v>
      </c>
      <c r="N860" t="str">
        <f>VLOOKUP(Table5[[#This Row],[Store ID]],Table4[[Store ID]:[Region]],3)</f>
        <v>North</v>
      </c>
      <c r="O860" t="str">
        <f>VLOOKUP(Table5[[#This Row],[Product ID]],'Product Master'!$A$2:$D$10,4)</f>
        <v>Supplier C</v>
      </c>
      <c r="P860" s="15">
        <f>Table5[[#This Row],[Total Revenue]]-Table5[[#This Row],[Net Sales Revenue]]</f>
        <v>16075.5</v>
      </c>
      <c r="Q860" s="15">
        <f>Table5[[#This Row],[Net Sales Revenue]]/Table5[[#This Row],[Units Sold]]</f>
        <v>29.75</v>
      </c>
      <c r="R860">
        <f>VLOOKUP(Table5[[#This Row],[Product ID]],'Product Master'!$A$1:$E$10,5,FALSE)</f>
        <v>18</v>
      </c>
      <c r="S860" s="15">
        <f>Table5[[#This Row],[standard product cost per unit]]*Table5[[#This Row],[Units Sold]]</f>
        <v>55116</v>
      </c>
      <c r="T860" s="15">
        <f>Table5[[#This Row],[Cost of Sales]]-Table5[[#This Row],[Standard cost]]</f>
        <v>4409.2799999999988</v>
      </c>
      <c r="U860" s="15">
        <f>Table5[[#This Row],[Net Sales Revenue]]-Table5[[#This Row],[Cost of Sales]]</f>
        <v>31569.22</v>
      </c>
      <c r="V860" s="17">
        <f>Table5[[#This Row],[GrossProfit]]/Table5[[#This Row],[Net Sales Revenue]]</f>
        <v>0.34655462184873953</v>
      </c>
    </row>
    <row r="861" spans="1:22" ht="14.25" customHeight="1" x14ac:dyDescent="0.25">
      <c r="A861" s="1" t="s">
        <v>946</v>
      </c>
      <c r="B861" s="1" t="s">
        <v>942</v>
      </c>
      <c r="C861" s="1" t="s">
        <v>40</v>
      </c>
      <c r="D861" s="1" t="s">
        <v>19</v>
      </c>
      <c r="E861" s="1" t="s">
        <v>21</v>
      </c>
      <c r="F861" s="1">
        <v>1381</v>
      </c>
      <c r="G861" s="14">
        <v>18</v>
      </c>
      <c r="H861" s="1">
        <v>0.16</v>
      </c>
      <c r="I861" s="14">
        <v>20880.72</v>
      </c>
      <c r="J861" s="14">
        <v>13423.32</v>
      </c>
      <c r="K861" s="15">
        <f>Table5[[#This Row],[Selling Price]]*Table5[[#This Row],[Units Sold]]</f>
        <v>24858</v>
      </c>
      <c r="L861" t="str">
        <f t="shared" si="13"/>
        <v>2024-08</v>
      </c>
      <c r="M861" t="str">
        <f>VLOOKUP(Table5[[#This Row],[Store ID]],Table4[[Store ID]:[Store Location]],2)</f>
        <v>Manchester</v>
      </c>
      <c r="N861" t="str">
        <f>VLOOKUP(Table5[[#This Row],[Store ID]],Table4[[Store ID]:[Region]],3)</f>
        <v>North</v>
      </c>
      <c r="O861" t="str">
        <f>VLOOKUP(Table5[[#This Row],[Product ID]],'Product Master'!$A$2:$D$10,4)</f>
        <v>Supplier D</v>
      </c>
      <c r="P861" s="15">
        <f>Table5[[#This Row],[Total Revenue]]-Table5[[#This Row],[Net Sales Revenue]]</f>
        <v>3977.2799999999988</v>
      </c>
      <c r="Q861" s="15">
        <f>Table5[[#This Row],[Net Sales Revenue]]/Table5[[#This Row],[Units Sold]]</f>
        <v>15.120000000000001</v>
      </c>
      <c r="R861">
        <f>VLOOKUP(Table5[[#This Row],[Product ID]],'Product Master'!$A$1:$E$10,5,FALSE)</f>
        <v>9</v>
      </c>
      <c r="S861" s="15">
        <f>Table5[[#This Row],[standard product cost per unit]]*Table5[[#This Row],[Units Sold]]</f>
        <v>12429</v>
      </c>
      <c r="T861" s="15">
        <f>Table5[[#This Row],[Cost of Sales]]-Table5[[#This Row],[Standard cost]]</f>
        <v>994.31999999999971</v>
      </c>
      <c r="U861" s="15">
        <f>Table5[[#This Row],[Net Sales Revenue]]-Table5[[#This Row],[Cost of Sales]]</f>
        <v>7457.4000000000015</v>
      </c>
      <c r="V861" s="17">
        <f>Table5[[#This Row],[GrossProfit]]/Table5[[#This Row],[Net Sales Revenue]]</f>
        <v>0.35714285714285721</v>
      </c>
    </row>
    <row r="862" spans="1:22" ht="14.25" customHeight="1" x14ac:dyDescent="0.25">
      <c r="A862" s="1" t="s">
        <v>947</v>
      </c>
      <c r="B862" s="1" t="s">
        <v>942</v>
      </c>
      <c r="C862" s="1" t="s">
        <v>40</v>
      </c>
      <c r="D862" s="1" t="s">
        <v>23</v>
      </c>
      <c r="E862" s="1" t="s">
        <v>21</v>
      </c>
      <c r="F862" s="1">
        <v>2442</v>
      </c>
      <c r="G862" s="14">
        <v>30</v>
      </c>
      <c r="H862" s="1">
        <v>0.14000000000000001</v>
      </c>
      <c r="I862" s="14">
        <v>63003.6</v>
      </c>
      <c r="J862" s="14">
        <v>36923.040000000001</v>
      </c>
      <c r="K862" s="15">
        <f>Table5[[#This Row],[Selling Price]]*Table5[[#This Row],[Units Sold]]</f>
        <v>73260</v>
      </c>
      <c r="L862" t="str">
        <f t="shared" si="13"/>
        <v>2024-08</v>
      </c>
      <c r="M862" t="str">
        <f>VLOOKUP(Table5[[#This Row],[Store ID]],Table4[[Store ID]:[Store Location]],2)</f>
        <v>Manchester</v>
      </c>
      <c r="N862" t="str">
        <f>VLOOKUP(Table5[[#This Row],[Store ID]],Table4[[Store ID]:[Region]],3)</f>
        <v>North</v>
      </c>
      <c r="O862" t="str">
        <f>VLOOKUP(Table5[[#This Row],[Product ID]],'Product Master'!$A$2:$D$10,4)</f>
        <v>Supplier D</v>
      </c>
      <c r="P862" s="15">
        <f>Table5[[#This Row],[Total Revenue]]-Table5[[#This Row],[Net Sales Revenue]]</f>
        <v>10256.400000000001</v>
      </c>
      <c r="Q862" s="15">
        <f>Table5[[#This Row],[Net Sales Revenue]]/Table5[[#This Row],[Units Sold]]</f>
        <v>25.8</v>
      </c>
      <c r="R862">
        <f>VLOOKUP(Table5[[#This Row],[Product ID]],'Product Master'!$A$1:$E$10,5,FALSE)</f>
        <v>14</v>
      </c>
      <c r="S862" s="15">
        <f>Table5[[#This Row],[standard product cost per unit]]*Table5[[#This Row],[Units Sold]]</f>
        <v>34188</v>
      </c>
      <c r="T862" s="15">
        <f>Table5[[#This Row],[Cost of Sales]]-Table5[[#This Row],[Standard cost]]</f>
        <v>2735.0400000000009</v>
      </c>
      <c r="U862" s="15">
        <f>Table5[[#This Row],[Net Sales Revenue]]-Table5[[#This Row],[Cost of Sales]]</f>
        <v>26080.559999999998</v>
      </c>
      <c r="V862" s="17">
        <f>Table5[[#This Row],[GrossProfit]]/Table5[[#This Row],[Net Sales Revenue]]</f>
        <v>0.413953488372093</v>
      </c>
    </row>
    <row r="863" spans="1:22" ht="14.25" customHeight="1" x14ac:dyDescent="0.25">
      <c r="A863" s="1" t="s">
        <v>948</v>
      </c>
      <c r="B863" s="1" t="s">
        <v>942</v>
      </c>
      <c r="C863" s="1" t="s">
        <v>40</v>
      </c>
      <c r="D863" s="1" t="s">
        <v>25</v>
      </c>
      <c r="E863" s="1" t="s">
        <v>27</v>
      </c>
      <c r="F863" s="1">
        <v>2116</v>
      </c>
      <c r="G863" s="14">
        <v>40</v>
      </c>
      <c r="H863" s="1">
        <v>0.16</v>
      </c>
      <c r="I863" s="14">
        <v>71097.600000000006</v>
      </c>
      <c r="J863" s="14">
        <v>45705.599999999999</v>
      </c>
      <c r="K863" s="15">
        <f>Table5[[#This Row],[Selling Price]]*Table5[[#This Row],[Units Sold]]</f>
        <v>84640</v>
      </c>
      <c r="L863" t="str">
        <f t="shared" si="13"/>
        <v>2024-08</v>
      </c>
      <c r="M863" t="str">
        <f>VLOOKUP(Table5[[#This Row],[Store ID]],Table4[[Store ID]:[Store Location]],2)</f>
        <v>Manchester</v>
      </c>
      <c r="N863" t="str">
        <f>VLOOKUP(Table5[[#This Row],[Store ID]],Table4[[Store ID]:[Region]],3)</f>
        <v>North</v>
      </c>
      <c r="O863" t="str">
        <f>VLOOKUP(Table5[[#This Row],[Product ID]],'Product Master'!$A$2:$D$10,4)</f>
        <v>Supplier E</v>
      </c>
      <c r="P863" s="15">
        <f>Table5[[#This Row],[Total Revenue]]-Table5[[#This Row],[Net Sales Revenue]]</f>
        <v>13542.399999999994</v>
      </c>
      <c r="Q863" s="15">
        <f>Table5[[#This Row],[Net Sales Revenue]]/Table5[[#This Row],[Units Sold]]</f>
        <v>33.6</v>
      </c>
      <c r="R863">
        <f>VLOOKUP(Table5[[#This Row],[Product ID]],'Product Master'!$A$1:$E$10,5,FALSE)</f>
        <v>20</v>
      </c>
      <c r="S863" s="15">
        <f>Table5[[#This Row],[standard product cost per unit]]*Table5[[#This Row],[Units Sold]]</f>
        <v>42320</v>
      </c>
      <c r="T863" s="15">
        <f>Table5[[#This Row],[Cost of Sales]]-Table5[[#This Row],[Standard cost]]</f>
        <v>3385.5999999999985</v>
      </c>
      <c r="U863" s="15">
        <f>Table5[[#This Row],[Net Sales Revenue]]-Table5[[#This Row],[Cost of Sales]]</f>
        <v>25392.000000000007</v>
      </c>
      <c r="V863" s="17">
        <f>Table5[[#This Row],[GrossProfit]]/Table5[[#This Row],[Net Sales Revenue]]</f>
        <v>0.35714285714285721</v>
      </c>
    </row>
    <row r="864" spans="1:22" ht="14.25" customHeight="1" x14ac:dyDescent="0.25">
      <c r="A864" s="1" t="s">
        <v>949</v>
      </c>
      <c r="B864" s="1" t="s">
        <v>942</v>
      </c>
      <c r="C864" s="1" t="s">
        <v>40</v>
      </c>
      <c r="D864" s="1" t="s">
        <v>29</v>
      </c>
      <c r="E864" s="1" t="s">
        <v>31</v>
      </c>
      <c r="F864" s="1">
        <v>1878</v>
      </c>
      <c r="G864" s="14">
        <v>10</v>
      </c>
      <c r="H864" s="1">
        <v>0.16</v>
      </c>
      <c r="I864" s="14">
        <v>15775.2</v>
      </c>
      <c r="J864" s="14">
        <v>8112.96</v>
      </c>
      <c r="K864" s="15">
        <f>Table5[[#This Row],[Selling Price]]*Table5[[#This Row],[Units Sold]]</f>
        <v>18780</v>
      </c>
      <c r="L864" t="str">
        <f t="shared" si="13"/>
        <v>2024-08</v>
      </c>
      <c r="M864" t="str">
        <f>VLOOKUP(Table5[[#This Row],[Store ID]],Table4[[Store ID]:[Store Location]],2)</f>
        <v>Manchester</v>
      </c>
      <c r="N864" t="str">
        <f>VLOOKUP(Table5[[#This Row],[Store ID]],Table4[[Store ID]:[Region]],3)</f>
        <v>North</v>
      </c>
      <c r="O864" t="str">
        <f>VLOOKUP(Table5[[#This Row],[Product ID]],'Product Master'!$A$2:$D$10,4)</f>
        <v>Supplier F</v>
      </c>
      <c r="P864" s="15">
        <f>Table5[[#This Row],[Total Revenue]]-Table5[[#This Row],[Net Sales Revenue]]</f>
        <v>3004.7999999999993</v>
      </c>
      <c r="Q864" s="15">
        <f>Table5[[#This Row],[Net Sales Revenue]]/Table5[[#This Row],[Units Sold]]</f>
        <v>8.4</v>
      </c>
      <c r="R864">
        <f>VLOOKUP(Table5[[#This Row],[Product ID]],'Product Master'!$A$1:$E$10,5,FALSE)</f>
        <v>4</v>
      </c>
      <c r="S864" s="15">
        <f>Table5[[#This Row],[standard product cost per unit]]*Table5[[#This Row],[Units Sold]]</f>
        <v>7512</v>
      </c>
      <c r="T864" s="15">
        <f>Table5[[#This Row],[Cost of Sales]]-Table5[[#This Row],[Standard cost]]</f>
        <v>600.96</v>
      </c>
      <c r="U864" s="15">
        <f>Table5[[#This Row],[Net Sales Revenue]]-Table5[[#This Row],[Cost of Sales]]</f>
        <v>7662.2400000000007</v>
      </c>
      <c r="V864" s="17">
        <f>Table5[[#This Row],[GrossProfit]]/Table5[[#This Row],[Net Sales Revenue]]</f>
        <v>0.48571428571428571</v>
      </c>
    </row>
    <row r="865" spans="1:22" ht="14.25" customHeight="1" x14ac:dyDescent="0.25">
      <c r="A865" s="1" t="s">
        <v>950</v>
      </c>
      <c r="B865" s="1" t="s">
        <v>942</v>
      </c>
      <c r="C865" s="1" t="s">
        <v>40</v>
      </c>
      <c r="D865" s="1" t="s">
        <v>33</v>
      </c>
      <c r="E865" s="1" t="s">
        <v>31</v>
      </c>
      <c r="F865" s="1">
        <v>2574</v>
      </c>
      <c r="G865" s="14">
        <v>22</v>
      </c>
      <c r="H865" s="1">
        <v>0.16</v>
      </c>
      <c r="I865" s="14">
        <v>47567.519999999997</v>
      </c>
      <c r="J865" s="14">
        <v>27799.200000000001</v>
      </c>
      <c r="K865" s="15">
        <f>Table5[[#This Row],[Selling Price]]*Table5[[#This Row],[Units Sold]]</f>
        <v>56628</v>
      </c>
      <c r="L865" t="str">
        <f t="shared" si="13"/>
        <v>2024-08</v>
      </c>
      <c r="M865" t="str">
        <f>VLOOKUP(Table5[[#This Row],[Store ID]],Table4[[Store ID]:[Store Location]],2)</f>
        <v>Manchester</v>
      </c>
      <c r="N865" t="str">
        <f>VLOOKUP(Table5[[#This Row],[Store ID]],Table4[[Store ID]:[Region]],3)</f>
        <v>North</v>
      </c>
      <c r="O865" t="str">
        <f>VLOOKUP(Table5[[#This Row],[Product ID]],'Product Master'!$A$2:$D$10,4)</f>
        <v>Supplier F</v>
      </c>
      <c r="P865" s="15">
        <f>Table5[[#This Row],[Total Revenue]]-Table5[[#This Row],[Net Sales Revenue]]</f>
        <v>9060.4800000000032</v>
      </c>
      <c r="Q865" s="15">
        <f>Table5[[#This Row],[Net Sales Revenue]]/Table5[[#This Row],[Units Sold]]</f>
        <v>18.48</v>
      </c>
      <c r="R865">
        <f>VLOOKUP(Table5[[#This Row],[Product ID]],'Product Master'!$A$1:$E$10,5,FALSE)</f>
        <v>10</v>
      </c>
      <c r="S865" s="15">
        <f>Table5[[#This Row],[standard product cost per unit]]*Table5[[#This Row],[Units Sold]]</f>
        <v>25740</v>
      </c>
      <c r="T865" s="15">
        <f>Table5[[#This Row],[Cost of Sales]]-Table5[[#This Row],[Standard cost]]</f>
        <v>2059.2000000000007</v>
      </c>
      <c r="U865" s="15">
        <f>Table5[[#This Row],[Net Sales Revenue]]-Table5[[#This Row],[Cost of Sales]]</f>
        <v>19768.319999999996</v>
      </c>
      <c r="V865" s="17">
        <f>Table5[[#This Row],[GrossProfit]]/Table5[[#This Row],[Net Sales Revenue]]</f>
        <v>0.41558441558441556</v>
      </c>
    </row>
    <row r="866" spans="1:22" ht="14.25" customHeight="1" x14ac:dyDescent="0.25">
      <c r="A866" s="1" t="s">
        <v>951</v>
      </c>
      <c r="B866" s="1" t="s">
        <v>942</v>
      </c>
      <c r="C866" s="1" t="s">
        <v>44</v>
      </c>
      <c r="D866" s="1" t="s">
        <v>6</v>
      </c>
      <c r="E866" s="1" t="s">
        <v>8</v>
      </c>
      <c r="F866" s="1">
        <v>2371</v>
      </c>
      <c r="G866" s="14">
        <v>24</v>
      </c>
      <c r="H866" s="1">
        <v>0.15</v>
      </c>
      <c r="I866" s="14">
        <v>48368.4</v>
      </c>
      <c r="J866" s="14">
        <v>30728.16</v>
      </c>
      <c r="K866" s="15">
        <f>Table5[[#This Row],[Selling Price]]*Table5[[#This Row],[Units Sold]]</f>
        <v>56904</v>
      </c>
      <c r="L866" t="str">
        <f t="shared" si="13"/>
        <v>2024-08</v>
      </c>
      <c r="M866" t="str">
        <f>VLOOKUP(Table5[[#This Row],[Store ID]],Table4[[Store ID]:[Store Location]],2)</f>
        <v>Birmingham</v>
      </c>
      <c r="N866" t="str">
        <f>VLOOKUP(Table5[[#This Row],[Store ID]],Table4[[Store ID]:[Region]],3)</f>
        <v>Midlands</v>
      </c>
      <c r="O866" t="str">
        <f>VLOOKUP(Table5[[#This Row],[Product ID]],'Product Master'!$A$2:$D$10,4)</f>
        <v>Supplier A</v>
      </c>
      <c r="P866" s="15">
        <f>Table5[[#This Row],[Total Revenue]]-Table5[[#This Row],[Net Sales Revenue]]</f>
        <v>8535.5999999999985</v>
      </c>
      <c r="Q866" s="15">
        <f>Table5[[#This Row],[Net Sales Revenue]]/Table5[[#This Row],[Units Sold]]</f>
        <v>20.400000000000002</v>
      </c>
      <c r="R866">
        <f>VLOOKUP(Table5[[#This Row],[Product ID]],'Product Master'!$A$1:$E$10,5,FALSE)</f>
        <v>12</v>
      </c>
      <c r="S866" s="15">
        <f>Table5[[#This Row],[standard product cost per unit]]*Table5[[#This Row],[Units Sold]]</f>
        <v>28452</v>
      </c>
      <c r="T866" s="15">
        <f>Table5[[#This Row],[Cost of Sales]]-Table5[[#This Row],[Standard cost]]</f>
        <v>2276.16</v>
      </c>
      <c r="U866" s="15">
        <f>Table5[[#This Row],[Net Sales Revenue]]-Table5[[#This Row],[Cost of Sales]]</f>
        <v>17640.240000000002</v>
      </c>
      <c r="V866" s="17">
        <f>Table5[[#This Row],[GrossProfit]]/Table5[[#This Row],[Net Sales Revenue]]</f>
        <v>0.36470588235294121</v>
      </c>
    </row>
    <row r="867" spans="1:22" ht="14.25" customHeight="1" x14ac:dyDescent="0.25">
      <c r="A867" s="1" t="s">
        <v>952</v>
      </c>
      <c r="B867" s="1" t="s">
        <v>942</v>
      </c>
      <c r="C867" s="1" t="s">
        <v>44</v>
      </c>
      <c r="D867" s="1" t="s">
        <v>10</v>
      </c>
      <c r="E867" s="1" t="s">
        <v>8</v>
      </c>
      <c r="F867" s="1">
        <v>2248</v>
      </c>
      <c r="G867" s="14">
        <v>50</v>
      </c>
      <c r="H867" s="1">
        <v>0.13</v>
      </c>
      <c r="I867" s="14">
        <v>97788</v>
      </c>
      <c r="J867" s="14">
        <v>67979.520000000004</v>
      </c>
      <c r="K867" s="15">
        <f>Table5[[#This Row],[Selling Price]]*Table5[[#This Row],[Units Sold]]</f>
        <v>112400</v>
      </c>
      <c r="L867" t="str">
        <f t="shared" si="13"/>
        <v>2024-08</v>
      </c>
      <c r="M867" t="str">
        <f>VLOOKUP(Table5[[#This Row],[Store ID]],Table4[[Store ID]:[Store Location]],2)</f>
        <v>Birmingham</v>
      </c>
      <c r="N867" t="str">
        <f>VLOOKUP(Table5[[#This Row],[Store ID]],Table4[[Store ID]:[Region]],3)</f>
        <v>Midlands</v>
      </c>
      <c r="O867" t="str">
        <f>VLOOKUP(Table5[[#This Row],[Product ID]],'Product Master'!$A$2:$D$10,4)</f>
        <v>Supplier B</v>
      </c>
      <c r="P867" s="15">
        <f>Table5[[#This Row],[Total Revenue]]-Table5[[#This Row],[Net Sales Revenue]]</f>
        <v>14612</v>
      </c>
      <c r="Q867" s="15">
        <f>Table5[[#This Row],[Net Sales Revenue]]/Table5[[#This Row],[Units Sold]]</f>
        <v>43.5</v>
      </c>
      <c r="R867">
        <f>VLOOKUP(Table5[[#This Row],[Product ID]],'Product Master'!$A$1:$E$10,5,FALSE)</f>
        <v>28</v>
      </c>
      <c r="S867" s="15">
        <f>Table5[[#This Row],[standard product cost per unit]]*Table5[[#This Row],[Units Sold]]</f>
        <v>62944</v>
      </c>
      <c r="T867" s="15">
        <f>Table5[[#This Row],[Cost of Sales]]-Table5[[#This Row],[Standard cost]]</f>
        <v>5035.5200000000041</v>
      </c>
      <c r="U867" s="15">
        <f>Table5[[#This Row],[Net Sales Revenue]]-Table5[[#This Row],[Cost of Sales]]</f>
        <v>29808.479999999996</v>
      </c>
      <c r="V867" s="17">
        <f>Table5[[#This Row],[GrossProfit]]/Table5[[#This Row],[Net Sales Revenue]]</f>
        <v>0.30482758620689648</v>
      </c>
    </row>
    <row r="868" spans="1:22" ht="14.25" customHeight="1" x14ac:dyDescent="0.25">
      <c r="A868" s="1" t="s">
        <v>953</v>
      </c>
      <c r="B868" s="1" t="s">
        <v>942</v>
      </c>
      <c r="C868" s="1" t="s">
        <v>44</v>
      </c>
      <c r="D868" s="1" t="s">
        <v>13</v>
      </c>
      <c r="E868" s="1" t="s">
        <v>15</v>
      </c>
      <c r="F868" s="1">
        <v>2424</v>
      </c>
      <c r="G868" s="14">
        <v>28</v>
      </c>
      <c r="H868" s="1">
        <v>0.12</v>
      </c>
      <c r="I868" s="14">
        <v>59727.360000000001</v>
      </c>
      <c r="J868" s="14">
        <v>39268.800000000003</v>
      </c>
      <c r="K868" s="15">
        <f>Table5[[#This Row],[Selling Price]]*Table5[[#This Row],[Units Sold]]</f>
        <v>67872</v>
      </c>
      <c r="L868" t="str">
        <f t="shared" si="13"/>
        <v>2024-08</v>
      </c>
      <c r="M868" t="str">
        <f>VLOOKUP(Table5[[#This Row],[Store ID]],Table4[[Store ID]:[Store Location]],2)</f>
        <v>Birmingham</v>
      </c>
      <c r="N868" t="str">
        <f>VLOOKUP(Table5[[#This Row],[Store ID]],Table4[[Store ID]:[Region]],3)</f>
        <v>Midlands</v>
      </c>
      <c r="O868" t="str">
        <f>VLOOKUP(Table5[[#This Row],[Product ID]],'Product Master'!$A$2:$D$10,4)</f>
        <v>Supplier C</v>
      </c>
      <c r="P868" s="15">
        <f>Table5[[#This Row],[Total Revenue]]-Table5[[#This Row],[Net Sales Revenue]]</f>
        <v>8144.6399999999994</v>
      </c>
      <c r="Q868" s="15">
        <f>Table5[[#This Row],[Net Sales Revenue]]/Table5[[#This Row],[Units Sold]]</f>
        <v>24.64</v>
      </c>
      <c r="R868">
        <f>VLOOKUP(Table5[[#This Row],[Product ID]],'Product Master'!$A$1:$E$10,5,FALSE)</f>
        <v>15</v>
      </c>
      <c r="S868" s="15">
        <f>Table5[[#This Row],[standard product cost per unit]]*Table5[[#This Row],[Units Sold]]</f>
        <v>36360</v>
      </c>
      <c r="T868" s="15">
        <f>Table5[[#This Row],[Cost of Sales]]-Table5[[#This Row],[Standard cost]]</f>
        <v>2908.8000000000029</v>
      </c>
      <c r="U868" s="15">
        <f>Table5[[#This Row],[Net Sales Revenue]]-Table5[[#This Row],[Cost of Sales]]</f>
        <v>20458.559999999998</v>
      </c>
      <c r="V868" s="17">
        <f>Table5[[#This Row],[GrossProfit]]/Table5[[#This Row],[Net Sales Revenue]]</f>
        <v>0.34253246753246747</v>
      </c>
    </row>
    <row r="869" spans="1:22" ht="14.25" customHeight="1" x14ac:dyDescent="0.25">
      <c r="A869" s="1" t="s">
        <v>954</v>
      </c>
      <c r="B869" s="1" t="s">
        <v>942</v>
      </c>
      <c r="C869" s="1" t="s">
        <v>44</v>
      </c>
      <c r="D869" s="1" t="s">
        <v>17</v>
      </c>
      <c r="E869" s="1" t="s">
        <v>15</v>
      </c>
      <c r="F869" s="1">
        <v>1575</v>
      </c>
      <c r="G869" s="14">
        <v>35</v>
      </c>
      <c r="H869" s="1">
        <v>0.13</v>
      </c>
      <c r="I869" s="14">
        <v>47958.75</v>
      </c>
      <c r="J869" s="14">
        <v>30618</v>
      </c>
      <c r="K869" s="15">
        <f>Table5[[#This Row],[Selling Price]]*Table5[[#This Row],[Units Sold]]</f>
        <v>55125</v>
      </c>
      <c r="L869" t="str">
        <f t="shared" si="13"/>
        <v>2024-08</v>
      </c>
      <c r="M869" t="str">
        <f>VLOOKUP(Table5[[#This Row],[Store ID]],Table4[[Store ID]:[Store Location]],2)</f>
        <v>Birmingham</v>
      </c>
      <c r="N869" t="str">
        <f>VLOOKUP(Table5[[#This Row],[Store ID]],Table4[[Store ID]:[Region]],3)</f>
        <v>Midlands</v>
      </c>
      <c r="O869" t="str">
        <f>VLOOKUP(Table5[[#This Row],[Product ID]],'Product Master'!$A$2:$D$10,4)</f>
        <v>Supplier C</v>
      </c>
      <c r="P869" s="15">
        <f>Table5[[#This Row],[Total Revenue]]-Table5[[#This Row],[Net Sales Revenue]]</f>
        <v>7166.25</v>
      </c>
      <c r="Q869" s="15">
        <f>Table5[[#This Row],[Net Sales Revenue]]/Table5[[#This Row],[Units Sold]]</f>
        <v>30.45</v>
      </c>
      <c r="R869">
        <f>VLOOKUP(Table5[[#This Row],[Product ID]],'Product Master'!$A$1:$E$10,5,FALSE)</f>
        <v>18</v>
      </c>
      <c r="S869" s="15">
        <f>Table5[[#This Row],[standard product cost per unit]]*Table5[[#This Row],[Units Sold]]</f>
        <v>28350</v>
      </c>
      <c r="T869" s="15">
        <f>Table5[[#This Row],[Cost of Sales]]-Table5[[#This Row],[Standard cost]]</f>
        <v>2268</v>
      </c>
      <c r="U869" s="15">
        <f>Table5[[#This Row],[Net Sales Revenue]]-Table5[[#This Row],[Cost of Sales]]</f>
        <v>17340.75</v>
      </c>
      <c r="V869" s="17">
        <f>Table5[[#This Row],[GrossProfit]]/Table5[[#This Row],[Net Sales Revenue]]</f>
        <v>0.36157635467980298</v>
      </c>
    </row>
    <row r="870" spans="1:22" ht="14.25" customHeight="1" x14ac:dyDescent="0.25">
      <c r="A870" s="1" t="s">
        <v>955</v>
      </c>
      <c r="B870" s="1" t="s">
        <v>942</v>
      </c>
      <c r="C870" s="1" t="s">
        <v>44</v>
      </c>
      <c r="D870" s="1" t="s">
        <v>19</v>
      </c>
      <c r="E870" s="1" t="s">
        <v>21</v>
      </c>
      <c r="F870" s="1">
        <v>1372</v>
      </c>
      <c r="G870" s="14">
        <v>18</v>
      </c>
      <c r="H870" s="1">
        <v>0.16</v>
      </c>
      <c r="I870" s="14">
        <v>20744.64</v>
      </c>
      <c r="J870" s="14">
        <v>13335.84</v>
      </c>
      <c r="K870" s="15">
        <f>Table5[[#This Row],[Selling Price]]*Table5[[#This Row],[Units Sold]]</f>
        <v>24696</v>
      </c>
      <c r="L870" t="str">
        <f t="shared" si="13"/>
        <v>2024-08</v>
      </c>
      <c r="M870" t="str">
        <f>VLOOKUP(Table5[[#This Row],[Store ID]],Table4[[Store ID]:[Store Location]],2)</f>
        <v>Birmingham</v>
      </c>
      <c r="N870" t="str">
        <f>VLOOKUP(Table5[[#This Row],[Store ID]],Table4[[Store ID]:[Region]],3)</f>
        <v>Midlands</v>
      </c>
      <c r="O870" t="str">
        <f>VLOOKUP(Table5[[#This Row],[Product ID]],'Product Master'!$A$2:$D$10,4)</f>
        <v>Supplier D</v>
      </c>
      <c r="P870" s="15">
        <f>Table5[[#This Row],[Total Revenue]]-Table5[[#This Row],[Net Sales Revenue]]</f>
        <v>3951.3600000000006</v>
      </c>
      <c r="Q870" s="15">
        <f>Table5[[#This Row],[Net Sales Revenue]]/Table5[[#This Row],[Units Sold]]</f>
        <v>15.12</v>
      </c>
      <c r="R870">
        <f>VLOOKUP(Table5[[#This Row],[Product ID]],'Product Master'!$A$1:$E$10,5,FALSE)</f>
        <v>9</v>
      </c>
      <c r="S870" s="15">
        <f>Table5[[#This Row],[standard product cost per unit]]*Table5[[#This Row],[Units Sold]]</f>
        <v>12348</v>
      </c>
      <c r="T870" s="15">
        <f>Table5[[#This Row],[Cost of Sales]]-Table5[[#This Row],[Standard cost]]</f>
        <v>987.84000000000015</v>
      </c>
      <c r="U870" s="15">
        <f>Table5[[#This Row],[Net Sales Revenue]]-Table5[[#This Row],[Cost of Sales]]</f>
        <v>7408.7999999999993</v>
      </c>
      <c r="V870" s="17">
        <f>Table5[[#This Row],[GrossProfit]]/Table5[[#This Row],[Net Sales Revenue]]</f>
        <v>0.3571428571428571</v>
      </c>
    </row>
    <row r="871" spans="1:22" ht="14.25" customHeight="1" x14ac:dyDescent="0.25">
      <c r="A871" s="1" t="s">
        <v>956</v>
      </c>
      <c r="B871" s="1" t="s">
        <v>942</v>
      </c>
      <c r="C871" s="1" t="s">
        <v>44</v>
      </c>
      <c r="D871" s="1" t="s">
        <v>23</v>
      </c>
      <c r="E871" s="1" t="s">
        <v>21</v>
      </c>
      <c r="F871" s="1">
        <v>2239</v>
      </c>
      <c r="G871" s="14">
        <v>30</v>
      </c>
      <c r="H871" s="1">
        <v>0.15</v>
      </c>
      <c r="I871" s="14">
        <v>57094.5</v>
      </c>
      <c r="J871" s="14">
        <v>33853.68</v>
      </c>
      <c r="K871" s="15">
        <f>Table5[[#This Row],[Selling Price]]*Table5[[#This Row],[Units Sold]]</f>
        <v>67170</v>
      </c>
      <c r="L871" t="str">
        <f t="shared" si="13"/>
        <v>2024-08</v>
      </c>
      <c r="M871" t="str">
        <f>VLOOKUP(Table5[[#This Row],[Store ID]],Table4[[Store ID]:[Store Location]],2)</f>
        <v>Birmingham</v>
      </c>
      <c r="N871" t="str">
        <f>VLOOKUP(Table5[[#This Row],[Store ID]],Table4[[Store ID]:[Region]],3)</f>
        <v>Midlands</v>
      </c>
      <c r="O871" t="str">
        <f>VLOOKUP(Table5[[#This Row],[Product ID]],'Product Master'!$A$2:$D$10,4)</f>
        <v>Supplier D</v>
      </c>
      <c r="P871" s="15">
        <f>Table5[[#This Row],[Total Revenue]]-Table5[[#This Row],[Net Sales Revenue]]</f>
        <v>10075.5</v>
      </c>
      <c r="Q871" s="15">
        <f>Table5[[#This Row],[Net Sales Revenue]]/Table5[[#This Row],[Units Sold]]</f>
        <v>25.5</v>
      </c>
      <c r="R871">
        <f>VLOOKUP(Table5[[#This Row],[Product ID]],'Product Master'!$A$1:$E$10,5,FALSE)</f>
        <v>14</v>
      </c>
      <c r="S871" s="15">
        <f>Table5[[#This Row],[standard product cost per unit]]*Table5[[#This Row],[Units Sold]]</f>
        <v>31346</v>
      </c>
      <c r="T871" s="15">
        <f>Table5[[#This Row],[Cost of Sales]]-Table5[[#This Row],[Standard cost]]</f>
        <v>2507.6800000000003</v>
      </c>
      <c r="U871" s="15">
        <f>Table5[[#This Row],[Net Sales Revenue]]-Table5[[#This Row],[Cost of Sales]]</f>
        <v>23240.82</v>
      </c>
      <c r="V871" s="17">
        <f>Table5[[#This Row],[GrossProfit]]/Table5[[#This Row],[Net Sales Revenue]]</f>
        <v>0.40705882352941175</v>
      </c>
    </row>
    <row r="872" spans="1:22" ht="14.25" customHeight="1" x14ac:dyDescent="0.25">
      <c r="A872" s="1" t="s">
        <v>957</v>
      </c>
      <c r="B872" s="1" t="s">
        <v>942</v>
      </c>
      <c r="C872" s="1" t="s">
        <v>44</v>
      </c>
      <c r="D872" s="1" t="s">
        <v>25</v>
      </c>
      <c r="E872" s="1" t="s">
        <v>27</v>
      </c>
      <c r="F872" s="1">
        <v>2173</v>
      </c>
      <c r="G872" s="14">
        <v>40</v>
      </c>
      <c r="H872" s="1">
        <v>0.14000000000000001</v>
      </c>
      <c r="I872" s="14">
        <v>74751.199999999997</v>
      </c>
      <c r="J872" s="14">
        <v>46936.800000000003</v>
      </c>
      <c r="K872" s="15">
        <f>Table5[[#This Row],[Selling Price]]*Table5[[#This Row],[Units Sold]]</f>
        <v>86920</v>
      </c>
      <c r="L872" t="str">
        <f t="shared" si="13"/>
        <v>2024-08</v>
      </c>
      <c r="M872" t="str">
        <f>VLOOKUP(Table5[[#This Row],[Store ID]],Table4[[Store ID]:[Store Location]],2)</f>
        <v>Birmingham</v>
      </c>
      <c r="N872" t="str">
        <f>VLOOKUP(Table5[[#This Row],[Store ID]],Table4[[Store ID]:[Region]],3)</f>
        <v>Midlands</v>
      </c>
      <c r="O872" t="str">
        <f>VLOOKUP(Table5[[#This Row],[Product ID]],'Product Master'!$A$2:$D$10,4)</f>
        <v>Supplier E</v>
      </c>
      <c r="P872" s="15">
        <f>Table5[[#This Row],[Total Revenue]]-Table5[[#This Row],[Net Sales Revenue]]</f>
        <v>12168.800000000003</v>
      </c>
      <c r="Q872" s="15">
        <f>Table5[[#This Row],[Net Sales Revenue]]/Table5[[#This Row],[Units Sold]]</f>
        <v>34.4</v>
      </c>
      <c r="R872">
        <f>VLOOKUP(Table5[[#This Row],[Product ID]],'Product Master'!$A$1:$E$10,5,FALSE)</f>
        <v>20</v>
      </c>
      <c r="S872" s="15">
        <f>Table5[[#This Row],[standard product cost per unit]]*Table5[[#This Row],[Units Sold]]</f>
        <v>43460</v>
      </c>
      <c r="T872" s="15">
        <f>Table5[[#This Row],[Cost of Sales]]-Table5[[#This Row],[Standard cost]]</f>
        <v>3476.8000000000029</v>
      </c>
      <c r="U872" s="15">
        <f>Table5[[#This Row],[Net Sales Revenue]]-Table5[[#This Row],[Cost of Sales]]</f>
        <v>27814.399999999994</v>
      </c>
      <c r="V872" s="17">
        <f>Table5[[#This Row],[GrossProfit]]/Table5[[#This Row],[Net Sales Revenue]]</f>
        <v>0.37209302325581389</v>
      </c>
    </row>
    <row r="873" spans="1:22" ht="14.25" customHeight="1" x14ac:dyDescent="0.25">
      <c r="A873" s="1" t="s">
        <v>958</v>
      </c>
      <c r="B873" s="1" t="s">
        <v>942</v>
      </c>
      <c r="C873" s="1" t="s">
        <v>44</v>
      </c>
      <c r="D873" s="1" t="s">
        <v>29</v>
      </c>
      <c r="E873" s="1" t="s">
        <v>31</v>
      </c>
      <c r="F873" s="1">
        <v>1764</v>
      </c>
      <c r="G873" s="14">
        <v>10</v>
      </c>
      <c r="H873" s="1">
        <v>0.16</v>
      </c>
      <c r="I873" s="14">
        <v>14817.6</v>
      </c>
      <c r="J873" s="14">
        <v>7620.48</v>
      </c>
      <c r="K873" s="15">
        <f>Table5[[#This Row],[Selling Price]]*Table5[[#This Row],[Units Sold]]</f>
        <v>17640</v>
      </c>
      <c r="L873" t="str">
        <f t="shared" si="13"/>
        <v>2024-08</v>
      </c>
      <c r="M873" t="str">
        <f>VLOOKUP(Table5[[#This Row],[Store ID]],Table4[[Store ID]:[Store Location]],2)</f>
        <v>Birmingham</v>
      </c>
      <c r="N873" t="str">
        <f>VLOOKUP(Table5[[#This Row],[Store ID]],Table4[[Store ID]:[Region]],3)</f>
        <v>Midlands</v>
      </c>
      <c r="O873" t="str">
        <f>VLOOKUP(Table5[[#This Row],[Product ID]],'Product Master'!$A$2:$D$10,4)</f>
        <v>Supplier F</v>
      </c>
      <c r="P873" s="15">
        <f>Table5[[#This Row],[Total Revenue]]-Table5[[#This Row],[Net Sales Revenue]]</f>
        <v>2822.3999999999996</v>
      </c>
      <c r="Q873" s="15">
        <f>Table5[[#This Row],[Net Sales Revenue]]/Table5[[#This Row],[Units Sold]]</f>
        <v>8.4</v>
      </c>
      <c r="R873">
        <f>VLOOKUP(Table5[[#This Row],[Product ID]],'Product Master'!$A$1:$E$10,5,FALSE)</f>
        <v>4</v>
      </c>
      <c r="S873" s="15">
        <f>Table5[[#This Row],[standard product cost per unit]]*Table5[[#This Row],[Units Sold]]</f>
        <v>7056</v>
      </c>
      <c r="T873" s="15">
        <f>Table5[[#This Row],[Cost of Sales]]-Table5[[#This Row],[Standard cost]]</f>
        <v>564.47999999999956</v>
      </c>
      <c r="U873" s="15">
        <f>Table5[[#This Row],[Net Sales Revenue]]-Table5[[#This Row],[Cost of Sales]]</f>
        <v>7197.1200000000008</v>
      </c>
      <c r="V873" s="17">
        <f>Table5[[#This Row],[GrossProfit]]/Table5[[#This Row],[Net Sales Revenue]]</f>
        <v>0.48571428571428577</v>
      </c>
    </row>
    <row r="874" spans="1:22" ht="14.25" customHeight="1" x14ac:dyDescent="0.25">
      <c r="A874" s="1" t="s">
        <v>959</v>
      </c>
      <c r="B874" s="1" t="s">
        <v>942</v>
      </c>
      <c r="C874" s="1" t="s">
        <v>44</v>
      </c>
      <c r="D874" s="1" t="s">
        <v>33</v>
      </c>
      <c r="E874" s="1" t="s">
        <v>31</v>
      </c>
      <c r="F874" s="1">
        <v>1962</v>
      </c>
      <c r="G874" s="14">
        <v>22</v>
      </c>
      <c r="H874" s="1">
        <v>0.13</v>
      </c>
      <c r="I874" s="14">
        <v>37552.68</v>
      </c>
      <c r="J874" s="14">
        <v>21189.599999999999</v>
      </c>
      <c r="K874" s="15">
        <f>Table5[[#This Row],[Selling Price]]*Table5[[#This Row],[Units Sold]]</f>
        <v>43164</v>
      </c>
      <c r="L874" t="str">
        <f t="shared" si="13"/>
        <v>2024-08</v>
      </c>
      <c r="M874" t="str">
        <f>VLOOKUP(Table5[[#This Row],[Store ID]],Table4[[Store ID]:[Store Location]],2)</f>
        <v>Birmingham</v>
      </c>
      <c r="N874" t="str">
        <f>VLOOKUP(Table5[[#This Row],[Store ID]],Table4[[Store ID]:[Region]],3)</f>
        <v>Midlands</v>
      </c>
      <c r="O874" t="str">
        <f>VLOOKUP(Table5[[#This Row],[Product ID]],'Product Master'!$A$2:$D$10,4)</f>
        <v>Supplier F</v>
      </c>
      <c r="P874" s="15">
        <f>Table5[[#This Row],[Total Revenue]]-Table5[[#This Row],[Net Sales Revenue]]</f>
        <v>5611.32</v>
      </c>
      <c r="Q874" s="15">
        <f>Table5[[#This Row],[Net Sales Revenue]]/Table5[[#This Row],[Units Sold]]</f>
        <v>19.14</v>
      </c>
      <c r="R874">
        <f>VLOOKUP(Table5[[#This Row],[Product ID]],'Product Master'!$A$1:$E$10,5,FALSE)</f>
        <v>10</v>
      </c>
      <c r="S874" s="15">
        <f>Table5[[#This Row],[standard product cost per unit]]*Table5[[#This Row],[Units Sold]]</f>
        <v>19620</v>
      </c>
      <c r="T874" s="15">
        <f>Table5[[#This Row],[Cost of Sales]]-Table5[[#This Row],[Standard cost]]</f>
        <v>1569.5999999999985</v>
      </c>
      <c r="U874" s="15">
        <f>Table5[[#This Row],[Net Sales Revenue]]-Table5[[#This Row],[Cost of Sales]]</f>
        <v>16363.080000000002</v>
      </c>
      <c r="V874" s="17">
        <f>Table5[[#This Row],[GrossProfit]]/Table5[[#This Row],[Net Sales Revenue]]</f>
        <v>0.43573667711598751</v>
      </c>
    </row>
    <row r="875" spans="1:22" ht="14.25" customHeight="1" x14ac:dyDescent="0.25">
      <c r="A875" s="1" t="s">
        <v>960</v>
      </c>
      <c r="B875" s="1" t="s">
        <v>942</v>
      </c>
      <c r="C875" s="1" t="s">
        <v>48</v>
      </c>
      <c r="D875" s="1" t="s">
        <v>6</v>
      </c>
      <c r="E875" s="1" t="s">
        <v>8</v>
      </c>
      <c r="F875" s="1">
        <v>2499</v>
      </c>
      <c r="G875" s="14">
        <v>24</v>
      </c>
      <c r="H875" s="1">
        <v>0.14000000000000001</v>
      </c>
      <c r="I875" s="14">
        <v>51579.360000000001</v>
      </c>
      <c r="J875" s="14">
        <v>32387.040000000001</v>
      </c>
      <c r="K875" s="15">
        <f>Table5[[#This Row],[Selling Price]]*Table5[[#This Row],[Units Sold]]</f>
        <v>59976</v>
      </c>
      <c r="L875" t="str">
        <f t="shared" si="13"/>
        <v>2024-08</v>
      </c>
      <c r="M875" t="str">
        <f>VLOOKUP(Table5[[#This Row],[Store ID]],Table4[[Store ID]:[Store Location]],2)</f>
        <v>London Stratford</v>
      </c>
      <c r="N875" t="str">
        <f>VLOOKUP(Table5[[#This Row],[Store ID]],Table4[[Store ID]:[Region]],3)</f>
        <v>South</v>
      </c>
      <c r="O875" t="str">
        <f>VLOOKUP(Table5[[#This Row],[Product ID]],'Product Master'!$A$2:$D$10,4)</f>
        <v>Supplier A</v>
      </c>
      <c r="P875" s="15">
        <f>Table5[[#This Row],[Total Revenue]]-Table5[[#This Row],[Net Sales Revenue]]</f>
        <v>8396.64</v>
      </c>
      <c r="Q875" s="15">
        <f>Table5[[#This Row],[Net Sales Revenue]]/Table5[[#This Row],[Units Sold]]</f>
        <v>20.64</v>
      </c>
      <c r="R875">
        <f>VLOOKUP(Table5[[#This Row],[Product ID]],'Product Master'!$A$1:$E$10,5,FALSE)</f>
        <v>12</v>
      </c>
      <c r="S875" s="15">
        <f>Table5[[#This Row],[standard product cost per unit]]*Table5[[#This Row],[Units Sold]]</f>
        <v>29988</v>
      </c>
      <c r="T875" s="15">
        <f>Table5[[#This Row],[Cost of Sales]]-Table5[[#This Row],[Standard cost]]</f>
        <v>2399.0400000000009</v>
      </c>
      <c r="U875" s="15">
        <f>Table5[[#This Row],[Net Sales Revenue]]-Table5[[#This Row],[Cost of Sales]]</f>
        <v>19192.32</v>
      </c>
      <c r="V875" s="17">
        <f>Table5[[#This Row],[GrossProfit]]/Table5[[#This Row],[Net Sales Revenue]]</f>
        <v>0.37209302325581395</v>
      </c>
    </row>
    <row r="876" spans="1:22" ht="14.25" customHeight="1" x14ac:dyDescent="0.25">
      <c r="A876" s="1" t="s">
        <v>961</v>
      </c>
      <c r="B876" s="1" t="s">
        <v>942</v>
      </c>
      <c r="C876" s="1" t="s">
        <v>48</v>
      </c>
      <c r="D876" s="1" t="s">
        <v>10</v>
      </c>
      <c r="E876" s="1" t="s">
        <v>8</v>
      </c>
      <c r="F876" s="1">
        <v>2257</v>
      </c>
      <c r="G876" s="14">
        <v>50</v>
      </c>
      <c r="H876" s="1">
        <v>0.14000000000000001</v>
      </c>
      <c r="I876" s="14">
        <v>97051</v>
      </c>
      <c r="J876" s="14">
        <v>68251.679999999993</v>
      </c>
      <c r="K876" s="15">
        <f>Table5[[#This Row],[Selling Price]]*Table5[[#This Row],[Units Sold]]</f>
        <v>112850</v>
      </c>
      <c r="L876" t="str">
        <f t="shared" si="13"/>
        <v>2024-08</v>
      </c>
      <c r="M876" t="str">
        <f>VLOOKUP(Table5[[#This Row],[Store ID]],Table4[[Store ID]:[Store Location]],2)</f>
        <v>London Stratford</v>
      </c>
      <c r="N876" t="str">
        <f>VLOOKUP(Table5[[#This Row],[Store ID]],Table4[[Store ID]:[Region]],3)</f>
        <v>South</v>
      </c>
      <c r="O876" t="str">
        <f>VLOOKUP(Table5[[#This Row],[Product ID]],'Product Master'!$A$2:$D$10,4)</f>
        <v>Supplier B</v>
      </c>
      <c r="P876" s="15">
        <f>Table5[[#This Row],[Total Revenue]]-Table5[[#This Row],[Net Sales Revenue]]</f>
        <v>15799</v>
      </c>
      <c r="Q876" s="15">
        <f>Table5[[#This Row],[Net Sales Revenue]]/Table5[[#This Row],[Units Sold]]</f>
        <v>43</v>
      </c>
      <c r="R876">
        <f>VLOOKUP(Table5[[#This Row],[Product ID]],'Product Master'!$A$1:$E$10,5,FALSE)</f>
        <v>28</v>
      </c>
      <c r="S876" s="15">
        <f>Table5[[#This Row],[standard product cost per unit]]*Table5[[#This Row],[Units Sold]]</f>
        <v>63196</v>
      </c>
      <c r="T876" s="15">
        <f>Table5[[#This Row],[Cost of Sales]]-Table5[[#This Row],[Standard cost]]</f>
        <v>5055.679999999993</v>
      </c>
      <c r="U876" s="15">
        <f>Table5[[#This Row],[Net Sales Revenue]]-Table5[[#This Row],[Cost of Sales]]</f>
        <v>28799.320000000007</v>
      </c>
      <c r="V876" s="17">
        <f>Table5[[#This Row],[GrossProfit]]/Table5[[#This Row],[Net Sales Revenue]]</f>
        <v>0.2967441860465117</v>
      </c>
    </row>
    <row r="877" spans="1:22" ht="14.25" customHeight="1" x14ac:dyDescent="0.25">
      <c r="A877" s="1" t="s">
        <v>962</v>
      </c>
      <c r="B877" s="1" t="s">
        <v>942</v>
      </c>
      <c r="C877" s="1" t="s">
        <v>48</v>
      </c>
      <c r="D877" s="1" t="s">
        <v>13</v>
      </c>
      <c r="E877" s="1" t="s">
        <v>15</v>
      </c>
      <c r="F877" s="1">
        <v>1496</v>
      </c>
      <c r="G877" s="14">
        <v>28</v>
      </c>
      <c r="H877" s="1">
        <v>0.15</v>
      </c>
      <c r="I877" s="14">
        <v>35604.800000000003</v>
      </c>
      <c r="J877" s="14">
        <v>24235.200000000001</v>
      </c>
      <c r="K877" s="15">
        <f>Table5[[#This Row],[Selling Price]]*Table5[[#This Row],[Units Sold]]</f>
        <v>41888</v>
      </c>
      <c r="L877" t="str">
        <f t="shared" si="13"/>
        <v>2024-08</v>
      </c>
      <c r="M877" t="str">
        <f>VLOOKUP(Table5[[#This Row],[Store ID]],Table4[[Store ID]:[Store Location]],2)</f>
        <v>London Stratford</v>
      </c>
      <c r="N877" t="str">
        <f>VLOOKUP(Table5[[#This Row],[Store ID]],Table4[[Store ID]:[Region]],3)</f>
        <v>South</v>
      </c>
      <c r="O877" t="str">
        <f>VLOOKUP(Table5[[#This Row],[Product ID]],'Product Master'!$A$2:$D$10,4)</f>
        <v>Supplier C</v>
      </c>
      <c r="P877" s="15">
        <f>Table5[[#This Row],[Total Revenue]]-Table5[[#This Row],[Net Sales Revenue]]</f>
        <v>6283.1999999999971</v>
      </c>
      <c r="Q877" s="15">
        <f>Table5[[#This Row],[Net Sales Revenue]]/Table5[[#This Row],[Units Sold]]</f>
        <v>23.8</v>
      </c>
      <c r="R877">
        <f>VLOOKUP(Table5[[#This Row],[Product ID]],'Product Master'!$A$1:$E$10,5,FALSE)</f>
        <v>15</v>
      </c>
      <c r="S877" s="15">
        <f>Table5[[#This Row],[standard product cost per unit]]*Table5[[#This Row],[Units Sold]]</f>
        <v>22440</v>
      </c>
      <c r="T877" s="15">
        <f>Table5[[#This Row],[Cost of Sales]]-Table5[[#This Row],[Standard cost]]</f>
        <v>1795.2000000000007</v>
      </c>
      <c r="U877" s="15">
        <f>Table5[[#This Row],[Net Sales Revenue]]-Table5[[#This Row],[Cost of Sales]]</f>
        <v>11369.600000000002</v>
      </c>
      <c r="V877" s="17">
        <f>Table5[[#This Row],[GrossProfit]]/Table5[[#This Row],[Net Sales Revenue]]</f>
        <v>0.31932773109243701</v>
      </c>
    </row>
    <row r="878" spans="1:22" ht="14.25" customHeight="1" x14ac:dyDescent="0.25">
      <c r="A878" s="1" t="s">
        <v>963</v>
      </c>
      <c r="B878" s="1" t="s">
        <v>942</v>
      </c>
      <c r="C878" s="1" t="s">
        <v>48</v>
      </c>
      <c r="D878" s="1" t="s">
        <v>17</v>
      </c>
      <c r="E878" s="1" t="s">
        <v>15</v>
      </c>
      <c r="F878" s="1">
        <v>2833</v>
      </c>
      <c r="G878" s="14">
        <v>35</v>
      </c>
      <c r="H878" s="1">
        <v>0.16</v>
      </c>
      <c r="I878" s="14">
        <v>83290.2</v>
      </c>
      <c r="J878" s="14">
        <v>55073.52</v>
      </c>
      <c r="K878" s="15">
        <f>Table5[[#This Row],[Selling Price]]*Table5[[#This Row],[Units Sold]]</f>
        <v>99155</v>
      </c>
      <c r="L878" t="str">
        <f t="shared" si="13"/>
        <v>2024-08</v>
      </c>
      <c r="M878" t="str">
        <f>VLOOKUP(Table5[[#This Row],[Store ID]],Table4[[Store ID]:[Store Location]],2)</f>
        <v>London Stratford</v>
      </c>
      <c r="N878" t="str">
        <f>VLOOKUP(Table5[[#This Row],[Store ID]],Table4[[Store ID]:[Region]],3)</f>
        <v>South</v>
      </c>
      <c r="O878" t="str">
        <f>VLOOKUP(Table5[[#This Row],[Product ID]],'Product Master'!$A$2:$D$10,4)</f>
        <v>Supplier C</v>
      </c>
      <c r="P878" s="15">
        <f>Table5[[#This Row],[Total Revenue]]-Table5[[#This Row],[Net Sales Revenue]]</f>
        <v>15864.800000000003</v>
      </c>
      <c r="Q878" s="15">
        <f>Table5[[#This Row],[Net Sales Revenue]]/Table5[[#This Row],[Units Sold]]</f>
        <v>29.4</v>
      </c>
      <c r="R878">
        <f>VLOOKUP(Table5[[#This Row],[Product ID]],'Product Master'!$A$1:$E$10,5,FALSE)</f>
        <v>18</v>
      </c>
      <c r="S878" s="15">
        <f>Table5[[#This Row],[standard product cost per unit]]*Table5[[#This Row],[Units Sold]]</f>
        <v>50994</v>
      </c>
      <c r="T878" s="15">
        <f>Table5[[#This Row],[Cost of Sales]]-Table5[[#This Row],[Standard cost]]</f>
        <v>4079.5199999999968</v>
      </c>
      <c r="U878" s="15">
        <f>Table5[[#This Row],[Net Sales Revenue]]-Table5[[#This Row],[Cost of Sales]]</f>
        <v>28216.68</v>
      </c>
      <c r="V878" s="17">
        <f>Table5[[#This Row],[GrossProfit]]/Table5[[#This Row],[Net Sales Revenue]]</f>
        <v>0.33877551020408164</v>
      </c>
    </row>
    <row r="879" spans="1:22" ht="14.25" customHeight="1" x14ac:dyDescent="0.25">
      <c r="A879" s="1" t="s">
        <v>964</v>
      </c>
      <c r="B879" s="1" t="s">
        <v>942</v>
      </c>
      <c r="C879" s="1" t="s">
        <v>48</v>
      </c>
      <c r="D879" s="1" t="s">
        <v>19</v>
      </c>
      <c r="E879" s="1" t="s">
        <v>21</v>
      </c>
      <c r="F879" s="1">
        <v>1614</v>
      </c>
      <c r="G879" s="14">
        <v>18</v>
      </c>
      <c r="H879" s="1">
        <v>0.17</v>
      </c>
      <c r="I879" s="14">
        <v>24113.16</v>
      </c>
      <c r="J879" s="14">
        <v>15688.08</v>
      </c>
      <c r="K879" s="15">
        <f>Table5[[#This Row],[Selling Price]]*Table5[[#This Row],[Units Sold]]</f>
        <v>29052</v>
      </c>
      <c r="L879" t="str">
        <f t="shared" si="13"/>
        <v>2024-08</v>
      </c>
      <c r="M879" t="str">
        <f>VLOOKUP(Table5[[#This Row],[Store ID]],Table4[[Store ID]:[Store Location]],2)</f>
        <v>London Stratford</v>
      </c>
      <c r="N879" t="str">
        <f>VLOOKUP(Table5[[#This Row],[Store ID]],Table4[[Store ID]:[Region]],3)</f>
        <v>South</v>
      </c>
      <c r="O879" t="str">
        <f>VLOOKUP(Table5[[#This Row],[Product ID]],'Product Master'!$A$2:$D$10,4)</f>
        <v>Supplier D</v>
      </c>
      <c r="P879" s="15">
        <f>Table5[[#This Row],[Total Revenue]]-Table5[[#This Row],[Net Sales Revenue]]</f>
        <v>4938.84</v>
      </c>
      <c r="Q879" s="15">
        <f>Table5[[#This Row],[Net Sales Revenue]]/Table5[[#This Row],[Units Sold]]</f>
        <v>14.94</v>
      </c>
      <c r="R879">
        <f>VLOOKUP(Table5[[#This Row],[Product ID]],'Product Master'!$A$1:$E$10,5,FALSE)</f>
        <v>9</v>
      </c>
      <c r="S879" s="15">
        <f>Table5[[#This Row],[standard product cost per unit]]*Table5[[#This Row],[Units Sold]]</f>
        <v>14526</v>
      </c>
      <c r="T879" s="15">
        <f>Table5[[#This Row],[Cost of Sales]]-Table5[[#This Row],[Standard cost]]</f>
        <v>1162.08</v>
      </c>
      <c r="U879" s="15">
        <f>Table5[[#This Row],[Net Sales Revenue]]-Table5[[#This Row],[Cost of Sales]]</f>
        <v>8425.08</v>
      </c>
      <c r="V879" s="17">
        <f>Table5[[#This Row],[GrossProfit]]/Table5[[#This Row],[Net Sales Revenue]]</f>
        <v>0.3493975903614458</v>
      </c>
    </row>
    <row r="880" spans="1:22" ht="14.25" customHeight="1" x14ac:dyDescent="0.25">
      <c r="A880" s="1" t="s">
        <v>965</v>
      </c>
      <c r="B880" s="1" t="s">
        <v>942</v>
      </c>
      <c r="C880" s="1" t="s">
        <v>48</v>
      </c>
      <c r="D880" s="1" t="s">
        <v>23</v>
      </c>
      <c r="E880" s="1" t="s">
        <v>21</v>
      </c>
      <c r="F880" s="1">
        <v>2838</v>
      </c>
      <c r="G880" s="14">
        <v>30</v>
      </c>
      <c r="H880" s="1">
        <v>0.15</v>
      </c>
      <c r="I880" s="14">
        <v>72369</v>
      </c>
      <c r="J880" s="14">
        <v>42910.559999999998</v>
      </c>
      <c r="K880" s="15">
        <f>Table5[[#This Row],[Selling Price]]*Table5[[#This Row],[Units Sold]]</f>
        <v>85140</v>
      </c>
      <c r="L880" t="str">
        <f t="shared" si="13"/>
        <v>2024-08</v>
      </c>
      <c r="M880" t="str">
        <f>VLOOKUP(Table5[[#This Row],[Store ID]],Table4[[Store ID]:[Store Location]],2)</f>
        <v>London Stratford</v>
      </c>
      <c r="N880" t="str">
        <f>VLOOKUP(Table5[[#This Row],[Store ID]],Table4[[Store ID]:[Region]],3)</f>
        <v>South</v>
      </c>
      <c r="O880" t="str">
        <f>VLOOKUP(Table5[[#This Row],[Product ID]],'Product Master'!$A$2:$D$10,4)</f>
        <v>Supplier D</v>
      </c>
      <c r="P880" s="15">
        <f>Table5[[#This Row],[Total Revenue]]-Table5[[#This Row],[Net Sales Revenue]]</f>
        <v>12771</v>
      </c>
      <c r="Q880" s="15">
        <f>Table5[[#This Row],[Net Sales Revenue]]/Table5[[#This Row],[Units Sold]]</f>
        <v>25.5</v>
      </c>
      <c r="R880">
        <f>VLOOKUP(Table5[[#This Row],[Product ID]],'Product Master'!$A$1:$E$10,5,FALSE)</f>
        <v>14</v>
      </c>
      <c r="S880" s="15">
        <f>Table5[[#This Row],[standard product cost per unit]]*Table5[[#This Row],[Units Sold]]</f>
        <v>39732</v>
      </c>
      <c r="T880" s="15">
        <f>Table5[[#This Row],[Cost of Sales]]-Table5[[#This Row],[Standard cost]]</f>
        <v>3178.5599999999977</v>
      </c>
      <c r="U880" s="15">
        <f>Table5[[#This Row],[Net Sales Revenue]]-Table5[[#This Row],[Cost of Sales]]</f>
        <v>29458.440000000002</v>
      </c>
      <c r="V880" s="17">
        <f>Table5[[#This Row],[GrossProfit]]/Table5[[#This Row],[Net Sales Revenue]]</f>
        <v>0.40705882352941181</v>
      </c>
    </row>
    <row r="881" spans="1:22" ht="14.25" customHeight="1" x14ac:dyDescent="0.25">
      <c r="A881" s="1" t="s">
        <v>966</v>
      </c>
      <c r="B881" s="1" t="s">
        <v>942</v>
      </c>
      <c r="C881" s="1" t="s">
        <v>48</v>
      </c>
      <c r="D881" s="1" t="s">
        <v>25</v>
      </c>
      <c r="E881" s="1" t="s">
        <v>27</v>
      </c>
      <c r="F881" s="1">
        <v>1610</v>
      </c>
      <c r="G881" s="14">
        <v>40</v>
      </c>
      <c r="H881" s="1">
        <v>0.14000000000000001</v>
      </c>
      <c r="I881" s="14">
        <v>55384</v>
      </c>
      <c r="J881" s="14">
        <v>34776</v>
      </c>
      <c r="K881" s="15">
        <f>Table5[[#This Row],[Selling Price]]*Table5[[#This Row],[Units Sold]]</f>
        <v>64400</v>
      </c>
      <c r="L881" t="str">
        <f t="shared" si="13"/>
        <v>2024-08</v>
      </c>
      <c r="M881" t="str">
        <f>VLOOKUP(Table5[[#This Row],[Store ID]],Table4[[Store ID]:[Store Location]],2)</f>
        <v>London Stratford</v>
      </c>
      <c r="N881" t="str">
        <f>VLOOKUP(Table5[[#This Row],[Store ID]],Table4[[Store ID]:[Region]],3)</f>
        <v>South</v>
      </c>
      <c r="O881" t="str">
        <f>VLOOKUP(Table5[[#This Row],[Product ID]],'Product Master'!$A$2:$D$10,4)</f>
        <v>Supplier E</v>
      </c>
      <c r="P881" s="15">
        <f>Table5[[#This Row],[Total Revenue]]-Table5[[#This Row],[Net Sales Revenue]]</f>
        <v>9016</v>
      </c>
      <c r="Q881" s="15">
        <f>Table5[[#This Row],[Net Sales Revenue]]/Table5[[#This Row],[Units Sold]]</f>
        <v>34.4</v>
      </c>
      <c r="R881">
        <f>VLOOKUP(Table5[[#This Row],[Product ID]],'Product Master'!$A$1:$E$10,5,FALSE)</f>
        <v>20</v>
      </c>
      <c r="S881" s="15">
        <f>Table5[[#This Row],[standard product cost per unit]]*Table5[[#This Row],[Units Sold]]</f>
        <v>32200</v>
      </c>
      <c r="T881" s="15">
        <f>Table5[[#This Row],[Cost of Sales]]-Table5[[#This Row],[Standard cost]]</f>
        <v>2576</v>
      </c>
      <c r="U881" s="15">
        <f>Table5[[#This Row],[Net Sales Revenue]]-Table5[[#This Row],[Cost of Sales]]</f>
        <v>20608</v>
      </c>
      <c r="V881" s="17">
        <f>Table5[[#This Row],[GrossProfit]]/Table5[[#This Row],[Net Sales Revenue]]</f>
        <v>0.37209302325581395</v>
      </c>
    </row>
    <row r="882" spans="1:22" ht="14.25" customHeight="1" x14ac:dyDescent="0.25">
      <c r="A882" s="1" t="s">
        <v>967</v>
      </c>
      <c r="B882" s="1" t="s">
        <v>942</v>
      </c>
      <c r="C882" s="1" t="s">
        <v>48</v>
      </c>
      <c r="D882" s="1" t="s">
        <v>29</v>
      </c>
      <c r="E882" s="1" t="s">
        <v>31</v>
      </c>
      <c r="F882" s="1">
        <v>2921</v>
      </c>
      <c r="G882" s="14">
        <v>10</v>
      </c>
      <c r="H882" s="1">
        <v>0.15</v>
      </c>
      <c r="I882" s="14">
        <v>24828.5</v>
      </c>
      <c r="J882" s="14">
        <v>12618.72</v>
      </c>
      <c r="K882" s="15">
        <f>Table5[[#This Row],[Selling Price]]*Table5[[#This Row],[Units Sold]]</f>
        <v>29210</v>
      </c>
      <c r="L882" t="str">
        <f t="shared" si="13"/>
        <v>2024-08</v>
      </c>
      <c r="M882" t="str">
        <f>VLOOKUP(Table5[[#This Row],[Store ID]],Table4[[Store ID]:[Store Location]],2)</f>
        <v>London Stratford</v>
      </c>
      <c r="N882" t="str">
        <f>VLOOKUP(Table5[[#This Row],[Store ID]],Table4[[Store ID]:[Region]],3)</f>
        <v>South</v>
      </c>
      <c r="O882" t="str">
        <f>VLOOKUP(Table5[[#This Row],[Product ID]],'Product Master'!$A$2:$D$10,4)</f>
        <v>Supplier F</v>
      </c>
      <c r="P882" s="15">
        <f>Table5[[#This Row],[Total Revenue]]-Table5[[#This Row],[Net Sales Revenue]]</f>
        <v>4381.5</v>
      </c>
      <c r="Q882" s="15">
        <f>Table5[[#This Row],[Net Sales Revenue]]/Table5[[#This Row],[Units Sold]]</f>
        <v>8.5</v>
      </c>
      <c r="R882">
        <f>VLOOKUP(Table5[[#This Row],[Product ID]],'Product Master'!$A$1:$E$10,5,FALSE)</f>
        <v>4</v>
      </c>
      <c r="S882" s="15">
        <f>Table5[[#This Row],[standard product cost per unit]]*Table5[[#This Row],[Units Sold]]</f>
        <v>11684</v>
      </c>
      <c r="T882" s="15">
        <f>Table5[[#This Row],[Cost of Sales]]-Table5[[#This Row],[Standard cost]]</f>
        <v>934.71999999999935</v>
      </c>
      <c r="U882" s="15">
        <f>Table5[[#This Row],[Net Sales Revenue]]-Table5[[#This Row],[Cost of Sales]]</f>
        <v>12209.78</v>
      </c>
      <c r="V882" s="17">
        <f>Table5[[#This Row],[GrossProfit]]/Table5[[#This Row],[Net Sales Revenue]]</f>
        <v>0.49176470588235299</v>
      </c>
    </row>
    <row r="883" spans="1:22" ht="14.25" customHeight="1" x14ac:dyDescent="0.25">
      <c r="A883" s="1" t="s">
        <v>968</v>
      </c>
      <c r="B883" s="1" t="s">
        <v>942</v>
      </c>
      <c r="C883" s="1" t="s">
        <v>48</v>
      </c>
      <c r="D883" s="1" t="s">
        <v>33</v>
      </c>
      <c r="E883" s="1" t="s">
        <v>31</v>
      </c>
      <c r="F883" s="1">
        <v>3031</v>
      </c>
      <c r="G883" s="14">
        <v>22</v>
      </c>
      <c r="H883" s="1">
        <v>0.13</v>
      </c>
      <c r="I883" s="14">
        <v>58013.34</v>
      </c>
      <c r="J883" s="14">
        <v>32734.799999999999</v>
      </c>
      <c r="K883" s="15">
        <f>Table5[[#This Row],[Selling Price]]*Table5[[#This Row],[Units Sold]]</f>
        <v>66682</v>
      </c>
      <c r="L883" t="str">
        <f t="shared" si="13"/>
        <v>2024-08</v>
      </c>
      <c r="M883" t="str">
        <f>VLOOKUP(Table5[[#This Row],[Store ID]],Table4[[Store ID]:[Store Location]],2)</f>
        <v>London Stratford</v>
      </c>
      <c r="N883" t="str">
        <f>VLOOKUP(Table5[[#This Row],[Store ID]],Table4[[Store ID]:[Region]],3)</f>
        <v>South</v>
      </c>
      <c r="O883" t="str">
        <f>VLOOKUP(Table5[[#This Row],[Product ID]],'Product Master'!$A$2:$D$10,4)</f>
        <v>Supplier F</v>
      </c>
      <c r="P883" s="15">
        <f>Table5[[#This Row],[Total Revenue]]-Table5[[#This Row],[Net Sales Revenue]]</f>
        <v>8668.6600000000035</v>
      </c>
      <c r="Q883" s="15">
        <f>Table5[[#This Row],[Net Sales Revenue]]/Table5[[#This Row],[Units Sold]]</f>
        <v>19.14</v>
      </c>
      <c r="R883">
        <f>VLOOKUP(Table5[[#This Row],[Product ID]],'Product Master'!$A$1:$E$10,5,FALSE)</f>
        <v>10</v>
      </c>
      <c r="S883" s="15">
        <f>Table5[[#This Row],[standard product cost per unit]]*Table5[[#This Row],[Units Sold]]</f>
        <v>30310</v>
      </c>
      <c r="T883" s="15">
        <f>Table5[[#This Row],[Cost of Sales]]-Table5[[#This Row],[Standard cost]]</f>
        <v>2424.7999999999993</v>
      </c>
      <c r="U883" s="15">
        <f>Table5[[#This Row],[Net Sales Revenue]]-Table5[[#This Row],[Cost of Sales]]</f>
        <v>25278.539999999997</v>
      </c>
      <c r="V883" s="17">
        <f>Table5[[#This Row],[GrossProfit]]/Table5[[#This Row],[Net Sales Revenue]]</f>
        <v>0.43573667711598746</v>
      </c>
    </row>
    <row r="884" spans="1:22" ht="14.25" customHeight="1" x14ac:dyDescent="0.25">
      <c r="A884" s="1" t="s">
        <v>969</v>
      </c>
      <c r="B884" s="1" t="s">
        <v>942</v>
      </c>
      <c r="C884" s="1" t="s">
        <v>52</v>
      </c>
      <c r="D884" s="1" t="s">
        <v>6</v>
      </c>
      <c r="E884" s="1" t="s">
        <v>8</v>
      </c>
      <c r="F884" s="1">
        <v>1782</v>
      </c>
      <c r="G884" s="14">
        <v>24</v>
      </c>
      <c r="H884" s="1">
        <v>0.15</v>
      </c>
      <c r="I884" s="14">
        <v>36352.800000000003</v>
      </c>
      <c r="J884" s="14">
        <v>23094.720000000001</v>
      </c>
      <c r="K884" s="15">
        <f>Table5[[#This Row],[Selling Price]]*Table5[[#This Row],[Units Sold]]</f>
        <v>42768</v>
      </c>
      <c r="L884" t="str">
        <f t="shared" si="13"/>
        <v>2024-08</v>
      </c>
      <c r="M884" t="str">
        <f>VLOOKUP(Table5[[#This Row],[Store ID]],Table4[[Store ID]:[Store Location]],2)</f>
        <v>Glasgow</v>
      </c>
      <c r="N884" t="str">
        <f>VLOOKUP(Table5[[#This Row],[Store ID]],Table4[[Store ID]:[Region]],3)</f>
        <v>Scotland</v>
      </c>
      <c r="O884" t="str">
        <f>VLOOKUP(Table5[[#This Row],[Product ID]],'Product Master'!$A$2:$D$10,4)</f>
        <v>Supplier A</v>
      </c>
      <c r="P884" s="15">
        <f>Table5[[#This Row],[Total Revenue]]-Table5[[#This Row],[Net Sales Revenue]]</f>
        <v>6415.1999999999971</v>
      </c>
      <c r="Q884" s="15">
        <f>Table5[[#This Row],[Net Sales Revenue]]/Table5[[#This Row],[Units Sold]]</f>
        <v>20.400000000000002</v>
      </c>
      <c r="R884">
        <f>VLOOKUP(Table5[[#This Row],[Product ID]],'Product Master'!$A$1:$E$10,5,FALSE)</f>
        <v>12</v>
      </c>
      <c r="S884" s="15">
        <f>Table5[[#This Row],[standard product cost per unit]]*Table5[[#This Row],[Units Sold]]</f>
        <v>21384</v>
      </c>
      <c r="T884" s="15">
        <f>Table5[[#This Row],[Cost of Sales]]-Table5[[#This Row],[Standard cost]]</f>
        <v>1710.7200000000012</v>
      </c>
      <c r="U884" s="15">
        <f>Table5[[#This Row],[Net Sales Revenue]]-Table5[[#This Row],[Cost of Sales]]</f>
        <v>13258.080000000002</v>
      </c>
      <c r="V884" s="17">
        <f>Table5[[#This Row],[GrossProfit]]/Table5[[#This Row],[Net Sales Revenue]]</f>
        <v>0.36470588235294121</v>
      </c>
    </row>
    <row r="885" spans="1:22" ht="14.25" customHeight="1" x14ac:dyDescent="0.25">
      <c r="A885" s="1" t="s">
        <v>970</v>
      </c>
      <c r="B885" s="1" t="s">
        <v>942</v>
      </c>
      <c r="C885" s="1" t="s">
        <v>52</v>
      </c>
      <c r="D885" s="1" t="s">
        <v>10</v>
      </c>
      <c r="E885" s="1" t="s">
        <v>8</v>
      </c>
      <c r="F885" s="1">
        <v>2521</v>
      </c>
      <c r="G885" s="14">
        <v>50</v>
      </c>
      <c r="H885" s="1">
        <v>0.14000000000000001</v>
      </c>
      <c r="I885" s="14">
        <v>108403</v>
      </c>
      <c r="J885" s="14">
        <v>76235.039999999994</v>
      </c>
      <c r="K885" s="15">
        <f>Table5[[#This Row],[Selling Price]]*Table5[[#This Row],[Units Sold]]</f>
        <v>126050</v>
      </c>
      <c r="L885" t="str">
        <f t="shared" si="13"/>
        <v>2024-08</v>
      </c>
      <c r="M885" t="str">
        <f>VLOOKUP(Table5[[#This Row],[Store ID]],Table4[[Store ID]:[Store Location]],2)</f>
        <v>Glasgow</v>
      </c>
      <c r="N885" t="str">
        <f>VLOOKUP(Table5[[#This Row],[Store ID]],Table4[[Store ID]:[Region]],3)</f>
        <v>Scotland</v>
      </c>
      <c r="O885" t="str">
        <f>VLOOKUP(Table5[[#This Row],[Product ID]],'Product Master'!$A$2:$D$10,4)</f>
        <v>Supplier B</v>
      </c>
      <c r="P885" s="15">
        <f>Table5[[#This Row],[Total Revenue]]-Table5[[#This Row],[Net Sales Revenue]]</f>
        <v>17647</v>
      </c>
      <c r="Q885" s="15">
        <f>Table5[[#This Row],[Net Sales Revenue]]/Table5[[#This Row],[Units Sold]]</f>
        <v>43</v>
      </c>
      <c r="R885">
        <f>VLOOKUP(Table5[[#This Row],[Product ID]],'Product Master'!$A$1:$E$10,5,FALSE)</f>
        <v>28</v>
      </c>
      <c r="S885" s="15">
        <f>Table5[[#This Row],[standard product cost per unit]]*Table5[[#This Row],[Units Sold]]</f>
        <v>70588</v>
      </c>
      <c r="T885" s="15">
        <f>Table5[[#This Row],[Cost of Sales]]-Table5[[#This Row],[Standard cost]]</f>
        <v>5647.0399999999936</v>
      </c>
      <c r="U885" s="15">
        <f>Table5[[#This Row],[Net Sales Revenue]]-Table5[[#This Row],[Cost of Sales]]</f>
        <v>32167.960000000006</v>
      </c>
      <c r="V885" s="17">
        <f>Table5[[#This Row],[GrossProfit]]/Table5[[#This Row],[Net Sales Revenue]]</f>
        <v>0.2967441860465117</v>
      </c>
    </row>
    <row r="886" spans="1:22" ht="14.25" customHeight="1" x14ac:dyDescent="0.25">
      <c r="A886" s="1" t="s">
        <v>971</v>
      </c>
      <c r="B886" s="1" t="s">
        <v>942</v>
      </c>
      <c r="C886" s="1" t="s">
        <v>52</v>
      </c>
      <c r="D886" s="1" t="s">
        <v>13</v>
      </c>
      <c r="E886" s="1" t="s">
        <v>15</v>
      </c>
      <c r="F886" s="1">
        <v>3062</v>
      </c>
      <c r="G886" s="14">
        <v>28</v>
      </c>
      <c r="H886" s="1">
        <v>0.15</v>
      </c>
      <c r="I886" s="14">
        <v>72875.600000000006</v>
      </c>
      <c r="J886" s="14">
        <v>49604.4</v>
      </c>
      <c r="K886" s="15">
        <f>Table5[[#This Row],[Selling Price]]*Table5[[#This Row],[Units Sold]]</f>
        <v>85736</v>
      </c>
      <c r="L886" t="str">
        <f t="shared" si="13"/>
        <v>2024-08</v>
      </c>
      <c r="M886" t="str">
        <f>VLOOKUP(Table5[[#This Row],[Store ID]],Table4[[Store ID]:[Store Location]],2)</f>
        <v>Glasgow</v>
      </c>
      <c r="N886" t="str">
        <f>VLOOKUP(Table5[[#This Row],[Store ID]],Table4[[Store ID]:[Region]],3)</f>
        <v>Scotland</v>
      </c>
      <c r="O886" t="str">
        <f>VLOOKUP(Table5[[#This Row],[Product ID]],'Product Master'!$A$2:$D$10,4)</f>
        <v>Supplier C</v>
      </c>
      <c r="P886" s="15">
        <f>Table5[[#This Row],[Total Revenue]]-Table5[[#This Row],[Net Sales Revenue]]</f>
        <v>12860.399999999994</v>
      </c>
      <c r="Q886" s="15">
        <f>Table5[[#This Row],[Net Sales Revenue]]/Table5[[#This Row],[Units Sold]]</f>
        <v>23.8</v>
      </c>
      <c r="R886">
        <f>VLOOKUP(Table5[[#This Row],[Product ID]],'Product Master'!$A$1:$E$10,5,FALSE)</f>
        <v>15</v>
      </c>
      <c r="S886" s="15">
        <f>Table5[[#This Row],[standard product cost per unit]]*Table5[[#This Row],[Units Sold]]</f>
        <v>45930</v>
      </c>
      <c r="T886" s="15">
        <f>Table5[[#This Row],[Cost of Sales]]-Table5[[#This Row],[Standard cost]]</f>
        <v>3674.4000000000015</v>
      </c>
      <c r="U886" s="15">
        <f>Table5[[#This Row],[Net Sales Revenue]]-Table5[[#This Row],[Cost of Sales]]</f>
        <v>23271.200000000004</v>
      </c>
      <c r="V886" s="17">
        <f>Table5[[#This Row],[GrossProfit]]/Table5[[#This Row],[Net Sales Revenue]]</f>
        <v>0.31932773109243701</v>
      </c>
    </row>
    <row r="887" spans="1:22" ht="14.25" customHeight="1" x14ac:dyDescent="0.25">
      <c r="A887" s="1" t="s">
        <v>972</v>
      </c>
      <c r="B887" s="1" t="s">
        <v>942</v>
      </c>
      <c r="C887" s="1" t="s">
        <v>52</v>
      </c>
      <c r="D887" s="1" t="s">
        <v>17</v>
      </c>
      <c r="E887" s="1" t="s">
        <v>15</v>
      </c>
      <c r="F887" s="1">
        <v>2002</v>
      </c>
      <c r="G887" s="14">
        <v>35</v>
      </c>
      <c r="H887" s="1">
        <v>0.14000000000000001</v>
      </c>
      <c r="I887" s="14">
        <v>60260.2</v>
      </c>
      <c r="J887" s="14">
        <v>38918.879999999997</v>
      </c>
      <c r="K887" s="15">
        <f>Table5[[#This Row],[Selling Price]]*Table5[[#This Row],[Units Sold]]</f>
        <v>70070</v>
      </c>
      <c r="L887" t="str">
        <f t="shared" si="13"/>
        <v>2024-08</v>
      </c>
      <c r="M887" t="str">
        <f>VLOOKUP(Table5[[#This Row],[Store ID]],Table4[[Store ID]:[Store Location]],2)</f>
        <v>Glasgow</v>
      </c>
      <c r="N887" t="str">
        <f>VLOOKUP(Table5[[#This Row],[Store ID]],Table4[[Store ID]:[Region]],3)</f>
        <v>Scotland</v>
      </c>
      <c r="O887" t="str">
        <f>VLOOKUP(Table5[[#This Row],[Product ID]],'Product Master'!$A$2:$D$10,4)</f>
        <v>Supplier C</v>
      </c>
      <c r="P887" s="15">
        <f>Table5[[#This Row],[Total Revenue]]-Table5[[#This Row],[Net Sales Revenue]]</f>
        <v>9809.8000000000029</v>
      </c>
      <c r="Q887" s="15">
        <f>Table5[[#This Row],[Net Sales Revenue]]/Table5[[#This Row],[Units Sold]]</f>
        <v>30.099999999999998</v>
      </c>
      <c r="R887">
        <f>VLOOKUP(Table5[[#This Row],[Product ID]],'Product Master'!$A$1:$E$10,5,FALSE)</f>
        <v>18</v>
      </c>
      <c r="S887" s="15">
        <f>Table5[[#This Row],[standard product cost per unit]]*Table5[[#This Row],[Units Sold]]</f>
        <v>36036</v>
      </c>
      <c r="T887" s="15">
        <f>Table5[[#This Row],[Cost of Sales]]-Table5[[#This Row],[Standard cost]]</f>
        <v>2882.8799999999974</v>
      </c>
      <c r="U887" s="15">
        <f>Table5[[#This Row],[Net Sales Revenue]]-Table5[[#This Row],[Cost of Sales]]</f>
        <v>21341.32</v>
      </c>
      <c r="V887" s="17">
        <f>Table5[[#This Row],[GrossProfit]]/Table5[[#This Row],[Net Sales Revenue]]</f>
        <v>0.35415282392026581</v>
      </c>
    </row>
    <row r="888" spans="1:22" ht="14.25" customHeight="1" x14ac:dyDescent="0.25">
      <c r="A888" s="1" t="s">
        <v>973</v>
      </c>
      <c r="B888" s="1" t="s">
        <v>942</v>
      </c>
      <c r="C888" s="1" t="s">
        <v>52</v>
      </c>
      <c r="D888" s="1" t="s">
        <v>19</v>
      </c>
      <c r="E888" s="1" t="s">
        <v>21</v>
      </c>
      <c r="F888" s="1">
        <v>2635</v>
      </c>
      <c r="G888" s="14">
        <v>18</v>
      </c>
      <c r="H888" s="1">
        <v>0.12</v>
      </c>
      <c r="I888" s="14">
        <v>41738.400000000001</v>
      </c>
      <c r="J888" s="14">
        <v>25612.2</v>
      </c>
      <c r="K888" s="15">
        <f>Table5[[#This Row],[Selling Price]]*Table5[[#This Row],[Units Sold]]</f>
        <v>47430</v>
      </c>
      <c r="L888" t="str">
        <f t="shared" si="13"/>
        <v>2024-08</v>
      </c>
      <c r="M888" t="str">
        <f>VLOOKUP(Table5[[#This Row],[Store ID]],Table4[[Store ID]:[Store Location]],2)</f>
        <v>Glasgow</v>
      </c>
      <c r="N888" t="str">
        <f>VLOOKUP(Table5[[#This Row],[Store ID]],Table4[[Store ID]:[Region]],3)</f>
        <v>Scotland</v>
      </c>
      <c r="O888" t="str">
        <f>VLOOKUP(Table5[[#This Row],[Product ID]],'Product Master'!$A$2:$D$10,4)</f>
        <v>Supplier D</v>
      </c>
      <c r="P888" s="15">
        <f>Table5[[#This Row],[Total Revenue]]-Table5[[#This Row],[Net Sales Revenue]]</f>
        <v>5691.5999999999985</v>
      </c>
      <c r="Q888" s="15">
        <f>Table5[[#This Row],[Net Sales Revenue]]/Table5[[#This Row],[Units Sold]]</f>
        <v>15.84</v>
      </c>
      <c r="R888">
        <f>VLOOKUP(Table5[[#This Row],[Product ID]],'Product Master'!$A$1:$E$10,5,FALSE)</f>
        <v>9</v>
      </c>
      <c r="S888" s="15">
        <f>Table5[[#This Row],[standard product cost per unit]]*Table5[[#This Row],[Units Sold]]</f>
        <v>23715</v>
      </c>
      <c r="T888" s="15">
        <f>Table5[[#This Row],[Cost of Sales]]-Table5[[#This Row],[Standard cost]]</f>
        <v>1897.2000000000007</v>
      </c>
      <c r="U888" s="15">
        <f>Table5[[#This Row],[Net Sales Revenue]]-Table5[[#This Row],[Cost of Sales]]</f>
        <v>16126.2</v>
      </c>
      <c r="V888" s="17">
        <f>Table5[[#This Row],[GrossProfit]]/Table5[[#This Row],[Net Sales Revenue]]</f>
        <v>0.38636363636363635</v>
      </c>
    </row>
    <row r="889" spans="1:22" ht="14.25" customHeight="1" x14ac:dyDescent="0.25">
      <c r="A889" s="1" t="s">
        <v>974</v>
      </c>
      <c r="B889" s="1" t="s">
        <v>942</v>
      </c>
      <c r="C889" s="1" t="s">
        <v>52</v>
      </c>
      <c r="D889" s="1" t="s">
        <v>23</v>
      </c>
      <c r="E889" s="1" t="s">
        <v>21</v>
      </c>
      <c r="F889" s="1">
        <v>1940</v>
      </c>
      <c r="G889" s="14">
        <v>30</v>
      </c>
      <c r="H889" s="1">
        <v>0.12</v>
      </c>
      <c r="I889" s="14">
        <v>51216</v>
      </c>
      <c r="J889" s="14">
        <v>29332.799999999999</v>
      </c>
      <c r="K889" s="15">
        <f>Table5[[#This Row],[Selling Price]]*Table5[[#This Row],[Units Sold]]</f>
        <v>58200</v>
      </c>
      <c r="L889" t="str">
        <f t="shared" si="13"/>
        <v>2024-08</v>
      </c>
      <c r="M889" t="str">
        <f>VLOOKUP(Table5[[#This Row],[Store ID]],Table4[[Store ID]:[Store Location]],2)</f>
        <v>Glasgow</v>
      </c>
      <c r="N889" t="str">
        <f>VLOOKUP(Table5[[#This Row],[Store ID]],Table4[[Store ID]:[Region]],3)</f>
        <v>Scotland</v>
      </c>
      <c r="O889" t="str">
        <f>VLOOKUP(Table5[[#This Row],[Product ID]],'Product Master'!$A$2:$D$10,4)</f>
        <v>Supplier D</v>
      </c>
      <c r="P889" s="15">
        <f>Table5[[#This Row],[Total Revenue]]-Table5[[#This Row],[Net Sales Revenue]]</f>
        <v>6984</v>
      </c>
      <c r="Q889" s="15">
        <f>Table5[[#This Row],[Net Sales Revenue]]/Table5[[#This Row],[Units Sold]]</f>
        <v>26.4</v>
      </c>
      <c r="R889">
        <f>VLOOKUP(Table5[[#This Row],[Product ID]],'Product Master'!$A$1:$E$10,5,FALSE)</f>
        <v>14</v>
      </c>
      <c r="S889" s="15">
        <f>Table5[[#This Row],[standard product cost per unit]]*Table5[[#This Row],[Units Sold]]</f>
        <v>27160</v>
      </c>
      <c r="T889" s="15">
        <f>Table5[[#This Row],[Cost of Sales]]-Table5[[#This Row],[Standard cost]]</f>
        <v>2172.7999999999993</v>
      </c>
      <c r="U889" s="15">
        <f>Table5[[#This Row],[Net Sales Revenue]]-Table5[[#This Row],[Cost of Sales]]</f>
        <v>21883.200000000001</v>
      </c>
      <c r="V889" s="17">
        <f>Table5[[#This Row],[GrossProfit]]/Table5[[#This Row],[Net Sales Revenue]]</f>
        <v>0.4272727272727273</v>
      </c>
    </row>
    <row r="890" spans="1:22" ht="14.25" customHeight="1" x14ac:dyDescent="0.25">
      <c r="A890" s="1" t="s">
        <v>975</v>
      </c>
      <c r="B890" s="1" t="s">
        <v>942</v>
      </c>
      <c r="C890" s="1" t="s">
        <v>52</v>
      </c>
      <c r="D890" s="1" t="s">
        <v>25</v>
      </c>
      <c r="E890" s="1" t="s">
        <v>27</v>
      </c>
      <c r="F890" s="1">
        <v>2068</v>
      </c>
      <c r="G890" s="14">
        <v>40</v>
      </c>
      <c r="H890" s="1">
        <v>0.16</v>
      </c>
      <c r="I890" s="14">
        <v>69484.800000000003</v>
      </c>
      <c r="J890" s="14">
        <v>44668.800000000003</v>
      </c>
      <c r="K890" s="15">
        <f>Table5[[#This Row],[Selling Price]]*Table5[[#This Row],[Units Sold]]</f>
        <v>82720</v>
      </c>
      <c r="L890" t="str">
        <f t="shared" si="13"/>
        <v>2024-08</v>
      </c>
      <c r="M890" t="str">
        <f>VLOOKUP(Table5[[#This Row],[Store ID]],Table4[[Store ID]:[Store Location]],2)</f>
        <v>Glasgow</v>
      </c>
      <c r="N890" t="str">
        <f>VLOOKUP(Table5[[#This Row],[Store ID]],Table4[[Store ID]:[Region]],3)</f>
        <v>Scotland</v>
      </c>
      <c r="O890" t="str">
        <f>VLOOKUP(Table5[[#This Row],[Product ID]],'Product Master'!$A$2:$D$10,4)</f>
        <v>Supplier E</v>
      </c>
      <c r="P890" s="15">
        <f>Table5[[#This Row],[Total Revenue]]-Table5[[#This Row],[Net Sales Revenue]]</f>
        <v>13235.199999999997</v>
      </c>
      <c r="Q890" s="15">
        <f>Table5[[#This Row],[Net Sales Revenue]]/Table5[[#This Row],[Units Sold]]</f>
        <v>33.6</v>
      </c>
      <c r="R890">
        <f>VLOOKUP(Table5[[#This Row],[Product ID]],'Product Master'!$A$1:$E$10,5,FALSE)</f>
        <v>20</v>
      </c>
      <c r="S890" s="15">
        <f>Table5[[#This Row],[standard product cost per unit]]*Table5[[#This Row],[Units Sold]]</f>
        <v>41360</v>
      </c>
      <c r="T890" s="15">
        <f>Table5[[#This Row],[Cost of Sales]]-Table5[[#This Row],[Standard cost]]</f>
        <v>3308.8000000000029</v>
      </c>
      <c r="U890" s="15">
        <f>Table5[[#This Row],[Net Sales Revenue]]-Table5[[#This Row],[Cost of Sales]]</f>
        <v>24816</v>
      </c>
      <c r="V890" s="17">
        <f>Table5[[#This Row],[GrossProfit]]/Table5[[#This Row],[Net Sales Revenue]]</f>
        <v>0.35714285714285715</v>
      </c>
    </row>
    <row r="891" spans="1:22" ht="14.25" customHeight="1" x14ac:dyDescent="0.25">
      <c r="A891" s="1" t="s">
        <v>976</v>
      </c>
      <c r="B891" s="1" t="s">
        <v>942</v>
      </c>
      <c r="C891" s="1" t="s">
        <v>52</v>
      </c>
      <c r="D891" s="1" t="s">
        <v>29</v>
      </c>
      <c r="E891" s="1" t="s">
        <v>31</v>
      </c>
      <c r="F891" s="1">
        <v>1342</v>
      </c>
      <c r="G891" s="14">
        <v>10</v>
      </c>
      <c r="H891" s="1">
        <v>0.12</v>
      </c>
      <c r="I891" s="14">
        <v>11809.6</v>
      </c>
      <c r="J891" s="14">
        <v>5797.44</v>
      </c>
      <c r="K891" s="15">
        <f>Table5[[#This Row],[Selling Price]]*Table5[[#This Row],[Units Sold]]</f>
        <v>13420</v>
      </c>
      <c r="L891" t="str">
        <f t="shared" si="13"/>
        <v>2024-08</v>
      </c>
      <c r="M891" t="str">
        <f>VLOOKUP(Table5[[#This Row],[Store ID]],Table4[[Store ID]:[Store Location]],2)</f>
        <v>Glasgow</v>
      </c>
      <c r="N891" t="str">
        <f>VLOOKUP(Table5[[#This Row],[Store ID]],Table4[[Store ID]:[Region]],3)</f>
        <v>Scotland</v>
      </c>
      <c r="O891" t="str">
        <f>VLOOKUP(Table5[[#This Row],[Product ID]],'Product Master'!$A$2:$D$10,4)</f>
        <v>Supplier F</v>
      </c>
      <c r="P891" s="15">
        <f>Table5[[#This Row],[Total Revenue]]-Table5[[#This Row],[Net Sales Revenue]]</f>
        <v>1610.3999999999996</v>
      </c>
      <c r="Q891" s="15">
        <f>Table5[[#This Row],[Net Sales Revenue]]/Table5[[#This Row],[Units Sold]]</f>
        <v>8.8000000000000007</v>
      </c>
      <c r="R891">
        <f>VLOOKUP(Table5[[#This Row],[Product ID]],'Product Master'!$A$1:$E$10,5,FALSE)</f>
        <v>4</v>
      </c>
      <c r="S891" s="15">
        <f>Table5[[#This Row],[standard product cost per unit]]*Table5[[#This Row],[Units Sold]]</f>
        <v>5368</v>
      </c>
      <c r="T891" s="15">
        <f>Table5[[#This Row],[Cost of Sales]]-Table5[[#This Row],[Standard cost]]</f>
        <v>429.4399999999996</v>
      </c>
      <c r="U891" s="15">
        <f>Table5[[#This Row],[Net Sales Revenue]]-Table5[[#This Row],[Cost of Sales]]</f>
        <v>6012.1600000000008</v>
      </c>
      <c r="V891" s="17">
        <f>Table5[[#This Row],[GrossProfit]]/Table5[[#This Row],[Net Sales Revenue]]</f>
        <v>0.50909090909090915</v>
      </c>
    </row>
    <row r="892" spans="1:22" ht="14.25" customHeight="1" x14ac:dyDescent="0.25">
      <c r="A892" s="1" t="s">
        <v>977</v>
      </c>
      <c r="B892" s="1" t="s">
        <v>942</v>
      </c>
      <c r="C892" s="1" t="s">
        <v>52</v>
      </c>
      <c r="D892" s="1" t="s">
        <v>33</v>
      </c>
      <c r="E892" s="1" t="s">
        <v>31</v>
      </c>
      <c r="F892" s="1">
        <v>2024</v>
      </c>
      <c r="G892" s="14">
        <v>22</v>
      </c>
      <c r="H892" s="1">
        <v>0.16</v>
      </c>
      <c r="I892" s="14">
        <v>37403.519999999997</v>
      </c>
      <c r="J892" s="14">
        <v>21859.200000000001</v>
      </c>
      <c r="K892" s="15">
        <f>Table5[[#This Row],[Selling Price]]*Table5[[#This Row],[Units Sold]]</f>
        <v>44528</v>
      </c>
      <c r="L892" t="str">
        <f t="shared" si="13"/>
        <v>2024-08</v>
      </c>
      <c r="M892" t="str">
        <f>VLOOKUP(Table5[[#This Row],[Store ID]],Table4[[Store ID]:[Store Location]],2)</f>
        <v>Glasgow</v>
      </c>
      <c r="N892" t="str">
        <f>VLOOKUP(Table5[[#This Row],[Store ID]],Table4[[Store ID]:[Region]],3)</f>
        <v>Scotland</v>
      </c>
      <c r="O892" t="str">
        <f>VLOOKUP(Table5[[#This Row],[Product ID]],'Product Master'!$A$2:$D$10,4)</f>
        <v>Supplier F</v>
      </c>
      <c r="P892" s="15">
        <f>Table5[[#This Row],[Total Revenue]]-Table5[[#This Row],[Net Sales Revenue]]</f>
        <v>7124.4800000000032</v>
      </c>
      <c r="Q892" s="15">
        <f>Table5[[#This Row],[Net Sales Revenue]]/Table5[[#This Row],[Units Sold]]</f>
        <v>18.479999999999997</v>
      </c>
      <c r="R892">
        <f>VLOOKUP(Table5[[#This Row],[Product ID]],'Product Master'!$A$1:$E$10,5,FALSE)</f>
        <v>10</v>
      </c>
      <c r="S892" s="15">
        <f>Table5[[#This Row],[standard product cost per unit]]*Table5[[#This Row],[Units Sold]]</f>
        <v>20240</v>
      </c>
      <c r="T892" s="15">
        <f>Table5[[#This Row],[Cost of Sales]]-Table5[[#This Row],[Standard cost]]</f>
        <v>1619.2000000000007</v>
      </c>
      <c r="U892" s="15">
        <f>Table5[[#This Row],[Net Sales Revenue]]-Table5[[#This Row],[Cost of Sales]]</f>
        <v>15544.319999999996</v>
      </c>
      <c r="V892" s="17">
        <f>Table5[[#This Row],[GrossProfit]]/Table5[[#This Row],[Net Sales Revenue]]</f>
        <v>0.4155844155844155</v>
      </c>
    </row>
    <row r="893" spans="1:22" ht="14.25" customHeight="1" x14ac:dyDescent="0.25">
      <c r="A893" s="1" t="s">
        <v>978</v>
      </c>
      <c r="B893" s="1" t="s">
        <v>942</v>
      </c>
      <c r="C893" s="1" t="s">
        <v>56</v>
      </c>
      <c r="D893" s="1" t="s">
        <v>6</v>
      </c>
      <c r="E893" s="1" t="s">
        <v>8</v>
      </c>
      <c r="F893" s="1">
        <v>1425</v>
      </c>
      <c r="G893" s="14">
        <v>24</v>
      </c>
      <c r="H893" s="1">
        <v>0.12</v>
      </c>
      <c r="I893" s="14">
        <v>30096</v>
      </c>
      <c r="J893" s="14">
        <v>18468</v>
      </c>
      <c r="K893" s="15">
        <f>Table5[[#This Row],[Selling Price]]*Table5[[#This Row],[Units Sold]]</f>
        <v>34200</v>
      </c>
      <c r="L893" t="str">
        <f t="shared" si="13"/>
        <v>2024-08</v>
      </c>
      <c r="M893" t="str">
        <f>VLOOKUP(Table5[[#This Row],[Store ID]],Table4[[Store ID]:[Store Location]],2)</f>
        <v>Leeds</v>
      </c>
      <c r="N893" t="str">
        <f>VLOOKUP(Table5[[#This Row],[Store ID]],Table4[[Store ID]:[Region]],3)</f>
        <v>North</v>
      </c>
      <c r="O893" t="str">
        <f>VLOOKUP(Table5[[#This Row],[Product ID]],'Product Master'!$A$2:$D$10,4)</f>
        <v>Supplier A</v>
      </c>
      <c r="P893" s="15">
        <f>Table5[[#This Row],[Total Revenue]]-Table5[[#This Row],[Net Sales Revenue]]</f>
        <v>4104</v>
      </c>
      <c r="Q893" s="15">
        <f>Table5[[#This Row],[Net Sales Revenue]]/Table5[[#This Row],[Units Sold]]</f>
        <v>21.12</v>
      </c>
      <c r="R893">
        <f>VLOOKUP(Table5[[#This Row],[Product ID]],'Product Master'!$A$1:$E$10,5,FALSE)</f>
        <v>12</v>
      </c>
      <c r="S893" s="15">
        <f>Table5[[#This Row],[standard product cost per unit]]*Table5[[#This Row],[Units Sold]]</f>
        <v>17100</v>
      </c>
      <c r="T893" s="15">
        <f>Table5[[#This Row],[Cost of Sales]]-Table5[[#This Row],[Standard cost]]</f>
        <v>1368</v>
      </c>
      <c r="U893" s="15">
        <f>Table5[[#This Row],[Net Sales Revenue]]-Table5[[#This Row],[Cost of Sales]]</f>
        <v>11628</v>
      </c>
      <c r="V893" s="17">
        <f>Table5[[#This Row],[GrossProfit]]/Table5[[#This Row],[Net Sales Revenue]]</f>
        <v>0.38636363636363635</v>
      </c>
    </row>
    <row r="894" spans="1:22" ht="14.25" customHeight="1" x14ac:dyDescent="0.25">
      <c r="A894" s="1" t="s">
        <v>979</v>
      </c>
      <c r="B894" s="1" t="s">
        <v>942</v>
      </c>
      <c r="C894" s="1" t="s">
        <v>56</v>
      </c>
      <c r="D894" s="1" t="s">
        <v>10</v>
      </c>
      <c r="E894" s="1" t="s">
        <v>8</v>
      </c>
      <c r="F894" s="1">
        <v>1755</v>
      </c>
      <c r="G894" s="14">
        <v>50</v>
      </c>
      <c r="H894" s="1">
        <v>0.15</v>
      </c>
      <c r="I894" s="14">
        <v>74587.5</v>
      </c>
      <c r="J894" s="14">
        <v>53071.199999999997</v>
      </c>
      <c r="K894" s="15">
        <f>Table5[[#This Row],[Selling Price]]*Table5[[#This Row],[Units Sold]]</f>
        <v>87750</v>
      </c>
      <c r="L894" t="str">
        <f t="shared" si="13"/>
        <v>2024-08</v>
      </c>
      <c r="M894" t="str">
        <f>VLOOKUP(Table5[[#This Row],[Store ID]],Table4[[Store ID]:[Store Location]],2)</f>
        <v>Leeds</v>
      </c>
      <c r="N894" t="str">
        <f>VLOOKUP(Table5[[#This Row],[Store ID]],Table4[[Store ID]:[Region]],3)</f>
        <v>North</v>
      </c>
      <c r="O894" t="str">
        <f>VLOOKUP(Table5[[#This Row],[Product ID]],'Product Master'!$A$2:$D$10,4)</f>
        <v>Supplier B</v>
      </c>
      <c r="P894" s="15">
        <f>Table5[[#This Row],[Total Revenue]]-Table5[[#This Row],[Net Sales Revenue]]</f>
        <v>13162.5</v>
      </c>
      <c r="Q894" s="15">
        <f>Table5[[#This Row],[Net Sales Revenue]]/Table5[[#This Row],[Units Sold]]</f>
        <v>42.5</v>
      </c>
      <c r="R894">
        <f>VLOOKUP(Table5[[#This Row],[Product ID]],'Product Master'!$A$1:$E$10,5,FALSE)</f>
        <v>28</v>
      </c>
      <c r="S894" s="15">
        <f>Table5[[#This Row],[standard product cost per unit]]*Table5[[#This Row],[Units Sold]]</f>
        <v>49140</v>
      </c>
      <c r="T894" s="15">
        <f>Table5[[#This Row],[Cost of Sales]]-Table5[[#This Row],[Standard cost]]</f>
        <v>3931.1999999999971</v>
      </c>
      <c r="U894" s="15">
        <f>Table5[[#This Row],[Net Sales Revenue]]-Table5[[#This Row],[Cost of Sales]]</f>
        <v>21516.300000000003</v>
      </c>
      <c r="V894" s="17">
        <f>Table5[[#This Row],[GrossProfit]]/Table5[[#This Row],[Net Sales Revenue]]</f>
        <v>0.28847058823529415</v>
      </c>
    </row>
    <row r="895" spans="1:22" ht="14.25" customHeight="1" x14ac:dyDescent="0.25">
      <c r="A895" s="1" t="s">
        <v>980</v>
      </c>
      <c r="B895" s="1" t="s">
        <v>942</v>
      </c>
      <c r="C895" s="1" t="s">
        <v>56</v>
      </c>
      <c r="D895" s="1" t="s">
        <v>13</v>
      </c>
      <c r="E895" s="1" t="s">
        <v>15</v>
      </c>
      <c r="F895" s="1">
        <v>2002</v>
      </c>
      <c r="G895" s="14">
        <v>28</v>
      </c>
      <c r="H895" s="1">
        <v>0.13</v>
      </c>
      <c r="I895" s="14">
        <v>48768.72</v>
      </c>
      <c r="J895" s="14">
        <v>32432.400000000001</v>
      </c>
      <c r="K895" s="15">
        <f>Table5[[#This Row],[Selling Price]]*Table5[[#This Row],[Units Sold]]</f>
        <v>56056</v>
      </c>
      <c r="L895" t="str">
        <f t="shared" si="13"/>
        <v>2024-08</v>
      </c>
      <c r="M895" t="str">
        <f>VLOOKUP(Table5[[#This Row],[Store ID]],Table4[[Store ID]:[Store Location]],2)</f>
        <v>Leeds</v>
      </c>
      <c r="N895" t="str">
        <f>VLOOKUP(Table5[[#This Row],[Store ID]],Table4[[Store ID]:[Region]],3)</f>
        <v>North</v>
      </c>
      <c r="O895" t="str">
        <f>VLOOKUP(Table5[[#This Row],[Product ID]],'Product Master'!$A$2:$D$10,4)</f>
        <v>Supplier C</v>
      </c>
      <c r="P895" s="15">
        <f>Table5[[#This Row],[Total Revenue]]-Table5[[#This Row],[Net Sales Revenue]]</f>
        <v>7287.2799999999988</v>
      </c>
      <c r="Q895" s="15">
        <f>Table5[[#This Row],[Net Sales Revenue]]/Table5[[#This Row],[Units Sold]]</f>
        <v>24.36</v>
      </c>
      <c r="R895">
        <f>VLOOKUP(Table5[[#This Row],[Product ID]],'Product Master'!$A$1:$E$10,5,FALSE)</f>
        <v>15</v>
      </c>
      <c r="S895" s="15">
        <f>Table5[[#This Row],[standard product cost per unit]]*Table5[[#This Row],[Units Sold]]</f>
        <v>30030</v>
      </c>
      <c r="T895" s="15">
        <f>Table5[[#This Row],[Cost of Sales]]-Table5[[#This Row],[Standard cost]]</f>
        <v>2402.4000000000015</v>
      </c>
      <c r="U895" s="15">
        <f>Table5[[#This Row],[Net Sales Revenue]]-Table5[[#This Row],[Cost of Sales]]</f>
        <v>16336.32</v>
      </c>
      <c r="V895" s="17">
        <f>Table5[[#This Row],[GrossProfit]]/Table5[[#This Row],[Net Sales Revenue]]</f>
        <v>0.33497536945812806</v>
      </c>
    </row>
    <row r="896" spans="1:22" ht="14.25" customHeight="1" x14ac:dyDescent="0.25">
      <c r="A896" s="1" t="s">
        <v>981</v>
      </c>
      <c r="B896" s="1" t="s">
        <v>942</v>
      </c>
      <c r="C896" s="1" t="s">
        <v>56</v>
      </c>
      <c r="D896" s="1" t="s">
        <v>17</v>
      </c>
      <c r="E896" s="1" t="s">
        <v>15</v>
      </c>
      <c r="F896" s="1">
        <v>1482</v>
      </c>
      <c r="G896" s="14">
        <v>35</v>
      </c>
      <c r="H896" s="1">
        <v>0.15</v>
      </c>
      <c r="I896" s="14">
        <v>44089.5</v>
      </c>
      <c r="J896" s="14">
        <v>28810.080000000002</v>
      </c>
      <c r="K896" s="15">
        <f>Table5[[#This Row],[Selling Price]]*Table5[[#This Row],[Units Sold]]</f>
        <v>51870</v>
      </c>
      <c r="L896" t="str">
        <f t="shared" si="13"/>
        <v>2024-08</v>
      </c>
      <c r="M896" t="str">
        <f>VLOOKUP(Table5[[#This Row],[Store ID]],Table4[[Store ID]:[Store Location]],2)</f>
        <v>Leeds</v>
      </c>
      <c r="N896" t="str">
        <f>VLOOKUP(Table5[[#This Row],[Store ID]],Table4[[Store ID]:[Region]],3)</f>
        <v>North</v>
      </c>
      <c r="O896" t="str">
        <f>VLOOKUP(Table5[[#This Row],[Product ID]],'Product Master'!$A$2:$D$10,4)</f>
        <v>Supplier C</v>
      </c>
      <c r="P896" s="15">
        <f>Table5[[#This Row],[Total Revenue]]-Table5[[#This Row],[Net Sales Revenue]]</f>
        <v>7780.5</v>
      </c>
      <c r="Q896" s="15">
        <f>Table5[[#This Row],[Net Sales Revenue]]/Table5[[#This Row],[Units Sold]]</f>
        <v>29.75</v>
      </c>
      <c r="R896">
        <f>VLOOKUP(Table5[[#This Row],[Product ID]],'Product Master'!$A$1:$E$10,5,FALSE)</f>
        <v>18</v>
      </c>
      <c r="S896" s="15">
        <f>Table5[[#This Row],[standard product cost per unit]]*Table5[[#This Row],[Units Sold]]</f>
        <v>26676</v>
      </c>
      <c r="T896" s="15">
        <f>Table5[[#This Row],[Cost of Sales]]-Table5[[#This Row],[Standard cost]]</f>
        <v>2134.0800000000017</v>
      </c>
      <c r="U896" s="15">
        <f>Table5[[#This Row],[Net Sales Revenue]]-Table5[[#This Row],[Cost of Sales]]</f>
        <v>15279.419999999998</v>
      </c>
      <c r="V896" s="17">
        <f>Table5[[#This Row],[GrossProfit]]/Table5[[#This Row],[Net Sales Revenue]]</f>
        <v>0.34655462184873947</v>
      </c>
    </row>
    <row r="897" spans="1:22" ht="14.25" customHeight="1" x14ac:dyDescent="0.25">
      <c r="A897" s="1" t="s">
        <v>982</v>
      </c>
      <c r="B897" s="1" t="s">
        <v>942</v>
      </c>
      <c r="C897" s="1" t="s">
        <v>56</v>
      </c>
      <c r="D897" s="1" t="s">
        <v>19</v>
      </c>
      <c r="E897" s="1" t="s">
        <v>21</v>
      </c>
      <c r="F897" s="1">
        <v>2525</v>
      </c>
      <c r="G897" s="14">
        <v>18</v>
      </c>
      <c r="H897" s="1">
        <v>0.13</v>
      </c>
      <c r="I897" s="14">
        <v>39541.5</v>
      </c>
      <c r="J897" s="14">
        <v>24543</v>
      </c>
      <c r="K897" s="15">
        <f>Table5[[#This Row],[Selling Price]]*Table5[[#This Row],[Units Sold]]</f>
        <v>45450</v>
      </c>
      <c r="L897" t="str">
        <f t="shared" si="13"/>
        <v>2024-08</v>
      </c>
      <c r="M897" t="str">
        <f>VLOOKUP(Table5[[#This Row],[Store ID]],Table4[[Store ID]:[Store Location]],2)</f>
        <v>Leeds</v>
      </c>
      <c r="N897" t="str">
        <f>VLOOKUP(Table5[[#This Row],[Store ID]],Table4[[Store ID]:[Region]],3)</f>
        <v>North</v>
      </c>
      <c r="O897" t="str">
        <f>VLOOKUP(Table5[[#This Row],[Product ID]],'Product Master'!$A$2:$D$10,4)</f>
        <v>Supplier D</v>
      </c>
      <c r="P897" s="15">
        <f>Table5[[#This Row],[Total Revenue]]-Table5[[#This Row],[Net Sales Revenue]]</f>
        <v>5908.5</v>
      </c>
      <c r="Q897" s="15">
        <f>Table5[[#This Row],[Net Sales Revenue]]/Table5[[#This Row],[Units Sold]]</f>
        <v>15.66</v>
      </c>
      <c r="R897">
        <f>VLOOKUP(Table5[[#This Row],[Product ID]],'Product Master'!$A$1:$E$10,5,FALSE)</f>
        <v>9</v>
      </c>
      <c r="S897" s="15">
        <f>Table5[[#This Row],[standard product cost per unit]]*Table5[[#This Row],[Units Sold]]</f>
        <v>22725</v>
      </c>
      <c r="T897" s="15">
        <f>Table5[[#This Row],[Cost of Sales]]-Table5[[#This Row],[Standard cost]]</f>
        <v>1818</v>
      </c>
      <c r="U897" s="15">
        <f>Table5[[#This Row],[Net Sales Revenue]]-Table5[[#This Row],[Cost of Sales]]</f>
        <v>14998.5</v>
      </c>
      <c r="V897" s="17">
        <f>Table5[[#This Row],[GrossProfit]]/Table5[[#This Row],[Net Sales Revenue]]</f>
        <v>0.37931034482758619</v>
      </c>
    </row>
    <row r="898" spans="1:22" ht="14.25" customHeight="1" x14ac:dyDescent="0.25">
      <c r="A898" s="1" t="s">
        <v>983</v>
      </c>
      <c r="B898" s="1" t="s">
        <v>942</v>
      </c>
      <c r="C898" s="1" t="s">
        <v>56</v>
      </c>
      <c r="D898" s="1" t="s">
        <v>23</v>
      </c>
      <c r="E898" s="1" t="s">
        <v>21</v>
      </c>
      <c r="F898" s="1">
        <v>1918</v>
      </c>
      <c r="G898" s="14">
        <v>30</v>
      </c>
      <c r="H898" s="1">
        <v>0.13</v>
      </c>
      <c r="I898" s="14">
        <v>50059.8</v>
      </c>
      <c r="J898" s="14">
        <v>29000.16</v>
      </c>
      <c r="K898" s="15">
        <f>Table5[[#This Row],[Selling Price]]*Table5[[#This Row],[Units Sold]]</f>
        <v>57540</v>
      </c>
      <c r="L898" t="str">
        <f t="shared" ref="L898:L961" si="14">TEXT(B898,"yyyy-mm")</f>
        <v>2024-08</v>
      </c>
      <c r="M898" t="str">
        <f>VLOOKUP(Table5[[#This Row],[Store ID]],Table4[[Store ID]:[Store Location]],2)</f>
        <v>Leeds</v>
      </c>
      <c r="N898" t="str">
        <f>VLOOKUP(Table5[[#This Row],[Store ID]],Table4[[Store ID]:[Region]],3)</f>
        <v>North</v>
      </c>
      <c r="O898" t="str">
        <f>VLOOKUP(Table5[[#This Row],[Product ID]],'Product Master'!$A$2:$D$10,4)</f>
        <v>Supplier D</v>
      </c>
      <c r="P898" s="15">
        <f>Table5[[#This Row],[Total Revenue]]-Table5[[#This Row],[Net Sales Revenue]]</f>
        <v>7480.1999999999971</v>
      </c>
      <c r="Q898" s="15">
        <f>Table5[[#This Row],[Net Sales Revenue]]/Table5[[#This Row],[Units Sold]]</f>
        <v>26.1</v>
      </c>
      <c r="R898">
        <f>VLOOKUP(Table5[[#This Row],[Product ID]],'Product Master'!$A$1:$E$10,5,FALSE)</f>
        <v>14</v>
      </c>
      <c r="S898" s="15">
        <f>Table5[[#This Row],[standard product cost per unit]]*Table5[[#This Row],[Units Sold]]</f>
        <v>26852</v>
      </c>
      <c r="T898" s="15">
        <f>Table5[[#This Row],[Cost of Sales]]-Table5[[#This Row],[Standard cost]]</f>
        <v>2148.16</v>
      </c>
      <c r="U898" s="15">
        <f>Table5[[#This Row],[Net Sales Revenue]]-Table5[[#This Row],[Cost of Sales]]</f>
        <v>21059.640000000003</v>
      </c>
      <c r="V898" s="17">
        <f>Table5[[#This Row],[GrossProfit]]/Table5[[#This Row],[Net Sales Revenue]]</f>
        <v>0.42068965517241386</v>
      </c>
    </row>
    <row r="899" spans="1:22" ht="14.25" customHeight="1" x14ac:dyDescent="0.25">
      <c r="A899" s="1" t="s">
        <v>984</v>
      </c>
      <c r="B899" s="1" t="s">
        <v>942</v>
      </c>
      <c r="C899" s="1" t="s">
        <v>56</v>
      </c>
      <c r="D899" s="1" t="s">
        <v>25</v>
      </c>
      <c r="E899" s="1" t="s">
        <v>27</v>
      </c>
      <c r="F899" s="1">
        <v>1522</v>
      </c>
      <c r="G899" s="14">
        <v>40</v>
      </c>
      <c r="H899" s="1">
        <v>0.15</v>
      </c>
      <c r="I899" s="14">
        <v>51748</v>
      </c>
      <c r="J899" s="14">
        <v>32875.199999999997</v>
      </c>
      <c r="K899" s="15">
        <f>Table5[[#This Row],[Selling Price]]*Table5[[#This Row],[Units Sold]]</f>
        <v>60880</v>
      </c>
      <c r="L899" t="str">
        <f t="shared" si="14"/>
        <v>2024-08</v>
      </c>
      <c r="M899" t="str">
        <f>VLOOKUP(Table5[[#This Row],[Store ID]],Table4[[Store ID]:[Store Location]],2)</f>
        <v>Leeds</v>
      </c>
      <c r="N899" t="str">
        <f>VLOOKUP(Table5[[#This Row],[Store ID]],Table4[[Store ID]:[Region]],3)</f>
        <v>North</v>
      </c>
      <c r="O899" t="str">
        <f>VLOOKUP(Table5[[#This Row],[Product ID]],'Product Master'!$A$2:$D$10,4)</f>
        <v>Supplier E</v>
      </c>
      <c r="P899" s="15">
        <f>Table5[[#This Row],[Total Revenue]]-Table5[[#This Row],[Net Sales Revenue]]</f>
        <v>9132</v>
      </c>
      <c r="Q899" s="15">
        <f>Table5[[#This Row],[Net Sales Revenue]]/Table5[[#This Row],[Units Sold]]</f>
        <v>34</v>
      </c>
      <c r="R899">
        <f>VLOOKUP(Table5[[#This Row],[Product ID]],'Product Master'!$A$1:$E$10,5,FALSE)</f>
        <v>20</v>
      </c>
      <c r="S899" s="15">
        <f>Table5[[#This Row],[standard product cost per unit]]*Table5[[#This Row],[Units Sold]]</f>
        <v>30440</v>
      </c>
      <c r="T899" s="15">
        <f>Table5[[#This Row],[Cost of Sales]]-Table5[[#This Row],[Standard cost]]</f>
        <v>2435.1999999999971</v>
      </c>
      <c r="U899" s="15">
        <f>Table5[[#This Row],[Net Sales Revenue]]-Table5[[#This Row],[Cost of Sales]]</f>
        <v>18872.800000000003</v>
      </c>
      <c r="V899" s="17">
        <f>Table5[[#This Row],[GrossProfit]]/Table5[[#This Row],[Net Sales Revenue]]</f>
        <v>0.36470588235294121</v>
      </c>
    </row>
    <row r="900" spans="1:22" ht="14.25" customHeight="1" x14ac:dyDescent="0.25">
      <c r="A900" s="1" t="s">
        <v>985</v>
      </c>
      <c r="B900" s="1" t="s">
        <v>942</v>
      </c>
      <c r="C900" s="1" t="s">
        <v>56</v>
      </c>
      <c r="D900" s="1" t="s">
        <v>29</v>
      </c>
      <c r="E900" s="1" t="s">
        <v>31</v>
      </c>
      <c r="F900" s="1">
        <v>2886</v>
      </c>
      <c r="G900" s="14">
        <v>10</v>
      </c>
      <c r="H900" s="1">
        <v>0.14000000000000001</v>
      </c>
      <c r="I900" s="14">
        <v>24819.599999999999</v>
      </c>
      <c r="J900" s="14">
        <v>12467.52</v>
      </c>
      <c r="K900" s="15">
        <f>Table5[[#This Row],[Selling Price]]*Table5[[#This Row],[Units Sold]]</f>
        <v>28860</v>
      </c>
      <c r="L900" t="str">
        <f t="shared" si="14"/>
        <v>2024-08</v>
      </c>
      <c r="M900" t="str">
        <f>VLOOKUP(Table5[[#This Row],[Store ID]],Table4[[Store ID]:[Store Location]],2)</f>
        <v>Leeds</v>
      </c>
      <c r="N900" t="str">
        <f>VLOOKUP(Table5[[#This Row],[Store ID]],Table4[[Store ID]:[Region]],3)</f>
        <v>North</v>
      </c>
      <c r="O900" t="str">
        <f>VLOOKUP(Table5[[#This Row],[Product ID]],'Product Master'!$A$2:$D$10,4)</f>
        <v>Supplier F</v>
      </c>
      <c r="P900" s="15">
        <f>Table5[[#This Row],[Total Revenue]]-Table5[[#This Row],[Net Sales Revenue]]</f>
        <v>4040.4000000000015</v>
      </c>
      <c r="Q900" s="15">
        <f>Table5[[#This Row],[Net Sales Revenue]]/Table5[[#This Row],[Units Sold]]</f>
        <v>8.6</v>
      </c>
      <c r="R900">
        <f>VLOOKUP(Table5[[#This Row],[Product ID]],'Product Master'!$A$1:$E$10,5,FALSE)</f>
        <v>4</v>
      </c>
      <c r="S900" s="15">
        <f>Table5[[#This Row],[standard product cost per unit]]*Table5[[#This Row],[Units Sold]]</f>
        <v>11544</v>
      </c>
      <c r="T900" s="15">
        <f>Table5[[#This Row],[Cost of Sales]]-Table5[[#This Row],[Standard cost]]</f>
        <v>923.52000000000044</v>
      </c>
      <c r="U900" s="15">
        <f>Table5[[#This Row],[Net Sales Revenue]]-Table5[[#This Row],[Cost of Sales]]</f>
        <v>12352.079999999998</v>
      </c>
      <c r="V900" s="17">
        <f>Table5[[#This Row],[GrossProfit]]/Table5[[#This Row],[Net Sales Revenue]]</f>
        <v>0.49767441860465111</v>
      </c>
    </row>
    <row r="901" spans="1:22" ht="14.25" customHeight="1" x14ac:dyDescent="0.25">
      <c r="A901" s="1" t="s">
        <v>986</v>
      </c>
      <c r="B901" s="1" t="s">
        <v>942</v>
      </c>
      <c r="C901" s="1" t="s">
        <v>56</v>
      </c>
      <c r="D901" s="1" t="s">
        <v>33</v>
      </c>
      <c r="E901" s="1" t="s">
        <v>31</v>
      </c>
      <c r="F901" s="1">
        <v>2565</v>
      </c>
      <c r="G901" s="14">
        <v>22</v>
      </c>
      <c r="H901" s="1">
        <v>0.12</v>
      </c>
      <c r="I901" s="14">
        <v>49658.400000000001</v>
      </c>
      <c r="J901" s="14">
        <v>27702</v>
      </c>
      <c r="K901" s="15">
        <f>Table5[[#This Row],[Selling Price]]*Table5[[#This Row],[Units Sold]]</f>
        <v>56430</v>
      </c>
      <c r="L901" t="str">
        <f t="shared" si="14"/>
        <v>2024-08</v>
      </c>
      <c r="M901" t="str">
        <f>VLOOKUP(Table5[[#This Row],[Store ID]],Table4[[Store ID]:[Store Location]],2)</f>
        <v>Leeds</v>
      </c>
      <c r="N901" t="str">
        <f>VLOOKUP(Table5[[#This Row],[Store ID]],Table4[[Store ID]:[Region]],3)</f>
        <v>North</v>
      </c>
      <c r="O901" t="str">
        <f>VLOOKUP(Table5[[#This Row],[Product ID]],'Product Master'!$A$2:$D$10,4)</f>
        <v>Supplier F</v>
      </c>
      <c r="P901" s="15">
        <f>Table5[[#This Row],[Total Revenue]]-Table5[[#This Row],[Net Sales Revenue]]</f>
        <v>6771.5999999999985</v>
      </c>
      <c r="Q901" s="15">
        <f>Table5[[#This Row],[Net Sales Revenue]]/Table5[[#This Row],[Units Sold]]</f>
        <v>19.36</v>
      </c>
      <c r="R901">
        <f>VLOOKUP(Table5[[#This Row],[Product ID]],'Product Master'!$A$1:$E$10,5,FALSE)</f>
        <v>10</v>
      </c>
      <c r="S901" s="15">
        <f>Table5[[#This Row],[standard product cost per unit]]*Table5[[#This Row],[Units Sold]]</f>
        <v>25650</v>
      </c>
      <c r="T901" s="15">
        <f>Table5[[#This Row],[Cost of Sales]]-Table5[[#This Row],[Standard cost]]</f>
        <v>2052</v>
      </c>
      <c r="U901" s="15">
        <f>Table5[[#This Row],[Net Sales Revenue]]-Table5[[#This Row],[Cost of Sales]]</f>
        <v>21956.400000000001</v>
      </c>
      <c r="V901" s="17">
        <f>Table5[[#This Row],[GrossProfit]]/Table5[[#This Row],[Net Sales Revenue]]</f>
        <v>0.44214876033057854</v>
      </c>
    </row>
    <row r="902" spans="1:22" ht="14.25" customHeight="1" x14ac:dyDescent="0.25">
      <c r="A902" s="1" t="s">
        <v>987</v>
      </c>
      <c r="B902" s="1" t="s">
        <v>988</v>
      </c>
      <c r="C902" s="1" t="s">
        <v>40</v>
      </c>
      <c r="D902" s="1" t="s">
        <v>6</v>
      </c>
      <c r="E902" s="1" t="s">
        <v>8</v>
      </c>
      <c r="F902" s="1">
        <v>2798</v>
      </c>
      <c r="G902" s="14">
        <v>24</v>
      </c>
      <c r="H902" s="1">
        <v>0.13</v>
      </c>
      <c r="I902" s="14">
        <v>58422.239999999998</v>
      </c>
      <c r="J902" s="14">
        <v>36262.080000000002</v>
      </c>
      <c r="K902" s="15">
        <f>Table5[[#This Row],[Selling Price]]*Table5[[#This Row],[Units Sold]]</f>
        <v>67152</v>
      </c>
      <c r="L902" t="str">
        <f t="shared" si="14"/>
        <v>2024-09</v>
      </c>
      <c r="M902" t="str">
        <f>VLOOKUP(Table5[[#This Row],[Store ID]],Table4[[Store ID]:[Store Location]],2)</f>
        <v>Manchester</v>
      </c>
      <c r="N902" t="str">
        <f>VLOOKUP(Table5[[#This Row],[Store ID]],Table4[[Store ID]:[Region]],3)</f>
        <v>North</v>
      </c>
      <c r="O902" t="str">
        <f>VLOOKUP(Table5[[#This Row],[Product ID]],'Product Master'!$A$2:$D$10,4)</f>
        <v>Supplier A</v>
      </c>
      <c r="P902" s="15">
        <f>Table5[[#This Row],[Total Revenue]]-Table5[[#This Row],[Net Sales Revenue]]</f>
        <v>8729.760000000002</v>
      </c>
      <c r="Q902" s="15">
        <f>Table5[[#This Row],[Net Sales Revenue]]/Table5[[#This Row],[Units Sold]]</f>
        <v>20.88</v>
      </c>
      <c r="R902">
        <f>VLOOKUP(Table5[[#This Row],[Product ID]],'Product Master'!$A$1:$E$10,5,FALSE)</f>
        <v>12</v>
      </c>
      <c r="S902" s="15">
        <f>Table5[[#This Row],[standard product cost per unit]]*Table5[[#This Row],[Units Sold]]</f>
        <v>33576</v>
      </c>
      <c r="T902" s="15">
        <f>Table5[[#This Row],[Cost of Sales]]-Table5[[#This Row],[Standard cost]]</f>
        <v>2686.0800000000017</v>
      </c>
      <c r="U902" s="15">
        <f>Table5[[#This Row],[Net Sales Revenue]]-Table5[[#This Row],[Cost of Sales]]</f>
        <v>22160.159999999996</v>
      </c>
      <c r="V902" s="17">
        <f>Table5[[#This Row],[GrossProfit]]/Table5[[#This Row],[Net Sales Revenue]]</f>
        <v>0.37931034482758613</v>
      </c>
    </row>
    <row r="903" spans="1:22" ht="14.25" customHeight="1" x14ac:dyDescent="0.25">
      <c r="A903" s="1" t="s">
        <v>989</v>
      </c>
      <c r="B903" s="1" t="s">
        <v>988</v>
      </c>
      <c r="C903" s="1" t="s">
        <v>40</v>
      </c>
      <c r="D903" s="1" t="s">
        <v>10</v>
      </c>
      <c r="E903" s="1" t="s">
        <v>8</v>
      </c>
      <c r="F903" s="1">
        <v>2125</v>
      </c>
      <c r="G903" s="14">
        <v>50</v>
      </c>
      <c r="H903" s="1">
        <v>0.16</v>
      </c>
      <c r="I903" s="14">
        <v>89250</v>
      </c>
      <c r="J903" s="14">
        <v>64260</v>
      </c>
      <c r="K903" s="15">
        <f>Table5[[#This Row],[Selling Price]]*Table5[[#This Row],[Units Sold]]</f>
        <v>106250</v>
      </c>
      <c r="L903" t="str">
        <f t="shared" si="14"/>
        <v>2024-09</v>
      </c>
      <c r="M903" t="str">
        <f>VLOOKUP(Table5[[#This Row],[Store ID]],Table4[[Store ID]:[Store Location]],2)</f>
        <v>Manchester</v>
      </c>
      <c r="N903" t="str">
        <f>VLOOKUP(Table5[[#This Row],[Store ID]],Table4[[Store ID]:[Region]],3)</f>
        <v>North</v>
      </c>
      <c r="O903" t="str">
        <f>VLOOKUP(Table5[[#This Row],[Product ID]],'Product Master'!$A$2:$D$10,4)</f>
        <v>Supplier B</v>
      </c>
      <c r="P903" s="15">
        <f>Table5[[#This Row],[Total Revenue]]-Table5[[#This Row],[Net Sales Revenue]]</f>
        <v>17000</v>
      </c>
      <c r="Q903" s="15">
        <f>Table5[[#This Row],[Net Sales Revenue]]/Table5[[#This Row],[Units Sold]]</f>
        <v>42</v>
      </c>
      <c r="R903">
        <f>VLOOKUP(Table5[[#This Row],[Product ID]],'Product Master'!$A$1:$E$10,5,FALSE)</f>
        <v>28</v>
      </c>
      <c r="S903" s="15">
        <f>Table5[[#This Row],[standard product cost per unit]]*Table5[[#This Row],[Units Sold]]</f>
        <v>59500</v>
      </c>
      <c r="T903" s="15">
        <f>Table5[[#This Row],[Cost of Sales]]-Table5[[#This Row],[Standard cost]]</f>
        <v>4760</v>
      </c>
      <c r="U903" s="15">
        <f>Table5[[#This Row],[Net Sales Revenue]]-Table5[[#This Row],[Cost of Sales]]</f>
        <v>24990</v>
      </c>
      <c r="V903" s="17">
        <f>Table5[[#This Row],[GrossProfit]]/Table5[[#This Row],[Net Sales Revenue]]</f>
        <v>0.28000000000000003</v>
      </c>
    </row>
    <row r="904" spans="1:22" ht="14.25" customHeight="1" x14ac:dyDescent="0.25">
      <c r="A904" s="1" t="s">
        <v>990</v>
      </c>
      <c r="B904" s="1" t="s">
        <v>988</v>
      </c>
      <c r="C904" s="1" t="s">
        <v>40</v>
      </c>
      <c r="D904" s="1" t="s">
        <v>13</v>
      </c>
      <c r="E904" s="1" t="s">
        <v>15</v>
      </c>
      <c r="F904" s="1">
        <v>2380</v>
      </c>
      <c r="G904" s="14">
        <v>28</v>
      </c>
      <c r="H904" s="1">
        <v>0.14000000000000001</v>
      </c>
      <c r="I904" s="14">
        <v>57310.400000000001</v>
      </c>
      <c r="J904" s="14">
        <v>38556</v>
      </c>
      <c r="K904" s="15">
        <f>Table5[[#This Row],[Selling Price]]*Table5[[#This Row],[Units Sold]]</f>
        <v>66640</v>
      </c>
      <c r="L904" t="str">
        <f t="shared" si="14"/>
        <v>2024-09</v>
      </c>
      <c r="M904" t="str">
        <f>VLOOKUP(Table5[[#This Row],[Store ID]],Table4[[Store ID]:[Store Location]],2)</f>
        <v>Manchester</v>
      </c>
      <c r="N904" t="str">
        <f>VLOOKUP(Table5[[#This Row],[Store ID]],Table4[[Store ID]:[Region]],3)</f>
        <v>North</v>
      </c>
      <c r="O904" t="str">
        <f>VLOOKUP(Table5[[#This Row],[Product ID]],'Product Master'!$A$2:$D$10,4)</f>
        <v>Supplier C</v>
      </c>
      <c r="P904" s="15">
        <f>Table5[[#This Row],[Total Revenue]]-Table5[[#This Row],[Net Sales Revenue]]</f>
        <v>9329.5999999999985</v>
      </c>
      <c r="Q904" s="15">
        <f>Table5[[#This Row],[Net Sales Revenue]]/Table5[[#This Row],[Units Sold]]</f>
        <v>24.080000000000002</v>
      </c>
      <c r="R904">
        <f>VLOOKUP(Table5[[#This Row],[Product ID]],'Product Master'!$A$1:$E$10,5,FALSE)</f>
        <v>15</v>
      </c>
      <c r="S904" s="15">
        <f>Table5[[#This Row],[standard product cost per unit]]*Table5[[#This Row],[Units Sold]]</f>
        <v>35700</v>
      </c>
      <c r="T904" s="15">
        <f>Table5[[#This Row],[Cost of Sales]]-Table5[[#This Row],[Standard cost]]</f>
        <v>2856</v>
      </c>
      <c r="U904" s="15">
        <f>Table5[[#This Row],[Net Sales Revenue]]-Table5[[#This Row],[Cost of Sales]]</f>
        <v>18754.400000000001</v>
      </c>
      <c r="V904" s="17">
        <f>Table5[[#This Row],[GrossProfit]]/Table5[[#This Row],[Net Sales Revenue]]</f>
        <v>0.32724252491694356</v>
      </c>
    </row>
    <row r="905" spans="1:22" ht="14.25" customHeight="1" x14ac:dyDescent="0.25">
      <c r="A905" s="1" t="s">
        <v>991</v>
      </c>
      <c r="B905" s="1" t="s">
        <v>988</v>
      </c>
      <c r="C905" s="1" t="s">
        <v>40</v>
      </c>
      <c r="D905" s="1" t="s">
        <v>17</v>
      </c>
      <c r="E905" s="1" t="s">
        <v>15</v>
      </c>
      <c r="F905" s="1">
        <v>2129</v>
      </c>
      <c r="G905" s="14">
        <v>35</v>
      </c>
      <c r="H905" s="1">
        <v>0.16</v>
      </c>
      <c r="I905" s="14">
        <v>62592.6</v>
      </c>
      <c r="J905" s="14">
        <v>41387.760000000002</v>
      </c>
      <c r="K905" s="15">
        <f>Table5[[#This Row],[Selling Price]]*Table5[[#This Row],[Units Sold]]</f>
        <v>74515</v>
      </c>
      <c r="L905" t="str">
        <f t="shared" si="14"/>
        <v>2024-09</v>
      </c>
      <c r="M905" t="str">
        <f>VLOOKUP(Table5[[#This Row],[Store ID]],Table4[[Store ID]:[Store Location]],2)</f>
        <v>Manchester</v>
      </c>
      <c r="N905" t="str">
        <f>VLOOKUP(Table5[[#This Row],[Store ID]],Table4[[Store ID]:[Region]],3)</f>
        <v>North</v>
      </c>
      <c r="O905" t="str">
        <f>VLOOKUP(Table5[[#This Row],[Product ID]],'Product Master'!$A$2:$D$10,4)</f>
        <v>Supplier C</v>
      </c>
      <c r="P905" s="15">
        <f>Table5[[#This Row],[Total Revenue]]-Table5[[#This Row],[Net Sales Revenue]]</f>
        <v>11922.400000000001</v>
      </c>
      <c r="Q905" s="15">
        <f>Table5[[#This Row],[Net Sales Revenue]]/Table5[[#This Row],[Units Sold]]</f>
        <v>29.4</v>
      </c>
      <c r="R905">
        <f>VLOOKUP(Table5[[#This Row],[Product ID]],'Product Master'!$A$1:$E$10,5,FALSE)</f>
        <v>18</v>
      </c>
      <c r="S905" s="15">
        <f>Table5[[#This Row],[standard product cost per unit]]*Table5[[#This Row],[Units Sold]]</f>
        <v>38322</v>
      </c>
      <c r="T905" s="15">
        <f>Table5[[#This Row],[Cost of Sales]]-Table5[[#This Row],[Standard cost]]</f>
        <v>3065.760000000002</v>
      </c>
      <c r="U905" s="15">
        <f>Table5[[#This Row],[Net Sales Revenue]]-Table5[[#This Row],[Cost of Sales]]</f>
        <v>21204.839999999997</v>
      </c>
      <c r="V905" s="17">
        <f>Table5[[#This Row],[GrossProfit]]/Table5[[#This Row],[Net Sales Revenue]]</f>
        <v>0.33877551020408159</v>
      </c>
    </row>
    <row r="906" spans="1:22" ht="14.25" customHeight="1" x14ac:dyDescent="0.25">
      <c r="A906" s="1" t="s">
        <v>992</v>
      </c>
      <c r="B906" s="1" t="s">
        <v>988</v>
      </c>
      <c r="C906" s="1" t="s">
        <v>40</v>
      </c>
      <c r="D906" s="1" t="s">
        <v>19</v>
      </c>
      <c r="E906" s="1" t="s">
        <v>21</v>
      </c>
      <c r="F906" s="1">
        <v>1711</v>
      </c>
      <c r="G906" s="14">
        <v>18</v>
      </c>
      <c r="H906" s="1">
        <v>0.12</v>
      </c>
      <c r="I906" s="14">
        <v>27102.240000000002</v>
      </c>
      <c r="J906" s="14">
        <v>16630.919999999998</v>
      </c>
      <c r="K906" s="15">
        <f>Table5[[#This Row],[Selling Price]]*Table5[[#This Row],[Units Sold]]</f>
        <v>30798</v>
      </c>
      <c r="L906" t="str">
        <f t="shared" si="14"/>
        <v>2024-09</v>
      </c>
      <c r="M906" t="str">
        <f>VLOOKUP(Table5[[#This Row],[Store ID]],Table4[[Store ID]:[Store Location]],2)</f>
        <v>Manchester</v>
      </c>
      <c r="N906" t="str">
        <f>VLOOKUP(Table5[[#This Row],[Store ID]],Table4[[Store ID]:[Region]],3)</f>
        <v>North</v>
      </c>
      <c r="O906" t="str">
        <f>VLOOKUP(Table5[[#This Row],[Product ID]],'Product Master'!$A$2:$D$10,4)</f>
        <v>Supplier D</v>
      </c>
      <c r="P906" s="15">
        <f>Table5[[#This Row],[Total Revenue]]-Table5[[#This Row],[Net Sales Revenue]]</f>
        <v>3695.7599999999984</v>
      </c>
      <c r="Q906" s="15">
        <f>Table5[[#This Row],[Net Sales Revenue]]/Table5[[#This Row],[Units Sold]]</f>
        <v>15.840000000000002</v>
      </c>
      <c r="R906">
        <f>VLOOKUP(Table5[[#This Row],[Product ID]],'Product Master'!$A$1:$E$10,5,FALSE)</f>
        <v>9</v>
      </c>
      <c r="S906" s="15">
        <f>Table5[[#This Row],[standard product cost per unit]]*Table5[[#This Row],[Units Sold]]</f>
        <v>15399</v>
      </c>
      <c r="T906" s="15">
        <f>Table5[[#This Row],[Cost of Sales]]-Table5[[#This Row],[Standard cost]]</f>
        <v>1231.9199999999983</v>
      </c>
      <c r="U906" s="15">
        <f>Table5[[#This Row],[Net Sales Revenue]]-Table5[[#This Row],[Cost of Sales]]</f>
        <v>10471.320000000003</v>
      </c>
      <c r="V906" s="17">
        <f>Table5[[#This Row],[GrossProfit]]/Table5[[#This Row],[Net Sales Revenue]]</f>
        <v>0.38636363636363646</v>
      </c>
    </row>
    <row r="907" spans="1:22" ht="14.25" customHeight="1" x14ac:dyDescent="0.25">
      <c r="A907" s="1" t="s">
        <v>993</v>
      </c>
      <c r="B907" s="1" t="s">
        <v>988</v>
      </c>
      <c r="C907" s="1" t="s">
        <v>40</v>
      </c>
      <c r="D907" s="1" t="s">
        <v>23</v>
      </c>
      <c r="E907" s="1" t="s">
        <v>21</v>
      </c>
      <c r="F907" s="1">
        <v>1562</v>
      </c>
      <c r="G907" s="14">
        <v>30</v>
      </c>
      <c r="H907" s="1">
        <v>0.14000000000000001</v>
      </c>
      <c r="I907" s="14">
        <v>40299.599999999999</v>
      </c>
      <c r="J907" s="14">
        <v>23617.439999999999</v>
      </c>
      <c r="K907" s="15">
        <f>Table5[[#This Row],[Selling Price]]*Table5[[#This Row],[Units Sold]]</f>
        <v>46860</v>
      </c>
      <c r="L907" t="str">
        <f t="shared" si="14"/>
        <v>2024-09</v>
      </c>
      <c r="M907" t="str">
        <f>VLOOKUP(Table5[[#This Row],[Store ID]],Table4[[Store ID]:[Store Location]],2)</f>
        <v>Manchester</v>
      </c>
      <c r="N907" t="str">
        <f>VLOOKUP(Table5[[#This Row],[Store ID]],Table4[[Store ID]:[Region]],3)</f>
        <v>North</v>
      </c>
      <c r="O907" t="str">
        <f>VLOOKUP(Table5[[#This Row],[Product ID]],'Product Master'!$A$2:$D$10,4)</f>
        <v>Supplier D</v>
      </c>
      <c r="P907" s="15">
        <f>Table5[[#This Row],[Total Revenue]]-Table5[[#This Row],[Net Sales Revenue]]</f>
        <v>6560.4000000000015</v>
      </c>
      <c r="Q907" s="15">
        <f>Table5[[#This Row],[Net Sales Revenue]]/Table5[[#This Row],[Units Sold]]</f>
        <v>25.8</v>
      </c>
      <c r="R907">
        <f>VLOOKUP(Table5[[#This Row],[Product ID]],'Product Master'!$A$1:$E$10,5,FALSE)</f>
        <v>14</v>
      </c>
      <c r="S907" s="15">
        <f>Table5[[#This Row],[standard product cost per unit]]*Table5[[#This Row],[Units Sold]]</f>
        <v>21868</v>
      </c>
      <c r="T907" s="15">
        <f>Table5[[#This Row],[Cost of Sales]]-Table5[[#This Row],[Standard cost]]</f>
        <v>1749.4399999999987</v>
      </c>
      <c r="U907" s="15">
        <f>Table5[[#This Row],[Net Sales Revenue]]-Table5[[#This Row],[Cost of Sales]]</f>
        <v>16682.16</v>
      </c>
      <c r="V907" s="17">
        <f>Table5[[#This Row],[GrossProfit]]/Table5[[#This Row],[Net Sales Revenue]]</f>
        <v>0.41395348837209306</v>
      </c>
    </row>
    <row r="908" spans="1:22" ht="14.25" customHeight="1" x14ac:dyDescent="0.25">
      <c r="A908" s="1" t="s">
        <v>994</v>
      </c>
      <c r="B908" s="1" t="s">
        <v>988</v>
      </c>
      <c r="C908" s="1" t="s">
        <v>40</v>
      </c>
      <c r="D908" s="1" t="s">
        <v>25</v>
      </c>
      <c r="E908" s="1" t="s">
        <v>27</v>
      </c>
      <c r="F908" s="1">
        <v>2292</v>
      </c>
      <c r="G908" s="14">
        <v>40</v>
      </c>
      <c r="H908" s="1">
        <v>0.16</v>
      </c>
      <c r="I908" s="14">
        <v>77011.199999999997</v>
      </c>
      <c r="J908" s="14">
        <v>49507.199999999997</v>
      </c>
      <c r="K908" s="15">
        <f>Table5[[#This Row],[Selling Price]]*Table5[[#This Row],[Units Sold]]</f>
        <v>91680</v>
      </c>
      <c r="L908" t="str">
        <f t="shared" si="14"/>
        <v>2024-09</v>
      </c>
      <c r="M908" t="str">
        <f>VLOOKUP(Table5[[#This Row],[Store ID]],Table4[[Store ID]:[Store Location]],2)</f>
        <v>Manchester</v>
      </c>
      <c r="N908" t="str">
        <f>VLOOKUP(Table5[[#This Row],[Store ID]],Table4[[Store ID]:[Region]],3)</f>
        <v>North</v>
      </c>
      <c r="O908" t="str">
        <f>VLOOKUP(Table5[[#This Row],[Product ID]],'Product Master'!$A$2:$D$10,4)</f>
        <v>Supplier E</v>
      </c>
      <c r="P908" s="15">
        <f>Table5[[#This Row],[Total Revenue]]-Table5[[#This Row],[Net Sales Revenue]]</f>
        <v>14668.800000000003</v>
      </c>
      <c r="Q908" s="15">
        <f>Table5[[#This Row],[Net Sales Revenue]]/Table5[[#This Row],[Units Sold]]</f>
        <v>33.6</v>
      </c>
      <c r="R908">
        <f>VLOOKUP(Table5[[#This Row],[Product ID]],'Product Master'!$A$1:$E$10,5,FALSE)</f>
        <v>20</v>
      </c>
      <c r="S908" s="15">
        <f>Table5[[#This Row],[standard product cost per unit]]*Table5[[#This Row],[Units Sold]]</f>
        <v>45840</v>
      </c>
      <c r="T908" s="15">
        <f>Table5[[#This Row],[Cost of Sales]]-Table5[[#This Row],[Standard cost]]</f>
        <v>3667.1999999999971</v>
      </c>
      <c r="U908" s="15">
        <f>Table5[[#This Row],[Net Sales Revenue]]-Table5[[#This Row],[Cost of Sales]]</f>
        <v>27504</v>
      </c>
      <c r="V908" s="17">
        <f>Table5[[#This Row],[GrossProfit]]/Table5[[#This Row],[Net Sales Revenue]]</f>
        <v>0.35714285714285715</v>
      </c>
    </row>
    <row r="909" spans="1:22" ht="14.25" customHeight="1" x14ac:dyDescent="0.25">
      <c r="A909" s="1" t="s">
        <v>995</v>
      </c>
      <c r="B909" s="1" t="s">
        <v>988</v>
      </c>
      <c r="C909" s="1" t="s">
        <v>40</v>
      </c>
      <c r="D909" s="1" t="s">
        <v>29</v>
      </c>
      <c r="E909" s="1" t="s">
        <v>31</v>
      </c>
      <c r="F909" s="1">
        <v>2930</v>
      </c>
      <c r="G909" s="14">
        <v>10</v>
      </c>
      <c r="H909" s="1">
        <v>0.14000000000000001</v>
      </c>
      <c r="I909" s="14">
        <v>25198</v>
      </c>
      <c r="J909" s="14">
        <v>12657.6</v>
      </c>
      <c r="K909" s="15">
        <f>Table5[[#This Row],[Selling Price]]*Table5[[#This Row],[Units Sold]]</f>
        <v>29300</v>
      </c>
      <c r="L909" t="str">
        <f t="shared" si="14"/>
        <v>2024-09</v>
      </c>
      <c r="M909" t="str">
        <f>VLOOKUP(Table5[[#This Row],[Store ID]],Table4[[Store ID]:[Store Location]],2)</f>
        <v>Manchester</v>
      </c>
      <c r="N909" t="str">
        <f>VLOOKUP(Table5[[#This Row],[Store ID]],Table4[[Store ID]:[Region]],3)</f>
        <v>North</v>
      </c>
      <c r="O909" t="str">
        <f>VLOOKUP(Table5[[#This Row],[Product ID]],'Product Master'!$A$2:$D$10,4)</f>
        <v>Supplier F</v>
      </c>
      <c r="P909" s="15">
        <f>Table5[[#This Row],[Total Revenue]]-Table5[[#This Row],[Net Sales Revenue]]</f>
        <v>4102</v>
      </c>
      <c r="Q909" s="15">
        <f>Table5[[#This Row],[Net Sales Revenue]]/Table5[[#This Row],[Units Sold]]</f>
        <v>8.6</v>
      </c>
      <c r="R909">
        <f>VLOOKUP(Table5[[#This Row],[Product ID]],'Product Master'!$A$1:$E$10,5,FALSE)</f>
        <v>4</v>
      </c>
      <c r="S909" s="15">
        <f>Table5[[#This Row],[standard product cost per unit]]*Table5[[#This Row],[Units Sold]]</f>
        <v>11720</v>
      </c>
      <c r="T909" s="15">
        <f>Table5[[#This Row],[Cost of Sales]]-Table5[[#This Row],[Standard cost]]</f>
        <v>937.60000000000036</v>
      </c>
      <c r="U909" s="15">
        <f>Table5[[#This Row],[Net Sales Revenue]]-Table5[[#This Row],[Cost of Sales]]</f>
        <v>12540.4</v>
      </c>
      <c r="V909" s="17">
        <f>Table5[[#This Row],[GrossProfit]]/Table5[[#This Row],[Net Sales Revenue]]</f>
        <v>0.49767441860465117</v>
      </c>
    </row>
    <row r="910" spans="1:22" ht="14.25" customHeight="1" x14ac:dyDescent="0.25">
      <c r="A910" s="1" t="s">
        <v>996</v>
      </c>
      <c r="B910" s="1" t="s">
        <v>988</v>
      </c>
      <c r="C910" s="1" t="s">
        <v>40</v>
      </c>
      <c r="D910" s="1" t="s">
        <v>33</v>
      </c>
      <c r="E910" s="1" t="s">
        <v>31</v>
      </c>
      <c r="F910" s="1">
        <v>2776</v>
      </c>
      <c r="G910" s="14">
        <v>22</v>
      </c>
      <c r="H910" s="1">
        <v>0.13</v>
      </c>
      <c r="I910" s="14">
        <v>53132.639999999999</v>
      </c>
      <c r="J910" s="14">
        <v>29980.799999999999</v>
      </c>
      <c r="K910" s="15">
        <f>Table5[[#This Row],[Selling Price]]*Table5[[#This Row],[Units Sold]]</f>
        <v>61072</v>
      </c>
      <c r="L910" t="str">
        <f t="shared" si="14"/>
        <v>2024-09</v>
      </c>
      <c r="M910" t="str">
        <f>VLOOKUP(Table5[[#This Row],[Store ID]],Table4[[Store ID]:[Store Location]],2)</f>
        <v>Manchester</v>
      </c>
      <c r="N910" t="str">
        <f>VLOOKUP(Table5[[#This Row],[Store ID]],Table4[[Store ID]:[Region]],3)</f>
        <v>North</v>
      </c>
      <c r="O910" t="str">
        <f>VLOOKUP(Table5[[#This Row],[Product ID]],'Product Master'!$A$2:$D$10,4)</f>
        <v>Supplier F</v>
      </c>
      <c r="P910" s="15">
        <f>Table5[[#This Row],[Total Revenue]]-Table5[[#This Row],[Net Sales Revenue]]</f>
        <v>7939.3600000000006</v>
      </c>
      <c r="Q910" s="15">
        <f>Table5[[#This Row],[Net Sales Revenue]]/Table5[[#This Row],[Units Sold]]</f>
        <v>19.14</v>
      </c>
      <c r="R910">
        <f>VLOOKUP(Table5[[#This Row],[Product ID]],'Product Master'!$A$1:$E$10,5,FALSE)</f>
        <v>10</v>
      </c>
      <c r="S910" s="15">
        <f>Table5[[#This Row],[standard product cost per unit]]*Table5[[#This Row],[Units Sold]]</f>
        <v>27760</v>
      </c>
      <c r="T910" s="15">
        <f>Table5[[#This Row],[Cost of Sales]]-Table5[[#This Row],[Standard cost]]</f>
        <v>2220.7999999999993</v>
      </c>
      <c r="U910" s="15">
        <f>Table5[[#This Row],[Net Sales Revenue]]-Table5[[#This Row],[Cost of Sales]]</f>
        <v>23151.84</v>
      </c>
      <c r="V910" s="17">
        <f>Table5[[#This Row],[GrossProfit]]/Table5[[#This Row],[Net Sales Revenue]]</f>
        <v>0.43573667711598746</v>
      </c>
    </row>
    <row r="911" spans="1:22" ht="14.25" customHeight="1" x14ac:dyDescent="0.25">
      <c r="A911" s="1" t="s">
        <v>997</v>
      </c>
      <c r="B911" s="1" t="s">
        <v>988</v>
      </c>
      <c r="C911" s="1" t="s">
        <v>44</v>
      </c>
      <c r="D911" s="1" t="s">
        <v>6</v>
      </c>
      <c r="E911" s="1" t="s">
        <v>8</v>
      </c>
      <c r="F911" s="1">
        <v>2965</v>
      </c>
      <c r="G911" s="14">
        <v>24</v>
      </c>
      <c r="H911" s="1">
        <v>0.16</v>
      </c>
      <c r="I911" s="14">
        <v>59774.400000000001</v>
      </c>
      <c r="J911" s="14">
        <v>38426.400000000001</v>
      </c>
      <c r="K911" s="15">
        <f>Table5[[#This Row],[Selling Price]]*Table5[[#This Row],[Units Sold]]</f>
        <v>71160</v>
      </c>
      <c r="L911" t="str">
        <f t="shared" si="14"/>
        <v>2024-09</v>
      </c>
      <c r="M911" t="str">
        <f>VLOOKUP(Table5[[#This Row],[Store ID]],Table4[[Store ID]:[Store Location]],2)</f>
        <v>Birmingham</v>
      </c>
      <c r="N911" t="str">
        <f>VLOOKUP(Table5[[#This Row],[Store ID]],Table4[[Store ID]:[Region]],3)</f>
        <v>Midlands</v>
      </c>
      <c r="O911" t="str">
        <f>VLOOKUP(Table5[[#This Row],[Product ID]],'Product Master'!$A$2:$D$10,4)</f>
        <v>Supplier A</v>
      </c>
      <c r="P911" s="15">
        <f>Table5[[#This Row],[Total Revenue]]-Table5[[#This Row],[Net Sales Revenue]]</f>
        <v>11385.599999999999</v>
      </c>
      <c r="Q911" s="15">
        <f>Table5[[#This Row],[Net Sales Revenue]]/Table5[[#This Row],[Units Sold]]</f>
        <v>20.16</v>
      </c>
      <c r="R911">
        <f>VLOOKUP(Table5[[#This Row],[Product ID]],'Product Master'!$A$1:$E$10,5,FALSE)</f>
        <v>12</v>
      </c>
      <c r="S911" s="15">
        <f>Table5[[#This Row],[standard product cost per unit]]*Table5[[#This Row],[Units Sold]]</f>
        <v>35580</v>
      </c>
      <c r="T911" s="15">
        <f>Table5[[#This Row],[Cost of Sales]]-Table5[[#This Row],[Standard cost]]</f>
        <v>2846.4000000000015</v>
      </c>
      <c r="U911" s="15">
        <f>Table5[[#This Row],[Net Sales Revenue]]-Table5[[#This Row],[Cost of Sales]]</f>
        <v>21348</v>
      </c>
      <c r="V911" s="17">
        <f>Table5[[#This Row],[GrossProfit]]/Table5[[#This Row],[Net Sales Revenue]]</f>
        <v>0.35714285714285715</v>
      </c>
    </row>
    <row r="912" spans="1:22" ht="14.25" customHeight="1" x14ac:dyDescent="0.25">
      <c r="A912" s="1" t="s">
        <v>998</v>
      </c>
      <c r="B912" s="1" t="s">
        <v>988</v>
      </c>
      <c r="C912" s="1" t="s">
        <v>44</v>
      </c>
      <c r="D912" s="1" t="s">
        <v>10</v>
      </c>
      <c r="E912" s="1" t="s">
        <v>8</v>
      </c>
      <c r="F912" s="1">
        <v>1482</v>
      </c>
      <c r="G912" s="14">
        <v>50</v>
      </c>
      <c r="H912" s="1">
        <v>0.12</v>
      </c>
      <c r="I912" s="14">
        <v>65208</v>
      </c>
      <c r="J912" s="14">
        <v>44815.68</v>
      </c>
      <c r="K912" s="15">
        <f>Table5[[#This Row],[Selling Price]]*Table5[[#This Row],[Units Sold]]</f>
        <v>74100</v>
      </c>
      <c r="L912" t="str">
        <f t="shared" si="14"/>
        <v>2024-09</v>
      </c>
      <c r="M912" t="str">
        <f>VLOOKUP(Table5[[#This Row],[Store ID]],Table4[[Store ID]:[Store Location]],2)</f>
        <v>Birmingham</v>
      </c>
      <c r="N912" t="str">
        <f>VLOOKUP(Table5[[#This Row],[Store ID]],Table4[[Store ID]:[Region]],3)</f>
        <v>Midlands</v>
      </c>
      <c r="O912" t="str">
        <f>VLOOKUP(Table5[[#This Row],[Product ID]],'Product Master'!$A$2:$D$10,4)</f>
        <v>Supplier B</v>
      </c>
      <c r="P912" s="15">
        <f>Table5[[#This Row],[Total Revenue]]-Table5[[#This Row],[Net Sales Revenue]]</f>
        <v>8892</v>
      </c>
      <c r="Q912" s="15">
        <f>Table5[[#This Row],[Net Sales Revenue]]/Table5[[#This Row],[Units Sold]]</f>
        <v>44</v>
      </c>
      <c r="R912">
        <f>VLOOKUP(Table5[[#This Row],[Product ID]],'Product Master'!$A$1:$E$10,5,FALSE)</f>
        <v>28</v>
      </c>
      <c r="S912" s="15">
        <f>Table5[[#This Row],[standard product cost per unit]]*Table5[[#This Row],[Units Sold]]</f>
        <v>41496</v>
      </c>
      <c r="T912" s="15">
        <f>Table5[[#This Row],[Cost of Sales]]-Table5[[#This Row],[Standard cost]]</f>
        <v>3319.6800000000003</v>
      </c>
      <c r="U912" s="15">
        <f>Table5[[#This Row],[Net Sales Revenue]]-Table5[[#This Row],[Cost of Sales]]</f>
        <v>20392.32</v>
      </c>
      <c r="V912" s="17">
        <f>Table5[[#This Row],[GrossProfit]]/Table5[[#This Row],[Net Sales Revenue]]</f>
        <v>0.31272727272727274</v>
      </c>
    </row>
    <row r="913" spans="1:22" ht="14.25" customHeight="1" x14ac:dyDescent="0.25">
      <c r="A913" s="1" t="s">
        <v>999</v>
      </c>
      <c r="B913" s="1" t="s">
        <v>988</v>
      </c>
      <c r="C913" s="1" t="s">
        <v>44</v>
      </c>
      <c r="D913" s="1" t="s">
        <v>13</v>
      </c>
      <c r="E913" s="1" t="s">
        <v>15</v>
      </c>
      <c r="F913" s="1">
        <v>2626</v>
      </c>
      <c r="G913" s="14">
        <v>28</v>
      </c>
      <c r="H913" s="1">
        <v>0.14000000000000001</v>
      </c>
      <c r="I913" s="14">
        <v>63234.080000000002</v>
      </c>
      <c r="J913" s="14">
        <v>42541.2</v>
      </c>
      <c r="K913" s="15">
        <f>Table5[[#This Row],[Selling Price]]*Table5[[#This Row],[Units Sold]]</f>
        <v>73528</v>
      </c>
      <c r="L913" t="str">
        <f t="shared" si="14"/>
        <v>2024-09</v>
      </c>
      <c r="M913" t="str">
        <f>VLOOKUP(Table5[[#This Row],[Store ID]],Table4[[Store ID]:[Store Location]],2)</f>
        <v>Birmingham</v>
      </c>
      <c r="N913" t="str">
        <f>VLOOKUP(Table5[[#This Row],[Store ID]],Table4[[Store ID]:[Region]],3)</f>
        <v>Midlands</v>
      </c>
      <c r="O913" t="str">
        <f>VLOOKUP(Table5[[#This Row],[Product ID]],'Product Master'!$A$2:$D$10,4)</f>
        <v>Supplier C</v>
      </c>
      <c r="P913" s="15">
        <f>Table5[[#This Row],[Total Revenue]]-Table5[[#This Row],[Net Sales Revenue]]</f>
        <v>10293.919999999998</v>
      </c>
      <c r="Q913" s="15">
        <f>Table5[[#This Row],[Net Sales Revenue]]/Table5[[#This Row],[Units Sold]]</f>
        <v>24.080000000000002</v>
      </c>
      <c r="R913">
        <f>VLOOKUP(Table5[[#This Row],[Product ID]],'Product Master'!$A$1:$E$10,5,FALSE)</f>
        <v>15</v>
      </c>
      <c r="S913" s="15">
        <f>Table5[[#This Row],[standard product cost per unit]]*Table5[[#This Row],[Units Sold]]</f>
        <v>39390</v>
      </c>
      <c r="T913" s="15">
        <f>Table5[[#This Row],[Cost of Sales]]-Table5[[#This Row],[Standard cost]]</f>
        <v>3151.1999999999971</v>
      </c>
      <c r="U913" s="15">
        <f>Table5[[#This Row],[Net Sales Revenue]]-Table5[[#This Row],[Cost of Sales]]</f>
        <v>20692.880000000005</v>
      </c>
      <c r="V913" s="17">
        <f>Table5[[#This Row],[GrossProfit]]/Table5[[#This Row],[Net Sales Revenue]]</f>
        <v>0.32724252491694361</v>
      </c>
    </row>
    <row r="914" spans="1:22" ht="14.25" customHeight="1" x14ac:dyDescent="0.25">
      <c r="A914" s="1" t="s">
        <v>1000</v>
      </c>
      <c r="B914" s="1" t="s">
        <v>988</v>
      </c>
      <c r="C914" s="1" t="s">
        <v>44</v>
      </c>
      <c r="D914" s="1" t="s">
        <v>17</v>
      </c>
      <c r="E914" s="1" t="s">
        <v>15</v>
      </c>
      <c r="F914" s="1">
        <v>2565</v>
      </c>
      <c r="G914" s="14">
        <v>35</v>
      </c>
      <c r="H914" s="1">
        <v>0.14000000000000001</v>
      </c>
      <c r="I914" s="14">
        <v>77206.5</v>
      </c>
      <c r="J914" s="14">
        <v>49863.6</v>
      </c>
      <c r="K914" s="15">
        <f>Table5[[#This Row],[Selling Price]]*Table5[[#This Row],[Units Sold]]</f>
        <v>89775</v>
      </c>
      <c r="L914" t="str">
        <f t="shared" si="14"/>
        <v>2024-09</v>
      </c>
      <c r="M914" t="str">
        <f>VLOOKUP(Table5[[#This Row],[Store ID]],Table4[[Store ID]:[Store Location]],2)</f>
        <v>Birmingham</v>
      </c>
      <c r="N914" t="str">
        <f>VLOOKUP(Table5[[#This Row],[Store ID]],Table4[[Store ID]:[Region]],3)</f>
        <v>Midlands</v>
      </c>
      <c r="O914" t="str">
        <f>VLOOKUP(Table5[[#This Row],[Product ID]],'Product Master'!$A$2:$D$10,4)</f>
        <v>Supplier C</v>
      </c>
      <c r="P914" s="15">
        <f>Table5[[#This Row],[Total Revenue]]-Table5[[#This Row],[Net Sales Revenue]]</f>
        <v>12568.5</v>
      </c>
      <c r="Q914" s="15">
        <f>Table5[[#This Row],[Net Sales Revenue]]/Table5[[#This Row],[Units Sold]]</f>
        <v>30.1</v>
      </c>
      <c r="R914">
        <f>VLOOKUP(Table5[[#This Row],[Product ID]],'Product Master'!$A$1:$E$10,5,FALSE)</f>
        <v>18</v>
      </c>
      <c r="S914" s="15">
        <f>Table5[[#This Row],[standard product cost per unit]]*Table5[[#This Row],[Units Sold]]</f>
        <v>46170</v>
      </c>
      <c r="T914" s="15">
        <f>Table5[[#This Row],[Cost of Sales]]-Table5[[#This Row],[Standard cost]]</f>
        <v>3693.5999999999985</v>
      </c>
      <c r="U914" s="15">
        <f>Table5[[#This Row],[Net Sales Revenue]]-Table5[[#This Row],[Cost of Sales]]</f>
        <v>27342.9</v>
      </c>
      <c r="V914" s="17">
        <f>Table5[[#This Row],[GrossProfit]]/Table5[[#This Row],[Net Sales Revenue]]</f>
        <v>0.35415282392026581</v>
      </c>
    </row>
    <row r="915" spans="1:22" ht="14.25" customHeight="1" x14ac:dyDescent="0.25">
      <c r="A915" s="1" t="s">
        <v>1001</v>
      </c>
      <c r="B915" s="1" t="s">
        <v>988</v>
      </c>
      <c r="C915" s="1" t="s">
        <v>44</v>
      </c>
      <c r="D915" s="1" t="s">
        <v>19</v>
      </c>
      <c r="E915" s="1" t="s">
        <v>21</v>
      </c>
      <c r="F915" s="1">
        <v>3018</v>
      </c>
      <c r="G915" s="14">
        <v>18</v>
      </c>
      <c r="H915" s="1">
        <v>0.15</v>
      </c>
      <c r="I915" s="14">
        <v>46175.4</v>
      </c>
      <c r="J915" s="14">
        <v>29334.959999999999</v>
      </c>
      <c r="K915" s="15">
        <f>Table5[[#This Row],[Selling Price]]*Table5[[#This Row],[Units Sold]]</f>
        <v>54324</v>
      </c>
      <c r="L915" t="str">
        <f t="shared" si="14"/>
        <v>2024-09</v>
      </c>
      <c r="M915" t="str">
        <f>VLOOKUP(Table5[[#This Row],[Store ID]],Table4[[Store ID]:[Store Location]],2)</f>
        <v>Birmingham</v>
      </c>
      <c r="N915" t="str">
        <f>VLOOKUP(Table5[[#This Row],[Store ID]],Table4[[Store ID]:[Region]],3)</f>
        <v>Midlands</v>
      </c>
      <c r="O915" t="str">
        <f>VLOOKUP(Table5[[#This Row],[Product ID]],'Product Master'!$A$2:$D$10,4)</f>
        <v>Supplier D</v>
      </c>
      <c r="P915" s="15">
        <f>Table5[[#This Row],[Total Revenue]]-Table5[[#This Row],[Net Sales Revenue]]</f>
        <v>8148.5999999999985</v>
      </c>
      <c r="Q915" s="15">
        <f>Table5[[#This Row],[Net Sales Revenue]]/Table5[[#This Row],[Units Sold]]</f>
        <v>15.3</v>
      </c>
      <c r="R915">
        <f>VLOOKUP(Table5[[#This Row],[Product ID]],'Product Master'!$A$1:$E$10,5,FALSE)</f>
        <v>9</v>
      </c>
      <c r="S915" s="15">
        <f>Table5[[#This Row],[standard product cost per unit]]*Table5[[#This Row],[Units Sold]]</f>
        <v>27162</v>
      </c>
      <c r="T915" s="15">
        <f>Table5[[#This Row],[Cost of Sales]]-Table5[[#This Row],[Standard cost]]</f>
        <v>2172.9599999999991</v>
      </c>
      <c r="U915" s="15">
        <f>Table5[[#This Row],[Net Sales Revenue]]-Table5[[#This Row],[Cost of Sales]]</f>
        <v>16840.440000000002</v>
      </c>
      <c r="V915" s="17">
        <f>Table5[[#This Row],[GrossProfit]]/Table5[[#This Row],[Net Sales Revenue]]</f>
        <v>0.36470588235294121</v>
      </c>
    </row>
    <row r="916" spans="1:22" ht="14.25" customHeight="1" x14ac:dyDescent="0.25">
      <c r="A916" s="1" t="s">
        <v>1002</v>
      </c>
      <c r="B916" s="1" t="s">
        <v>988</v>
      </c>
      <c r="C916" s="1" t="s">
        <v>44</v>
      </c>
      <c r="D916" s="1" t="s">
        <v>23</v>
      </c>
      <c r="E916" s="1" t="s">
        <v>21</v>
      </c>
      <c r="F916" s="1">
        <v>1408</v>
      </c>
      <c r="G916" s="14">
        <v>30</v>
      </c>
      <c r="H916" s="1">
        <v>0.12</v>
      </c>
      <c r="I916" s="14">
        <v>37171.199999999997</v>
      </c>
      <c r="J916" s="14">
        <v>21288.959999999999</v>
      </c>
      <c r="K916" s="15">
        <f>Table5[[#This Row],[Selling Price]]*Table5[[#This Row],[Units Sold]]</f>
        <v>42240</v>
      </c>
      <c r="L916" t="str">
        <f t="shared" si="14"/>
        <v>2024-09</v>
      </c>
      <c r="M916" t="str">
        <f>VLOOKUP(Table5[[#This Row],[Store ID]],Table4[[Store ID]:[Store Location]],2)</f>
        <v>Birmingham</v>
      </c>
      <c r="N916" t="str">
        <f>VLOOKUP(Table5[[#This Row],[Store ID]],Table4[[Store ID]:[Region]],3)</f>
        <v>Midlands</v>
      </c>
      <c r="O916" t="str">
        <f>VLOOKUP(Table5[[#This Row],[Product ID]],'Product Master'!$A$2:$D$10,4)</f>
        <v>Supplier D</v>
      </c>
      <c r="P916" s="15">
        <f>Table5[[#This Row],[Total Revenue]]-Table5[[#This Row],[Net Sales Revenue]]</f>
        <v>5068.8000000000029</v>
      </c>
      <c r="Q916" s="15">
        <f>Table5[[#This Row],[Net Sales Revenue]]/Table5[[#This Row],[Units Sold]]</f>
        <v>26.4</v>
      </c>
      <c r="R916">
        <f>VLOOKUP(Table5[[#This Row],[Product ID]],'Product Master'!$A$1:$E$10,5,FALSE)</f>
        <v>14</v>
      </c>
      <c r="S916" s="15">
        <f>Table5[[#This Row],[standard product cost per unit]]*Table5[[#This Row],[Units Sold]]</f>
        <v>19712</v>
      </c>
      <c r="T916" s="15">
        <f>Table5[[#This Row],[Cost of Sales]]-Table5[[#This Row],[Standard cost]]</f>
        <v>1576.9599999999991</v>
      </c>
      <c r="U916" s="15">
        <f>Table5[[#This Row],[Net Sales Revenue]]-Table5[[#This Row],[Cost of Sales]]</f>
        <v>15882.239999999998</v>
      </c>
      <c r="V916" s="17">
        <f>Table5[[#This Row],[GrossProfit]]/Table5[[#This Row],[Net Sales Revenue]]</f>
        <v>0.42727272727272725</v>
      </c>
    </row>
    <row r="917" spans="1:22" ht="14.25" customHeight="1" x14ac:dyDescent="0.25">
      <c r="A917" s="1" t="s">
        <v>1003</v>
      </c>
      <c r="B917" s="1" t="s">
        <v>988</v>
      </c>
      <c r="C917" s="1" t="s">
        <v>44</v>
      </c>
      <c r="D917" s="1" t="s">
        <v>25</v>
      </c>
      <c r="E917" s="1" t="s">
        <v>27</v>
      </c>
      <c r="F917" s="1">
        <v>2543</v>
      </c>
      <c r="G917" s="14">
        <v>40</v>
      </c>
      <c r="H917" s="1">
        <v>0.14000000000000001</v>
      </c>
      <c r="I917" s="14">
        <v>87479.2</v>
      </c>
      <c r="J917" s="14">
        <v>54928.800000000003</v>
      </c>
      <c r="K917" s="15">
        <f>Table5[[#This Row],[Selling Price]]*Table5[[#This Row],[Units Sold]]</f>
        <v>101720</v>
      </c>
      <c r="L917" t="str">
        <f t="shared" si="14"/>
        <v>2024-09</v>
      </c>
      <c r="M917" t="str">
        <f>VLOOKUP(Table5[[#This Row],[Store ID]],Table4[[Store ID]:[Store Location]],2)</f>
        <v>Birmingham</v>
      </c>
      <c r="N917" t="str">
        <f>VLOOKUP(Table5[[#This Row],[Store ID]],Table4[[Store ID]:[Region]],3)</f>
        <v>Midlands</v>
      </c>
      <c r="O917" t="str">
        <f>VLOOKUP(Table5[[#This Row],[Product ID]],'Product Master'!$A$2:$D$10,4)</f>
        <v>Supplier E</v>
      </c>
      <c r="P917" s="15">
        <f>Table5[[#This Row],[Total Revenue]]-Table5[[#This Row],[Net Sales Revenue]]</f>
        <v>14240.800000000003</v>
      </c>
      <c r="Q917" s="15">
        <f>Table5[[#This Row],[Net Sales Revenue]]/Table5[[#This Row],[Units Sold]]</f>
        <v>34.4</v>
      </c>
      <c r="R917">
        <f>VLOOKUP(Table5[[#This Row],[Product ID]],'Product Master'!$A$1:$E$10,5,FALSE)</f>
        <v>20</v>
      </c>
      <c r="S917" s="15">
        <f>Table5[[#This Row],[standard product cost per unit]]*Table5[[#This Row],[Units Sold]]</f>
        <v>50860</v>
      </c>
      <c r="T917" s="15">
        <f>Table5[[#This Row],[Cost of Sales]]-Table5[[#This Row],[Standard cost]]</f>
        <v>4068.8000000000029</v>
      </c>
      <c r="U917" s="15">
        <f>Table5[[#This Row],[Net Sales Revenue]]-Table5[[#This Row],[Cost of Sales]]</f>
        <v>32550.399999999994</v>
      </c>
      <c r="V917" s="17">
        <f>Table5[[#This Row],[GrossProfit]]/Table5[[#This Row],[Net Sales Revenue]]</f>
        <v>0.37209302325581389</v>
      </c>
    </row>
    <row r="918" spans="1:22" ht="14.25" customHeight="1" x14ac:dyDescent="0.25">
      <c r="A918" s="1" t="s">
        <v>1004</v>
      </c>
      <c r="B918" s="1" t="s">
        <v>988</v>
      </c>
      <c r="C918" s="1" t="s">
        <v>44</v>
      </c>
      <c r="D918" s="1" t="s">
        <v>29</v>
      </c>
      <c r="E918" s="1" t="s">
        <v>31</v>
      </c>
      <c r="F918" s="1">
        <v>1808</v>
      </c>
      <c r="G918" s="14">
        <v>10</v>
      </c>
      <c r="H918" s="1">
        <v>0.13</v>
      </c>
      <c r="I918" s="14">
        <v>15729.6</v>
      </c>
      <c r="J918" s="14">
        <v>7810.56</v>
      </c>
      <c r="K918" s="15">
        <f>Table5[[#This Row],[Selling Price]]*Table5[[#This Row],[Units Sold]]</f>
        <v>18080</v>
      </c>
      <c r="L918" t="str">
        <f t="shared" si="14"/>
        <v>2024-09</v>
      </c>
      <c r="M918" t="str">
        <f>VLOOKUP(Table5[[#This Row],[Store ID]],Table4[[Store ID]:[Store Location]],2)</f>
        <v>Birmingham</v>
      </c>
      <c r="N918" t="str">
        <f>VLOOKUP(Table5[[#This Row],[Store ID]],Table4[[Store ID]:[Region]],3)</f>
        <v>Midlands</v>
      </c>
      <c r="O918" t="str">
        <f>VLOOKUP(Table5[[#This Row],[Product ID]],'Product Master'!$A$2:$D$10,4)</f>
        <v>Supplier F</v>
      </c>
      <c r="P918" s="15">
        <f>Table5[[#This Row],[Total Revenue]]-Table5[[#This Row],[Net Sales Revenue]]</f>
        <v>2350.3999999999996</v>
      </c>
      <c r="Q918" s="15">
        <f>Table5[[#This Row],[Net Sales Revenue]]/Table5[[#This Row],[Units Sold]]</f>
        <v>8.7000000000000011</v>
      </c>
      <c r="R918">
        <f>VLOOKUP(Table5[[#This Row],[Product ID]],'Product Master'!$A$1:$E$10,5,FALSE)</f>
        <v>4</v>
      </c>
      <c r="S918" s="15">
        <f>Table5[[#This Row],[standard product cost per unit]]*Table5[[#This Row],[Units Sold]]</f>
        <v>7232</v>
      </c>
      <c r="T918" s="15">
        <f>Table5[[#This Row],[Cost of Sales]]-Table5[[#This Row],[Standard cost]]</f>
        <v>578.5600000000004</v>
      </c>
      <c r="U918" s="15">
        <f>Table5[[#This Row],[Net Sales Revenue]]-Table5[[#This Row],[Cost of Sales]]</f>
        <v>7919.04</v>
      </c>
      <c r="V918" s="17">
        <f>Table5[[#This Row],[GrossProfit]]/Table5[[#This Row],[Net Sales Revenue]]</f>
        <v>0.50344827586206897</v>
      </c>
    </row>
    <row r="919" spans="1:22" ht="14.25" customHeight="1" x14ac:dyDescent="0.25">
      <c r="A919" s="1" t="s">
        <v>1005</v>
      </c>
      <c r="B919" s="1" t="s">
        <v>988</v>
      </c>
      <c r="C919" s="1" t="s">
        <v>44</v>
      </c>
      <c r="D919" s="1" t="s">
        <v>33</v>
      </c>
      <c r="E919" s="1" t="s">
        <v>31</v>
      </c>
      <c r="F919" s="1">
        <v>2912</v>
      </c>
      <c r="G919" s="14">
        <v>22</v>
      </c>
      <c r="H919" s="1">
        <v>0.17</v>
      </c>
      <c r="I919" s="14">
        <v>53173.120000000003</v>
      </c>
      <c r="J919" s="14">
        <v>31449.599999999999</v>
      </c>
      <c r="K919" s="15">
        <f>Table5[[#This Row],[Selling Price]]*Table5[[#This Row],[Units Sold]]</f>
        <v>64064</v>
      </c>
      <c r="L919" t="str">
        <f t="shared" si="14"/>
        <v>2024-09</v>
      </c>
      <c r="M919" t="str">
        <f>VLOOKUP(Table5[[#This Row],[Store ID]],Table4[[Store ID]:[Store Location]],2)</f>
        <v>Birmingham</v>
      </c>
      <c r="N919" t="str">
        <f>VLOOKUP(Table5[[#This Row],[Store ID]],Table4[[Store ID]:[Region]],3)</f>
        <v>Midlands</v>
      </c>
      <c r="O919" t="str">
        <f>VLOOKUP(Table5[[#This Row],[Product ID]],'Product Master'!$A$2:$D$10,4)</f>
        <v>Supplier F</v>
      </c>
      <c r="P919" s="15">
        <f>Table5[[#This Row],[Total Revenue]]-Table5[[#This Row],[Net Sales Revenue]]</f>
        <v>10890.879999999997</v>
      </c>
      <c r="Q919" s="15">
        <f>Table5[[#This Row],[Net Sales Revenue]]/Table5[[#This Row],[Units Sold]]</f>
        <v>18.260000000000002</v>
      </c>
      <c r="R919">
        <f>VLOOKUP(Table5[[#This Row],[Product ID]],'Product Master'!$A$1:$E$10,5,FALSE)</f>
        <v>10</v>
      </c>
      <c r="S919" s="15">
        <f>Table5[[#This Row],[standard product cost per unit]]*Table5[[#This Row],[Units Sold]]</f>
        <v>29120</v>
      </c>
      <c r="T919" s="15">
        <f>Table5[[#This Row],[Cost of Sales]]-Table5[[#This Row],[Standard cost]]</f>
        <v>2329.5999999999985</v>
      </c>
      <c r="U919" s="15">
        <f>Table5[[#This Row],[Net Sales Revenue]]-Table5[[#This Row],[Cost of Sales]]</f>
        <v>21723.520000000004</v>
      </c>
      <c r="V919" s="17">
        <f>Table5[[#This Row],[GrossProfit]]/Table5[[#This Row],[Net Sales Revenue]]</f>
        <v>0.40854326396495078</v>
      </c>
    </row>
    <row r="920" spans="1:22" ht="14.25" customHeight="1" x14ac:dyDescent="0.25">
      <c r="A920" s="1" t="s">
        <v>1006</v>
      </c>
      <c r="B920" s="1" t="s">
        <v>988</v>
      </c>
      <c r="C920" s="1" t="s">
        <v>48</v>
      </c>
      <c r="D920" s="1" t="s">
        <v>6</v>
      </c>
      <c r="E920" s="1" t="s">
        <v>8</v>
      </c>
      <c r="F920" s="1">
        <v>2032</v>
      </c>
      <c r="G920" s="14">
        <v>24</v>
      </c>
      <c r="H920" s="1">
        <v>0.13</v>
      </c>
      <c r="I920" s="14">
        <v>42428.160000000003</v>
      </c>
      <c r="J920" s="14">
        <v>26334.720000000001</v>
      </c>
      <c r="K920" s="15">
        <f>Table5[[#This Row],[Selling Price]]*Table5[[#This Row],[Units Sold]]</f>
        <v>48768</v>
      </c>
      <c r="L920" t="str">
        <f t="shared" si="14"/>
        <v>2024-09</v>
      </c>
      <c r="M920" t="str">
        <f>VLOOKUP(Table5[[#This Row],[Store ID]],Table4[[Store ID]:[Store Location]],2)</f>
        <v>London Stratford</v>
      </c>
      <c r="N920" t="str">
        <f>VLOOKUP(Table5[[#This Row],[Store ID]],Table4[[Store ID]:[Region]],3)</f>
        <v>South</v>
      </c>
      <c r="O920" t="str">
        <f>VLOOKUP(Table5[[#This Row],[Product ID]],'Product Master'!$A$2:$D$10,4)</f>
        <v>Supplier A</v>
      </c>
      <c r="P920" s="15">
        <f>Table5[[#This Row],[Total Revenue]]-Table5[[#This Row],[Net Sales Revenue]]</f>
        <v>6339.8399999999965</v>
      </c>
      <c r="Q920" s="15">
        <f>Table5[[#This Row],[Net Sales Revenue]]/Table5[[#This Row],[Units Sold]]</f>
        <v>20.880000000000003</v>
      </c>
      <c r="R920">
        <f>VLOOKUP(Table5[[#This Row],[Product ID]],'Product Master'!$A$1:$E$10,5,FALSE)</f>
        <v>12</v>
      </c>
      <c r="S920" s="15">
        <f>Table5[[#This Row],[standard product cost per unit]]*Table5[[#This Row],[Units Sold]]</f>
        <v>24384</v>
      </c>
      <c r="T920" s="15">
        <f>Table5[[#This Row],[Cost of Sales]]-Table5[[#This Row],[Standard cost]]</f>
        <v>1950.7200000000012</v>
      </c>
      <c r="U920" s="15">
        <f>Table5[[#This Row],[Net Sales Revenue]]-Table5[[#This Row],[Cost of Sales]]</f>
        <v>16093.440000000002</v>
      </c>
      <c r="V920" s="17">
        <f>Table5[[#This Row],[GrossProfit]]/Table5[[#This Row],[Net Sales Revenue]]</f>
        <v>0.37931034482758624</v>
      </c>
    </row>
    <row r="921" spans="1:22" ht="14.25" customHeight="1" x14ac:dyDescent="0.25">
      <c r="A921" s="1" t="s">
        <v>1007</v>
      </c>
      <c r="B921" s="1" t="s">
        <v>988</v>
      </c>
      <c r="C921" s="1" t="s">
        <v>48</v>
      </c>
      <c r="D921" s="1" t="s">
        <v>10</v>
      </c>
      <c r="E921" s="1" t="s">
        <v>8</v>
      </c>
      <c r="F921" s="1">
        <v>2591</v>
      </c>
      <c r="G921" s="14">
        <v>50</v>
      </c>
      <c r="H921" s="1">
        <v>0.13</v>
      </c>
      <c r="I921" s="14">
        <v>112708.5</v>
      </c>
      <c r="J921" s="14">
        <v>78351.839999999997</v>
      </c>
      <c r="K921" s="15">
        <f>Table5[[#This Row],[Selling Price]]*Table5[[#This Row],[Units Sold]]</f>
        <v>129550</v>
      </c>
      <c r="L921" t="str">
        <f t="shared" si="14"/>
        <v>2024-09</v>
      </c>
      <c r="M921" t="str">
        <f>VLOOKUP(Table5[[#This Row],[Store ID]],Table4[[Store ID]:[Store Location]],2)</f>
        <v>London Stratford</v>
      </c>
      <c r="N921" t="str">
        <f>VLOOKUP(Table5[[#This Row],[Store ID]],Table4[[Store ID]:[Region]],3)</f>
        <v>South</v>
      </c>
      <c r="O921" t="str">
        <f>VLOOKUP(Table5[[#This Row],[Product ID]],'Product Master'!$A$2:$D$10,4)</f>
        <v>Supplier B</v>
      </c>
      <c r="P921" s="15">
        <f>Table5[[#This Row],[Total Revenue]]-Table5[[#This Row],[Net Sales Revenue]]</f>
        <v>16841.5</v>
      </c>
      <c r="Q921" s="15">
        <f>Table5[[#This Row],[Net Sales Revenue]]/Table5[[#This Row],[Units Sold]]</f>
        <v>43.5</v>
      </c>
      <c r="R921">
        <f>VLOOKUP(Table5[[#This Row],[Product ID]],'Product Master'!$A$1:$E$10,5,FALSE)</f>
        <v>28</v>
      </c>
      <c r="S921" s="15">
        <f>Table5[[#This Row],[standard product cost per unit]]*Table5[[#This Row],[Units Sold]]</f>
        <v>72548</v>
      </c>
      <c r="T921" s="15">
        <f>Table5[[#This Row],[Cost of Sales]]-Table5[[#This Row],[Standard cost]]</f>
        <v>5803.8399999999965</v>
      </c>
      <c r="U921" s="15">
        <f>Table5[[#This Row],[Net Sales Revenue]]-Table5[[#This Row],[Cost of Sales]]</f>
        <v>34356.660000000003</v>
      </c>
      <c r="V921" s="17">
        <f>Table5[[#This Row],[GrossProfit]]/Table5[[#This Row],[Net Sales Revenue]]</f>
        <v>0.30482758620689659</v>
      </c>
    </row>
    <row r="922" spans="1:22" ht="14.25" customHeight="1" x14ac:dyDescent="0.25">
      <c r="A922" s="1" t="s">
        <v>1008</v>
      </c>
      <c r="B922" s="1" t="s">
        <v>988</v>
      </c>
      <c r="C922" s="1" t="s">
        <v>48</v>
      </c>
      <c r="D922" s="1" t="s">
        <v>13</v>
      </c>
      <c r="E922" s="1" t="s">
        <v>15</v>
      </c>
      <c r="F922" s="1">
        <v>2829</v>
      </c>
      <c r="G922" s="14">
        <v>28</v>
      </c>
      <c r="H922" s="1">
        <v>0.17</v>
      </c>
      <c r="I922" s="14">
        <v>65745.960000000006</v>
      </c>
      <c r="J922" s="14">
        <v>45829.8</v>
      </c>
      <c r="K922" s="15">
        <f>Table5[[#This Row],[Selling Price]]*Table5[[#This Row],[Units Sold]]</f>
        <v>79212</v>
      </c>
      <c r="L922" t="str">
        <f t="shared" si="14"/>
        <v>2024-09</v>
      </c>
      <c r="M922" t="str">
        <f>VLOOKUP(Table5[[#This Row],[Store ID]],Table4[[Store ID]:[Store Location]],2)</f>
        <v>London Stratford</v>
      </c>
      <c r="N922" t="str">
        <f>VLOOKUP(Table5[[#This Row],[Store ID]],Table4[[Store ID]:[Region]],3)</f>
        <v>South</v>
      </c>
      <c r="O922" t="str">
        <f>VLOOKUP(Table5[[#This Row],[Product ID]],'Product Master'!$A$2:$D$10,4)</f>
        <v>Supplier C</v>
      </c>
      <c r="P922" s="15">
        <f>Table5[[#This Row],[Total Revenue]]-Table5[[#This Row],[Net Sales Revenue]]</f>
        <v>13466.039999999994</v>
      </c>
      <c r="Q922" s="15">
        <f>Table5[[#This Row],[Net Sales Revenue]]/Table5[[#This Row],[Units Sold]]</f>
        <v>23.240000000000002</v>
      </c>
      <c r="R922">
        <f>VLOOKUP(Table5[[#This Row],[Product ID]],'Product Master'!$A$1:$E$10,5,FALSE)</f>
        <v>15</v>
      </c>
      <c r="S922" s="15">
        <f>Table5[[#This Row],[standard product cost per unit]]*Table5[[#This Row],[Units Sold]]</f>
        <v>42435</v>
      </c>
      <c r="T922" s="15">
        <f>Table5[[#This Row],[Cost of Sales]]-Table5[[#This Row],[Standard cost]]</f>
        <v>3394.8000000000029</v>
      </c>
      <c r="U922" s="15">
        <f>Table5[[#This Row],[Net Sales Revenue]]-Table5[[#This Row],[Cost of Sales]]</f>
        <v>19916.160000000003</v>
      </c>
      <c r="V922" s="17">
        <f>Table5[[#This Row],[GrossProfit]]/Table5[[#This Row],[Net Sales Revenue]]</f>
        <v>0.30292598967297762</v>
      </c>
    </row>
    <row r="923" spans="1:22" ht="14.25" customHeight="1" x14ac:dyDescent="0.25">
      <c r="A923" s="1" t="s">
        <v>1009</v>
      </c>
      <c r="B923" s="1" t="s">
        <v>988</v>
      </c>
      <c r="C923" s="1" t="s">
        <v>48</v>
      </c>
      <c r="D923" s="1" t="s">
        <v>17</v>
      </c>
      <c r="E923" s="1" t="s">
        <v>15</v>
      </c>
      <c r="F923" s="1">
        <v>1821</v>
      </c>
      <c r="G923" s="14">
        <v>35</v>
      </c>
      <c r="H923" s="1">
        <v>0.13</v>
      </c>
      <c r="I923" s="14">
        <v>55449.45</v>
      </c>
      <c r="J923" s="14">
        <v>35400.239999999998</v>
      </c>
      <c r="K923" s="15">
        <f>Table5[[#This Row],[Selling Price]]*Table5[[#This Row],[Units Sold]]</f>
        <v>63735</v>
      </c>
      <c r="L923" t="str">
        <f t="shared" si="14"/>
        <v>2024-09</v>
      </c>
      <c r="M923" t="str">
        <f>VLOOKUP(Table5[[#This Row],[Store ID]],Table4[[Store ID]:[Store Location]],2)</f>
        <v>London Stratford</v>
      </c>
      <c r="N923" t="str">
        <f>VLOOKUP(Table5[[#This Row],[Store ID]],Table4[[Store ID]:[Region]],3)</f>
        <v>South</v>
      </c>
      <c r="O923" t="str">
        <f>VLOOKUP(Table5[[#This Row],[Product ID]],'Product Master'!$A$2:$D$10,4)</f>
        <v>Supplier C</v>
      </c>
      <c r="P923" s="15">
        <f>Table5[[#This Row],[Total Revenue]]-Table5[[#This Row],[Net Sales Revenue]]</f>
        <v>8285.5500000000029</v>
      </c>
      <c r="Q923" s="15">
        <f>Table5[[#This Row],[Net Sales Revenue]]/Table5[[#This Row],[Units Sold]]</f>
        <v>30.45</v>
      </c>
      <c r="R923">
        <f>VLOOKUP(Table5[[#This Row],[Product ID]],'Product Master'!$A$1:$E$10,5,FALSE)</f>
        <v>18</v>
      </c>
      <c r="S923" s="15">
        <f>Table5[[#This Row],[standard product cost per unit]]*Table5[[#This Row],[Units Sold]]</f>
        <v>32778</v>
      </c>
      <c r="T923" s="15">
        <f>Table5[[#This Row],[Cost of Sales]]-Table5[[#This Row],[Standard cost]]</f>
        <v>2622.239999999998</v>
      </c>
      <c r="U923" s="15">
        <f>Table5[[#This Row],[Net Sales Revenue]]-Table5[[#This Row],[Cost of Sales]]</f>
        <v>20049.21</v>
      </c>
      <c r="V923" s="17">
        <f>Table5[[#This Row],[GrossProfit]]/Table5[[#This Row],[Net Sales Revenue]]</f>
        <v>0.36157635467980298</v>
      </c>
    </row>
    <row r="924" spans="1:22" ht="14.25" customHeight="1" x14ac:dyDescent="0.25">
      <c r="A924" s="1" t="s">
        <v>1010</v>
      </c>
      <c r="B924" s="1" t="s">
        <v>988</v>
      </c>
      <c r="C924" s="1" t="s">
        <v>48</v>
      </c>
      <c r="D924" s="1" t="s">
        <v>19</v>
      </c>
      <c r="E924" s="1" t="s">
        <v>21</v>
      </c>
      <c r="F924" s="1">
        <v>1619</v>
      </c>
      <c r="G924" s="14">
        <v>18</v>
      </c>
      <c r="H924" s="1">
        <v>0.15</v>
      </c>
      <c r="I924" s="14">
        <v>24770.7</v>
      </c>
      <c r="J924" s="14">
        <v>15736.68</v>
      </c>
      <c r="K924" s="15">
        <f>Table5[[#This Row],[Selling Price]]*Table5[[#This Row],[Units Sold]]</f>
        <v>29142</v>
      </c>
      <c r="L924" t="str">
        <f t="shared" si="14"/>
        <v>2024-09</v>
      </c>
      <c r="M924" t="str">
        <f>VLOOKUP(Table5[[#This Row],[Store ID]],Table4[[Store ID]:[Store Location]],2)</f>
        <v>London Stratford</v>
      </c>
      <c r="N924" t="str">
        <f>VLOOKUP(Table5[[#This Row],[Store ID]],Table4[[Store ID]:[Region]],3)</f>
        <v>South</v>
      </c>
      <c r="O924" t="str">
        <f>VLOOKUP(Table5[[#This Row],[Product ID]],'Product Master'!$A$2:$D$10,4)</f>
        <v>Supplier D</v>
      </c>
      <c r="P924" s="15">
        <f>Table5[[#This Row],[Total Revenue]]-Table5[[#This Row],[Net Sales Revenue]]</f>
        <v>4371.2999999999993</v>
      </c>
      <c r="Q924" s="15">
        <f>Table5[[#This Row],[Net Sales Revenue]]/Table5[[#This Row],[Units Sold]]</f>
        <v>15.3</v>
      </c>
      <c r="R924">
        <f>VLOOKUP(Table5[[#This Row],[Product ID]],'Product Master'!$A$1:$E$10,5,FALSE)</f>
        <v>9</v>
      </c>
      <c r="S924" s="15">
        <f>Table5[[#This Row],[standard product cost per unit]]*Table5[[#This Row],[Units Sold]]</f>
        <v>14571</v>
      </c>
      <c r="T924" s="15">
        <f>Table5[[#This Row],[Cost of Sales]]-Table5[[#This Row],[Standard cost]]</f>
        <v>1165.6800000000003</v>
      </c>
      <c r="U924" s="15">
        <f>Table5[[#This Row],[Net Sales Revenue]]-Table5[[#This Row],[Cost of Sales]]</f>
        <v>9034.02</v>
      </c>
      <c r="V924" s="17">
        <f>Table5[[#This Row],[GrossProfit]]/Table5[[#This Row],[Net Sales Revenue]]</f>
        <v>0.36470588235294116</v>
      </c>
    </row>
    <row r="925" spans="1:22" ht="14.25" customHeight="1" x14ac:dyDescent="0.25">
      <c r="A925" s="1" t="s">
        <v>1011</v>
      </c>
      <c r="B925" s="1" t="s">
        <v>988</v>
      </c>
      <c r="C925" s="1" t="s">
        <v>48</v>
      </c>
      <c r="D925" s="1" t="s">
        <v>23</v>
      </c>
      <c r="E925" s="1" t="s">
        <v>21</v>
      </c>
      <c r="F925" s="1">
        <v>1566</v>
      </c>
      <c r="G925" s="14">
        <v>30</v>
      </c>
      <c r="H925" s="1">
        <v>0.15</v>
      </c>
      <c r="I925" s="14">
        <v>39933</v>
      </c>
      <c r="J925" s="14">
        <v>23677.919999999998</v>
      </c>
      <c r="K925" s="15">
        <f>Table5[[#This Row],[Selling Price]]*Table5[[#This Row],[Units Sold]]</f>
        <v>46980</v>
      </c>
      <c r="L925" t="str">
        <f t="shared" si="14"/>
        <v>2024-09</v>
      </c>
      <c r="M925" t="str">
        <f>VLOOKUP(Table5[[#This Row],[Store ID]],Table4[[Store ID]:[Store Location]],2)</f>
        <v>London Stratford</v>
      </c>
      <c r="N925" t="str">
        <f>VLOOKUP(Table5[[#This Row],[Store ID]],Table4[[Store ID]:[Region]],3)</f>
        <v>South</v>
      </c>
      <c r="O925" t="str">
        <f>VLOOKUP(Table5[[#This Row],[Product ID]],'Product Master'!$A$2:$D$10,4)</f>
        <v>Supplier D</v>
      </c>
      <c r="P925" s="15">
        <f>Table5[[#This Row],[Total Revenue]]-Table5[[#This Row],[Net Sales Revenue]]</f>
        <v>7047</v>
      </c>
      <c r="Q925" s="15">
        <f>Table5[[#This Row],[Net Sales Revenue]]/Table5[[#This Row],[Units Sold]]</f>
        <v>25.5</v>
      </c>
      <c r="R925">
        <f>VLOOKUP(Table5[[#This Row],[Product ID]],'Product Master'!$A$1:$E$10,5,FALSE)</f>
        <v>14</v>
      </c>
      <c r="S925" s="15">
        <f>Table5[[#This Row],[standard product cost per unit]]*Table5[[#This Row],[Units Sold]]</f>
        <v>21924</v>
      </c>
      <c r="T925" s="15">
        <f>Table5[[#This Row],[Cost of Sales]]-Table5[[#This Row],[Standard cost]]</f>
        <v>1753.9199999999983</v>
      </c>
      <c r="U925" s="15">
        <f>Table5[[#This Row],[Net Sales Revenue]]-Table5[[#This Row],[Cost of Sales]]</f>
        <v>16255.080000000002</v>
      </c>
      <c r="V925" s="17">
        <f>Table5[[#This Row],[GrossProfit]]/Table5[[#This Row],[Net Sales Revenue]]</f>
        <v>0.40705882352941181</v>
      </c>
    </row>
    <row r="926" spans="1:22" ht="14.25" customHeight="1" x14ac:dyDescent="0.25">
      <c r="A926" s="1" t="s">
        <v>1012</v>
      </c>
      <c r="B926" s="1" t="s">
        <v>988</v>
      </c>
      <c r="C926" s="1" t="s">
        <v>48</v>
      </c>
      <c r="D926" s="1" t="s">
        <v>25</v>
      </c>
      <c r="E926" s="1" t="s">
        <v>27</v>
      </c>
      <c r="F926" s="1">
        <v>1337</v>
      </c>
      <c r="G926" s="14">
        <v>40</v>
      </c>
      <c r="H926" s="1">
        <v>0.12</v>
      </c>
      <c r="I926" s="14">
        <v>47062.400000000001</v>
      </c>
      <c r="J926" s="14">
        <v>28879.200000000001</v>
      </c>
      <c r="K926" s="15">
        <f>Table5[[#This Row],[Selling Price]]*Table5[[#This Row],[Units Sold]]</f>
        <v>53480</v>
      </c>
      <c r="L926" t="str">
        <f t="shared" si="14"/>
        <v>2024-09</v>
      </c>
      <c r="M926" t="str">
        <f>VLOOKUP(Table5[[#This Row],[Store ID]],Table4[[Store ID]:[Store Location]],2)</f>
        <v>London Stratford</v>
      </c>
      <c r="N926" t="str">
        <f>VLOOKUP(Table5[[#This Row],[Store ID]],Table4[[Store ID]:[Region]],3)</f>
        <v>South</v>
      </c>
      <c r="O926" t="str">
        <f>VLOOKUP(Table5[[#This Row],[Product ID]],'Product Master'!$A$2:$D$10,4)</f>
        <v>Supplier E</v>
      </c>
      <c r="P926" s="15">
        <f>Table5[[#This Row],[Total Revenue]]-Table5[[#This Row],[Net Sales Revenue]]</f>
        <v>6417.5999999999985</v>
      </c>
      <c r="Q926" s="15">
        <f>Table5[[#This Row],[Net Sales Revenue]]/Table5[[#This Row],[Units Sold]]</f>
        <v>35.200000000000003</v>
      </c>
      <c r="R926">
        <f>VLOOKUP(Table5[[#This Row],[Product ID]],'Product Master'!$A$1:$E$10,5,FALSE)</f>
        <v>20</v>
      </c>
      <c r="S926" s="15">
        <f>Table5[[#This Row],[standard product cost per unit]]*Table5[[#This Row],[Units Sold]]</f>
        <v>26740</v>
      </c>
      <c r="T926" s="15">
        <f>Table5[[#This Row],[Cost of Sales]]-Table5[[#This Row],[Standard cost]]</f>
        <v>2139.2000000000007</v>
      </c>
      <c r="U926" s="15">
        <f>Table5[[#This Row],[Net Sales Revenue]]-Table5[[#This Row],[Cost of Sales]]</f>
        <v>18183.2</v>
      </c>
      <c r="V926" s="17">
        <f>Table5[[#This Row],[GrossProfit]]/Table5[[#This Row],[Net Sales Revenue]]</f>
        <v>0.38636363636363635</v>
      </c>
    </row>
    <row r="927" spans="1:22" ht="14.25" customHeight="1" x14ac:dyDescent="0.25">
      <c r="A927" s="1" t="s">
        <v>1013</v>
      </c>
      <c r="B927" s="1" t="s">
        <v>988</v>
      </c>
      <c r="C927" s="1" t="s">
        <v>48</v>
      </c>
      <c r="D927" s="1" t="s">
        <v>29</v>
      </c>
      <c r="E927" s="1" t="s">
        <v>31</v>
      </c>
      <c r="F927" s="1">
        <v>2719</v>
      </c>
      <c r="G927" s="14">
        <v>10</v>
      </c>
      <c r="H927" s="1">
        <v>0.16</v>
      </c>
      <c r="I927" s="14">
        <v>22839.599999999999</v>
      </c>
      <c r="J927" s="14">
        <v>11746.08</v>
      </c>
      <c r="K927" s="15">
        <f>Table5[[#This Row],[Selling Price]]*Table5[[#This Row],[Units Sold]]</f>
        <v>27190</v>
      </c>
      <c r="L927" t="str">
        <f t="shared" si="14"/>
        <v>2024-09</v>
      </c>
      <c r="M927" t="str">
        <f>VLOOKUP(Table5[[#This Row],[Store ID]],Table4[[Store ID]:[Store Location]],2)</f>
        <v>London Stratford</v>
      </c>
      <c r="N927" t="str">
        <f>VLOOKUP(Table5[[#This Row],[Store ID]],Table4[[Store ID]:[Region]],3)</f>
        <v>South</v>
      </c>
      <c r="O927" t="str">
        <f>VLOOKUP(Table5[[#This Row],[Product ID]],'Product Master'!$A$2:$D$10,4)</f>
        <v>Supplier F</v>
      </c>
      <c r="P927" s="15">
        <f>Table5[[#This Row],[Total Revenue]]-Table5[[#This Row],[Net Sales Revenue]]</f>
        <v>4350.4000000000015</v>
      </c>
      <c r="Q927" s="15">
        <f>Table5[[#This Row],[Net Sales Revenue]]/Table5[[#This Row],[Units Sold]]</f>
        <v>8.3999999999999986</v>
      </c>
      <c r="R927">
        <f>VLOOKUP(Table5[[#This Row],[Product ID]],'Product Master'!$A$1:$E$10,5,FALSE)</f>
        <v>4</v>
      </c>
      <c r="S927" s="15">
        <f>Table5[[#This Row],[standard product cost per unit]]*Table5[[#This Row],[Units Sold]]</f>
        <v>10876</v>
      </c>
      <c r="T927" s="15">
        <f>Table5[[#This Row],[Cost of Sales]]-Table5[[#This Row],[Standard cost]]</f>
        <v>870.07999999999993</v>
      </c>
      <c r="U927" s="15">
        <f>Table5[[#This Row],[Net Sales Revenue]]-Table5[[#This Row],[Cost of Sales]]</f>
        <v>11093.519999999999</v>
      </c>
      <c r="V927" s="17">
        <f>Table5[[#This Row],[GrossProfit]]/Table5[[#This Row],[Net Sales Revenue]]</f>
        <v>0.48571428571428571</v>
      </c>
    </row>
    <row r="928" spans="1:22" ht="14.25" customHeight="1" x14ac:dyDescent="0.25">
      <c r="A928" s="1" t="s">
        <v>1014</v>
      </c>
      <c r="B928" s="1" t="s">
        <v>988</v>
      </c>
      <c r="C928" s="1" t="s">
        <v>48</v>
      </c>
      <c r="D928" s="1" t="s">
        <v>33</v>
      </c>
      <c r="E928" s="1" t="s">
        <v>31</v>
      </c>
      <c r="F928" s="1">
        <v>2679</v>
      </c>
      <c r="G928" s="14">
        <v>22</v>
      </c>
      <c r="H928" s="1">
        <v>0.15</v>
      </c>
      <c r="I928" s="14">
        <v>50097.3</v>
      </c>
      <c r="J928" s="14">
        <v>28933.200000000001</v>
      </c>
      <c r="K928" s="15">
        <f>Table5[[#This Row],[Selling Price]]*Table5[[#This Row],[Units Sold]]</f>
        <v>58938</v>
      </c>
      <c r="L928" t="str">
        <f t="shared" si="14"/>
        <v>2024-09</v>
      </c>
      <c r="M928" t="str">
        <f>VLOOKUP(Table5[[#This Row],[Store ID]],Table4[[Store ID]:[Store Location]],2)</f>
        <v>London Stratford</v>
      </c>
      <c r="N928" t="str">
        <f>VLOOKUP(Table5[[#This Row],[Store ID]],Table4[[Store ID]:[Region]],3)</f>
        <v>South</v>
      </c>
      <c r="O928" t="str">
        <f>VLOOKUP(Table5[[#This Row],[Product ID]],'Product Master'!$A$2:$D$10,4)</f>
        <v>Supplier F</v>
      </c>
      <c r="P928" s="15">
        <f>Table5[[#This Row],[Total Revenue]]-Table5[[#This Row],[Net Sales Revenue]]</f>
        <v>8840.6999999999971</v>
      </c>
      <c r="Q928" s="15">
        <f>Table5[[#This Row],[Net Sales Revenue]]/Table5[[#This Row],[Units Sold]]</f>
        <v>18.700000000000003</v>
      </c>
      <c r="R928">
        <f>VLOOKUP(Table5[[#This Row],[Product ID]],'Product Master'!$A$1:$E$10,5,FALSE)</f>
        <v>10</v>
      </c>
      <c r="S928" s="15">
        <f>Table5[[#This Row],[standard product cost per unit]]*Table5[[#This Row],[Units Sold]]</f>
        <v>26790</v>
      </c>
      <c r="T928" s="15">
        <f>Table5[[#This Row],[Cost of Sales]]-Table5[[#This Row],[Standard cost]]</f>
        <v>2143.2000000000007</v>
      </c>
      <c r="U928" s="15">
        <f>Table5[[#This Row],[Net Sales Revenue]]-Table5[[#This Row],[Cost of Sales]]</f>
        <v>21164.100000000002</v>
      </c>
      <c r="V928" s="17">
        <f>Table5[[#This Row],[GrossProfit]]/Table5[[#This Row],[Net Sales Revenue]]</f>
        <v>0.42245989304812837</v>
      </c>
    </row>
    <row r="929" spans="1:22" ht="14.25" customHeight="1" x14ac:dyDescent="0.25">
      <c r="A929" s="1" t="s">
        <v>1015</v>
      </c>
      <c r="B929" s="1" t="s">
        <v>988</v>
      </c>
      <c r="C929" s="1" t="s">
        <v>52</v>
      </c>
      <c r="D929" s="1" t="s">
        <v>6</v>
      </c>
      <c r="E929" s="1" t="s">
        <v>8</v>
      </c>
      <c r="F929" s="1">
        <v>2578</v>
      </c>
      <c r="G929" s="14">
        <v>24</v>
      </c>
      <c r="H929" s="1">
        <v>0.14000000000000001</v>
      </c>
      <c r="I929" s="14">
        <v>53209.919999999998</v>
      </c>
      <c r="J929" s="14">
        <v>33410.879999999997</v>
      </c>
      <c r="K929" s="15">
        <f>Table5[[#This Row],[Selling Price]]*Table5[[#This Row],[Units Sold]]</f>
        <v>61872</v>
      </c>
      <c r="L929" t="str">
        <f t="shared" si="14"/>
        <v>2024-09</v>
      </c>
      <c r="M929" t="str">
        <f>VLOOKUP(Table5[[#This Row],[Store ID]],Table4[[Store ID]:[Store Location]],2)</f>
        <v>Glasgow</v>
      </c>
      <c r="N929" t="str">
        <f>VLOOKUP(Table5[[#This Row],[Store ID]],Table4[[Store ID]:[Region]],3)</f>
        <v>Scotland</v>
      </c>
      <c r="O929" t="str">
        <f>VLOOKUP(Table5[[#This Row],[Product ID]],'Product Master'!$A$2:$D$10,4)</f>
        <v>Supplier A</v>
      </c>
      <c r="P929" s="15">
        <f>Table5[[#This Row],[Total Revenue]]-Table5[[#This Row],[Net Sales Revenue]]</f>
        <v>8662.0800000000017</v>
      </c>
      <c r="Q929" s="15">
        <f>Table5[[#This Row],[Net Sales Revenue]]/Table5[[#This Row],[Units Sold]]</f>
        <v>20.64</v>
      </c>
      <c r="R929">
        <f>VLOOKUP(Table5[[#This Row],[Product ID]],'Product Master'!$A$1:$E$10,5,FALSE)</f>
        <v>12</v>
      </c>
      <c r="S929" s="15">
        <f>Table5[[#This Row],[standard product cost per unit]]*Table5[[#This Row],[Units Sold]]</f>
        <v>30936</v>
      </c>
      <c r="T929" s="15">
        <f>Table5[[#This Row],[Cost of Sales]]-Table5[[#This Row],[Standard cost]]</f>
        <v>2474.8799999999974</v>
      </c>
      <c r="U929" s="15">
        <f>Table5[[#This Row],[Net Sales Revenue]]-Table5[[#This Row],[Cost of Sales]]</f>
        <v>19799.04</v>
      </c>
      <c r="V929" s="17">
        <f>Table5[[#This Row],[GrossProfit]]/Table5[[#This Row],[Net Sales Revenue]]</f>
        <v>0.372093023255814</v>
      </c>
    </row>
    <row r="930" spans="1:22" ht="14.25" customHeight="1" x14ac:dyDescent="0.25">
      <c r="A930" s="1" t="s">
        <v>1016</v>
      </c>
      <c r="B930" s="1" t="s">
        <v>988</v>
      </c>
      <c r="C930" s="1" t="s">
        <v>52</v>
      </c>
      <c r="D930" s="1" t="s">
        <v>10</v>
      </c>
      <c r="E930" s="1" t="s">
        <v>8</v>
      </c>
      <c r="F930" s="1">
        <v>1711</v>
      </c>
      <c r="G930" s="14">
        <v>50</v>
      </c>
      <c r="H930" s="1">
        <v>0.15</v>
      </c>
      <c r="I930" s="14">
        <v>72717.5</v>
      </c>
      <c r="J930" s="14">
        <v>51740.639999999999</v>
      </c>
      <c r="K930" s="15">
        <f>Table5[[#This Row],[Selling Price]]*Table5[[#This Row],[Units Sold]]</f>
        <v>85550</v>
      </c>
      <c r="L930" t="str">
        <f t="shared" si="14"/>
        <v>2024-09</v>
      </c>
      <c r="M930" t="str">
        <f>VLOOKUP(Table5[[#This Row],[Store ID]],Table4[[Store ID]:[Store Location]],2)</f>
        <v>Glasgow</v>
      </c>
      <c r="N930" t="str">
        <f>VLOOKUP(Table5[[#This Row],[Store ID]],Table4[[Store ID]:[Region]],3)</f>
        <v>Scotland</v>
      </c>
      <c r="O930" t="str">
        <f>VLOOKUP(Table5[[#This Row],[Product ID]],'Product Master'!$A$2:$D$10,4)</f>
        <v>Supplier B</v>
      </c>
      <c r="P930" s="15">
        <f>Table5[[#This Row],[Total Revenue]]-Table5[[#This Row],[Net Sales Revenue]]</f>
        <v>12832.5</v>
      </c>
      <c r="Q930" s="15">
        <f>Table5[[#This Row],[Net Sales Revenue]]/Table5[[#This Row],[Units Sold]]</f>
        <v>42.5</v>
      </c>
      <c r="R930">
        <f>VLOOKUP(Table5[[#This Row],[Product ID]],'Product Master'!$A$1:$E$10,5,FALSE)</f>
        <v>28</v>
      </c>
      <c r="S930" s="15">
        <f>Table5[[#This Row],[standard product cost per unit]]*Table5[[#This Row],[Units Sold]]</f>
        <v>47908</v>
      </c>
      <c r="T930" s="15">
        <f>Table5[[#This Row],[Cost of Sales]]-Table5[[#This Row],[Standard cost]]</f>
        <v>3832.6399999999994</v>
      </c>
      <c r="U930" s="15">
        <f>Table5[[#This Row],[Net Sales Revenue]]-Table5[[#This Row],[Cost of Sales]]</f>
        <v>20976.86</v>
      </c>
      <c r="V930" s="17">
        <f>Table5[[#This Row],[GrossProfit]]/Table5[[#This Row],[Net Sales Revenue]]</f>
        <v>0.28847058823529415</v>
      </c>
    </row>
    <row r="931" spans="1:22" ht="14.25" customHeight="1" x14ac:dyDescent="0.25">
      <c r="A931" s="1" t="s">
        <v>1017</v>
      </c>
      <c r="B931" s="1" t="s">
        <v>988</v>
      </c>
      <c r="C931" s="1" t="s">
        <v>52</v>
      </c>
      <c r="D931" s="1" t="s">
        <v>13</v>
      </c>
      <c r="E931" s="1" t="s">
        <v>15</v>
      </c>
      <c r="F931" s="1">
        <v>1949</v>
      </c>
      <c r="G931" s="14">
        <v>28</v>
      </c>
      <c r="H931" s="1">
        <v>0.14000000000000001</v>
      </c>
      <c r="I931" s="14">
        <v>46931.92</v>
      </c>
      <c r="J931" s="14">
        <v>31573.8</v>
      </c>
      <c r="K931" s="15">
        <f>Table5[[#This Row],[Selling Price]]*Table5[[#This Row],[Units Sold]]</f>
        <v>54572</v>
      </c>
      <c r="L931" t="str">
        <f t="shared" si="14"/>
        <v>2024-09</v>
      </c>
      <c r="M931" t="str">
        <f>VLOOKUP(Table5[[#This Row],[Store ID]],Table4[[Store ID]:[Store Location]],2)</f>
        <v>Glasgow</v>
      </c>
      <c r="N931" t="str">
        <f>VLOOKUP(Table5[[#This Row],[Store ID]],Table4[[Store ID]:[Region]],3)</f>
        <v>Scotland</v>
      </c>
      <c r="O931" t="str">
        <f>VLOOKUP(Table5[[#This Row],[Product ID]],'Product Master'!$A$2:$D$10,4)</f>
        <v>Supplier C</v>
      </c>
      <c r="P931" s="15">
        <f>Table5[[#This Row],[Total Revenue]]-Table5[[#This Row],[Net Sales Revenue]]</f>
        <v>7640.0800000000017</v>
      </c>
      <c r="Q931" s="15">
        <f>Table5[[#This Row],[Net Sales Revenue]]/Table5[[#This Row],[Units Sold]]</f>
        <v>24.08</v>
      </c>
      <c r="R931">
        <f>VLOOKUP(Table5[[#This Row],[Product ID]],'Product Master'!$A$1:$E$10,5,FALSE)</f>
        <v>15</v>
      </c>
      <c r="S931" s="15">
        <f>Table5[[#This Row],[standard product cost per unit]]*Table5[[#This Row],[Units Sold]]</f>
        <v>29235</v>
      </c>
      <c r="T931" s="15">
        <f>Table5[[#This Row],[Cost of Sales]]-Table5[[#This Row],[Standard cost]]</f>
        <v>2338.7999999999993</v>
      </c>
      <c r="U931" s="15">
        <f>Table5[[#This Row],[Net Sales Revenue]]-Table5[[#This Row],[Cost of Sales]]</f>
        <v>15358.119999999999</v>
      </c>
      <c r="V931" s="17">
        <f>Table5[[#This Row],[GrossProfit]]/Table5[[#This Row],[Net Sales Revenue]]</f>
        <v>0.3272425249169435</v>
      </c>
    </row>
    <row r="932" spans="1:22" ht="14.25" customHeight="1" x14ac:dyDescent="0.25">
      <c r="A932" s="1" t="s">
        <v>1018</v>
      </c>
      <c r="B932" s="1" t="s">
        <v>988</v>
      </c>
      <c r="C932" s="1" t="s">
        <v>52</v>
      </c>
      <c r="D932" s="1" t="s">
        <v>17</v>
      </c>
      <c r="E932" s="1" t="s">
        <v>15</v>
      </c>
      <c r="F932" s="1">
        <v>1465</v>
      </c>
      <c r="G932" s="14">
        <v>35</v>
      </c>
      <c r="H932" s="1">
        <v>0.15</v>
      </c>
      <c r="I932" s="14">
        <v>43583.75</v>
      </c>
      <c r="J932" s="14">
        <v>28479.599999999999</v>
      </c>
      <c r="K932" s="15">
        <f>Table5[[#This Row],[Selling Price]]*Table5[[#This Row],[Units Sold]]</f>
        <v>51275</v>
      </c>
      <c r="L932" t="str">
        <f t="shared" si="14"/>
        <v>2024-09</v>
      </c>
      <c r="M932" t="str">
        <f>VLOOKUP(Table5[[#This Row],[Store ID]],Table4[[Store ID]:[Store Location]],2)</f>
        <v>Glasgow</v>
      </c>
      <c r="N932" t="str">
        <f>VLOOKUP(Table5[[#This Row],[Store ID]],Table4[[Store ID]:[Region]],3)</f>
        <v>Scotland</v>
      </c>
      <c r="O932" t="str">
        <f>VLOOKUP(Table5[[#This Row],[Product ID]],'Product Master'!$A$2:$D$10,4)</f>
        <v>Supplier C</v>
      </c>
      <c r="P932" s="15">
        <f>Table5[[#This Row],[Total Revenue]]-Table5[[#This Row],[Net Sales Revenue]]</f>
        <v>7691.25</v>
      </c>
      <c r="Q932" s="15">
        <f>Table5[[#This Row],[Net Sales Revenue]]/Table5[[#This Row],[Units Sold]]</f>
        <v>29.75</v>
      </c>
      <c r="R932">
        <f>VLOOKUP(Table5[[#This Row],[Product ID]],'Product Master'!$A$1:$E$10,5,FALSE)</f>
        <v>18</v>
      </c>
      <c r="S932" s="15">
        <f>Table5[[#This Row],[standard product cost per unit]]*Table5[[#This Row],[Units Sold]]</f>
        <v>26370</v>
      </c>
      <c r="T932" s="15">
        <f>Table5[[#This Row],[Cost of Sales]]-Table5[[#This Row],[Standard cost]]</f>
        <v>2109.5999999999985</v>
      </c>
      <c r="U932" s="15">
        <f>Table5[[#This Row],[Net Sales Revenue]]-Table5[[#This Row],[Cost of Sales]]</f>
        <v>15104.150000000001</v>
      </c>
      <c r="V932" s="17">
        <f>Table5[[#This Row],[GrossProfit]]/Table5[[#This Row],[Net Sales Revenue]]</f>
        <v>0.34655462184873953</v>
      </c>
    </row>
    <row r="933" spans="1:22" ht="14.25" customHeight="1" x14ac:dyDescent="0.25">
      <c r="A933" s="1" t="s">
        <v>1019</v>
      </c>
      <c r="B933" s="1" t="s">
        <v>988</v>
      </c>
      <c r="C933" s="1" t="s">
        <v>52</v>
      </c>
      <c r="D933" s="1" t="s">
        <v>19</v>
      </c>
      <c r="E933" s="1" t="s">
        <v>21</v>
      </c>
      <c r="F933" s="1">
        <v>2653</v>
      </c>
      <c r="G933" s="14">
        <v>18</v>
      </c>
      <c r="H933" s="1">
        <v>0.15</v>
      </c>
      <c r="I933" s="14">
        <v>40590.9</v>
      </c>
      <c r="J933" s="14">
        <v>25787.16</v>
      </c>
      <c r="K933" s="15">
        <f>Table5[[#This Row],[Selling Price]]*Table5[[#This Row],[Units Sold]]</f>
        <v>47754</v>
      </c>
      <c r="L933" t="str">
        <f t="shared" si="14"/>
        <v>2024-09</v>
      </c>
      <c r="M933" t="str">
        <f>VLOOKUP(Table5[[#This Row],[Store ID]],Table4[[Store ID]:[Store Location]],2)</f>
        <v>Glasgow</v>
      </c>
      <c r="N933" t="str">
        <f>VLOOKUP(Table5[[#This Row],[Store ID]],Table4[[Store ID]:[Region]],3)</f>
        <v>Scotland</v>
      </c>
      <c r="O933" t="str">
        <f>VLOOKUP(Table5[[#This Row],[Product ID]],'Product Master'!$A$2:$D$10,4)</f>
        <v>Supplier D</v>
      </c>
      <c r="P933" s="15">
        <f>Table5[[#This Row],[Total Revenue]]-Table5[[#This Row],[Net Sales Revenue]]</f>
        <v>7163.0999999999985</v>
      </c>
      <c r="Q933" s="15">
        <f>Table5[[#This Row],[Net Sales Revenue]]/Table5[[#This Row],[Units Sold]]</f>
        <v>15.3</v>
      </c>
      <c r="R933">
        <f>VLOOKUP(Table5[[#This Row],[Product ID]],'Product Master'!$A$1:$E$10,5,FALSE)</f>
        <v>9</v>
      </c>
      <c r="S933" s="15">
        <f>Table5[[#This Row],[standard product cost per unit]]*Table5[[#This Row],[Units Sold]]</f>
        <v>23877</v>
      </c>
      <c r="T933" s="15">
        <f>Table5[[#This Row],[Cost of Sales]]-Table5[[#This Row],[Standard cost]]</f>
        <v>1910.1599999999999</v>
      </c>
      <c r="U933" s="15">
        <f>Table5[[#This Row],[Net Sales Revenue]]-Table5[[#This Row],[Cost of Sales]]</f>
        <v>14803.740000000002</v>
      </c>
      <c r="V933" s="17">
        <f>Table5[[#This Row],[GrossProfit]]/Table5[[#This Row],[Net Sales Revenue]]</f>
        <v>0.36470588235294121</v>
      </c>
    </row>
    <row r="934" spans="1:22" ht="14.25" customHeight="1" x14ac:dyDescent="0.25">
      <c r="A934" s="1" t="s">
        <v>1020</v>
      </c>
      <c r="B934" s="1" t="s">
        <v>988</v>
      </c>
      <c r="C934" s="1" t="s">
        <v>52</v>
      </c>
      <c r="D934" s="1" t="s">
        <v>23</v>
      </c>
      <c r="E934" s="1" t="s">
        <v>21</v>
      </c>
      <c r="F934" s="1">
        <v>3080</v>
      </c>
      <c r="G934" s="14">
        <v>30</v>
      </c>
      <c r="H934" s="1">
        <v>0.17</v>
      </c>
      <c r="I934" s="14">
        <v>76692</v>
      </c>
      <c r="J934" s="14">
        <v>46569.599999999999</v>
      </c>
      <c r="K934" s="15">
        <f>Table5[[#This Row],[Selling Price]]*Table5[[#This Row],[Units Sold]]</f>
        <v>92400</v>
      </c>
      <c r="L934" t="str">
        <f t="shared" si="14"/>
        <v>2024-09</v>
      </c>
      <c r="M934" t="str">
        <f>VLOOKUP(Table5[[#This Row],[Store ID]],Table4[[Store ID]:[Store Location]],2)</f>
        <v>Glasgow</v>
      </c>
      <c r="N934" t="str">
        <f>VLOOKUP(Table5[[#This Row],[Store ID]],Table4[[Store ID]:[Region]],3)</f>
        <v>Scotland</v>
      </c>
      <c r="O934" t="str">
        <f>VLOOKUP(Table5[[#This Row],[Product ID]],'Product Master'!$A$2:$D$10,4)</f>
        <v>Supplier D</v>
      </c>
      <c r="P934" s="15">
        <f>Table5[[#This Row],[Total Revenue]]-Table5[[#This Row],[Net Sales Revenue]]</f>
        <v>15708</v>
      </c>
      <c r="Q934" s="15">
        <f>Table5[[#This Row],[Net Sales Revenue]]/Table5[[#This Row],[Units Sold]]</f>
        <v>24.9</v>
      </c>
      <c r="R934">
        <f>VLOOKUP(Table5[[#This Row],[Product ID]],'Product Master'!$A$1:$E$10,5,FALSE)</f>
        <v>14</v>
      </c>
      <c r="S934" s="15">
        <f>Table5[[#This Row],[standard product cost per unit]]*Table5[[#This Row],[Units Sold]]</f>
        <v>43120</v>
      </c>
      <c r="T934" s="15">
        <f>Table5[[#This Row],[Cost of Sales]]-Table5[[#This Row],[Standard cost]]</f>
        <v>3449.5999999999985</v>
      </c>
      <c r="U934" s="15">
        <f>Table5[[#This Row],[Net Sales Revenue]]-Table5[[#This Row],[Cost of Sales]]</f>
        <v>30122.400000000001</v>
      </c>
      <c r="V934" s="17">
        <f>Table5[[#This Row],[GrossProfit]]/Table5[[#This Row],[Net Sales Revenue]]</f>
        <v>0.39277108433734942</v>
      </c>
    </row>
    <row r="935" spans="1:22" ht="14.25" customHeight="1" x14ac:dyDescent="0.25">
      <c r="A935" s="1" t="s">
        <v>1021</v>
      </c>
      <c r="B935" s="1" t="s">
        <v>988</v>
      </c>
      <c r="C935" s="1" t="s">
        <v>52</v>
      </c>
      <c r="D935" s="1" t="s">
        <v>25</v>
      </c>
      <c r="E935" s="1" t="s">
        <v>27</v>
      </c>
      <c r="F935" s="1">
        <v>2296</v>
      </c>
      <c r="G935" s="14">
        <v>40</v>
      </c>
      <c r="H935" s="1">
        <v>0.17</v>
      </c>
      <c r="I935" s="14">
        <v>76227.199999999997</v>
      </c>
      <c r="J935" s="14">
        <v>49593.599999999999</v>
      </c>
      <c r="K935" s="15">
        <f>Table5[[#This Row],[Selling Price]]*Table5[[#This Row],[Units Sold]]</f>
        <v>91840</v>
      </c>
      <c r="L935" t="str">
        <f t="shared" si="14"/>
        <v>2024-09</v>
      </c>
      <c r="M935" t="str">
        <f>VLOOKUP(Table5[[#This Row],[Store ID]],Table4[[Store ID]:[Store Location]],2)</f>
        <v>Glasgow</v>
      </c>
      <c r="N935" t="str">
        <f>VLOOKUP(Table5[[#This Row],[Store ID]],Table4[[Store ID]:[Region]],3)</f>
        <v>Scotland</v>
      </c>
      <c r="O935" t="str">
        <f>VLOOKUP(Table5[[#This Row],[Product ID]],'Product Master'!$A$2:$D$10,4)</f>
        <v>Supplier E</v>
      </c>
      <c r="P935" s="15">
        <f>Table5[[#This Row],[Total Revenue]]-Table5[[#This Row],[Net Sales Revenue]]</f>
        <v>15612.800000000003</v>
      </c>
      <c r="Q935" s="15">
        <f>Table5[[#This Row],[Net Sales Revenue]]/Table5[[#This Row],[Units Sold]]</f>
        <v>33.199999999999996</v>
      </c>
      <c r="R935">
        <f>VLOOKUP(Table5[[#This Row],[Product ID]],'Product Master'!$A$1:$E$10,5,FALSE)</f>
        <v>20</v>
      </c>
      <c r="S935" s="15">
        <f>Table5[[#This Row],[standard product cost per unit]]*Table5[[#This Row],[Units Sold]]</f>
        <v>45920</v>
      </c>
      <c r="T935" s="15">
        <f>Table5[[#This Row],[Cost of Sales]]-Table5[[#This Row],[Standard cost]]</f>
        <v>3673.5999999999985</v>
      </c>
      <c r="U935" s="15">
        <f>Table5[[#This Row],[Net Sales Revenue]]-Table5[[#This Row],[Cost of Sales]]</f>
        <v>26633.599999999999</v>
      </c>
      <c r="V935" s="17">
        <f>Table5[[#This Row],[GrossProfit]]/Table5[[#This Row],[Net Sales Revenue]]</f>
        <v>0.3493975903614458</v>
      </c>
    </row>
    <row r="936" spans="1:22" ht="14.25" customHeight="1" x14ac:dyDescent="0.25">
      <c r="A936" s="1" t="s">
        <v>1022</v>
      </c>
      <c r="B936" s="1" t="s">
        <v>988</v>
      </c>
      <c r="C936" s="1" t="s">
        <v>52</v>
      </c>
      <c r="D936" s="1" t="s">
        <v>29</v>
      </c>
      <c r="E936" s="1" t="s">
        <v>31</v>
      </c>
      <c r="F936" s="1">
        <v>2235</v>
      </c>
      <c r="G936" s="14">
        <v>10</v>
      </c>
      <c r="H936" s="1">
        <v>0.17</v>
      </c>
      <c r="I936" s="14">
        <v>18550.5</v>
      </c>
      <c r="J936" s="14">
        <v>9655.2000000000007</v>
      </c>
      <c r="K936" s="15">
        <f>Table5[[#This Row],[Selling Price]]*Table5[[#This Row],[Units Sold]]</f>
        <v>22350</v>
      </c>
      <c r="L936" t="str">
        <f t="shared" si="14"/>
        <v>2024-09</v>
      </c>
      <c r="M936" t="str">
        <f>VLOOKUP(Table5[[#This Row],[Store ID]],Table4[[Store ID]:[Store Location]],2)</f>
        <v>Glasgow</v>
      </c>
      <c r="N936" t="str">
        <f>VLOOKUP(Table5[[#This Row],[Store ID]],Table4[[Store ID]:[Region]],3)</f>
        <v>Scotland</v>
      </c>
      <c r="O936" t="str">
        <f>VLOOKUP(Table5[[#This Row],[Product ID]],'Product Master'!$A$2:$D$10,4)</f>
        <v>Supplier F</v>
      </c>
      <c r="P936" s="15">
        <f>Table5[[#This Row],[Total Revenue]]-Table5[[#This Row],[Net Sales Revenue]]</f>
        <v>3799.5</v>
      </c>
      <c r="Q936" s="15">
        <f>Table5[[#This Row],[Net Sales Revenue]]/Table5[[#This Row],[Units Sold]]</f>
        <v>8.3000000000000007</v>
      </c>
      <c r="R936">
        <f>VLOOKUP(Table5[[#This Row],[Product ID]],'Product Master'!$A$1:$E$10,5,FALSE)</f>
        <v>4</v>
      </c>
      <c r="S936" s="15">
        <f>Table5[[#This Row],[standard product cost per unit]]*Table5[[#This Row],[Units Sold]]</f>
        <v>8940</v>
      </c>
      <c r="T936" s="15">
        <f>Table5[[#This Row],[Cost of Sales]]-Table5[[#This Row],[Standard cost]]</f>
        <v>715.20000000000073</v>
      </c>
      <c r="U936" s="15">
        <f>Table5[[#This Row],[Net Sales Revenue]]-Table5[[#This Row],[Cost of Sales]]</f>
        <v>8895.2999999999993</v>
      </c>
      <c r="V936" s="17">
        <f>Table5[[#This Row],[GrossProfit]]/Table5[[#This Row],[Net Sales Revenue]]</f>
        <v>0.4795180722891566</v>
      </c>
    </row>
    <row r="937" spans="1:22" ht="14.25" customHeight="1" x14ac:dyDescent="0.25">
      <c r="A937" s="1" t="s">
        <v>1023</v>
      </c>
      <c r="B937" s="1" t="s">
        <v>988</v>
      </c>
      <c r="C937" s="1" t="s">
        <v>52</v>
      </c>
      <c r="D937" s="1" t="s">
        <v>33</v>
      </c>
      <c r="E937" s="1" t="s">
        <v>31</v>
      </c>
      <c r="F937" s="1">
        <v>2213</v>
      </c>
      <c r="G937" s="14">
        <v>22</v>
      </c>
      <c r="H937" s="1">
        <v>0.14000000000000001</v>
      </c>
      <c r="I937" s="14">
        <v>41869.96</v>
      </c>
      <c r="J937" s="14">
        <v>23900.400000000001</v>
      </c>
      <c r="K937" s="15">
        <f>Table5[[#This Row],[Selling Price]]*Table5[[#This Row],[Units Sold]]</f>
        <v>48686</v>
      </c>
      <c r="L937" t="str">
        <f t="shared" si="14"/>
        <v>2024-09</v>
      </c>
      <c r="M937" t="str">
        <f>VLOOKUP(Table5[[#This Row],[Store ID]],Table4[[Store ID]:[Store Location]],2)</f>
        <v>Glasgow</v>
      </c>
      <c r="N937" t="str">
        <f>VLOOKUP(Table5[[#This Row],[Store ID]],Table4[[Store ID]:[Region]],3)</f>
        <v>Scotland</v>
      </c>
      <c r="O937" t="str">
        <f>VLOOKUP(Table5[[#This Row],[Product ID]],'Product Master'!$A$2:$D$10,4)</f>
        <v>Supplier F</v>
      </c>
      <c r="P937" s="15">
        <f>Table5[[#This Row],[Total Revenue]]-Table5[[#This Row],[Net Sales Revenue]]</f>
        <v>6816.0400000000009</v>
      </c>
      <c r="Q937" s="15">
        <f>Table5[[#This Row],[Net Sales Revenue]]/Table5[[#This Row],[Units Sold]]</f>
        <v>18.919999999999998</v>
      </c>
      <c r="R937">
        <f>VLOOKUP(Table5[[#This Row],[Product ID]],'Product Master'!$A$1:$E$10,5,FALSE)</f>
        <v>10</v>
      </c>
      <c r="S937" s="15">
        <f>Table5[[#This Row],[standard product cost per unit]]*Table5[[#This Row],[Units Sold]]</f>
        <v>22130</v>
      </c>
      <c r="T937" s="15">
        <f>Table5[[#This Row],[Cost of Sales]]-Table5[[#This Row],[Standard cost]]</f>
        <v>1770.4000000000015</v>
      </c>
      <c r="U937" s="15">
        <f>Table5[[#This Row],[Net Sales Revenue]]-Table5[[#This Row],[Cost of Sales]]</f>
        <v>17969.559999999998</v>
      </c>
      <c r="V937" s="17">
        <f>Table5[[#This Row],[GrossProfit]]/Table5[[#This Row],[Net Sales Revenue]]</f>
        <v>0.42917547568710357</v>
      </c>
    </row>
    <row r="938" spans="1:22" ht="14.25" customHeight="1" x14ac:dyDescent="0.25">
      <c r="A938" s="1" t="s">
        <v>1024</v>
      </c>
      <c r="B938" s="1" t="s">
        <v>988</v>
      </c>
      <c r="C938" s="1" t="s">
        <v>56</v>
      </c>
      <c r="D938" s="1" t="s">
        <v>6</v>
      </c>
      <c r="E938" s="1" t="s">
        <v>8</v>
      </c>
      <c r="F938" s="1">
        <v>2318</v>
      </c>
      <c r="G938" s="14">
        <v>24</v>
      </c>
      <c r="H938" s="1">
        <v>0.15</v>
      </c>
      <c r="I938" s="14">
        <v>47287.199999999997</v>
      </c>
      <c r="J938" s="14">
        <v>30041.279999999999</v>
      </c>
      <c r="K938" s="15">
        <f>Table5[[#This Row],[Selling Price]]*Table5[[#This Row],[Units Sold]]</f>
        <v>55632</v>
      </c>
      <c r="L938" t="str">
        <f t="shared" si="14"/>
        <v>2024-09</v>
      </c>
      <c r="M938" t="str">
        <f>VLOOKUP(Table5[[#This Row],[Store ID]],Table4[[Store ID]:[Store Location]],2)</f>
        <v>Leeds</v>
      </c>
      <c r="N938" t="str">
        <f>VLOOKUP(Table5[[#This Row],[Store ID]],Table4[[Store ID]:[Region]],3)</f>
        <v>North</v>
      </c>
      <c r="O938" t="str">
        <f>VLOOKUP(Table5[[#This Row],[Product ID]],'Product Master'!$A$2:$D$10,4)</f>
        <v>Supplier A</v>
      </c>
      <c r="P938" s="15">
        <f>Table5[[#This Row],[Total Revenue]]-Table5[[#This Row],[Net Sales Revenue]]</f>
        <v>8344.8000000000029</v>
      </c>
      <c r="Q938" s="15">
        <f>Table5[[#This Row],[Net Sales Revenue]]/Table5[[#This Row],[Units Sold]]</f>
        <v>20.399999999999999</v>
      </c>
      <c r="R938">
        <f>VLOOKUP(Table5[[#This Row],[Product ID]],'Product Master'!$A$1:$E$10,5,FALSE)</f>
        <v>12</v>
      </c>
      <c r="S938" s="15">
        <f>Table5[[#This Row],[standard product cost per unit]]*Table5[[#This Row],[Units Sold]]</f>
        <v>27816</v>
      </c>
      <c r="T938" s="15">
        <f>Table5[[#This Row],[Cost of Sales]]-Table5[[#This Row],[Standard cost]]</f>
        <v>2225.2799999999988</v>
      </c>
      <c r="U938" s="15">
        <f>Table5[[#This Row],[Net Sales Revenue]]-Table5[[#This Row],[Cost of Sales]]</f>
        <v>17245.919999999998</v>
      </c>
      <c r="V938" s="17">
        <f>Table5[[#This Row],[GrossProfit]]/Table5[[#This Row],[Net Sales Revenue]]</f>
        <v>0.36470588235294116</v>
      </c>
    </row>
    <row r="939" spans="1:22" ht="14.25" customHeight="1" x14ac:dyDescent="0.25">
      <c r="A939" s="1" t="s">
        <v>1025</v>
      </c>
      <c r="B939" s="1" t="s">
        <v>988</v>
      </c>
      <c r="C939" s="1" t="s">
        <v>56</v>
      </c>
      <c r="D939" s="1" t="s">
        <v>10</v>
      </c>
      <c r="E939" s="1" t="s">
        <v>8</v>
      </c>
      <c r="F939" s="1">
        <v>1676</v>
      </c>
      <c r="G939" s="14">
        <v>50</v>
      </c>
      <c r="H939" s="1">
        <v>0.15</v>
      </c>
      <c r="I939" s="14">
        <v>71230</v>
      </c>
      <c r="J939" s="14">
        <v>50682.239999999998</v>
      </c>
      <c r="K939" s="15">
        <f>Table5[[#This Row],[Selling Price]]*Table5[[#This Row],[Units Sold]]</f>
        <v>83800</v>
      </c>
      <c r="L939" t="str">
        <f t="shared" si="14"/>
        <v>2024-09</v>
      </c>
      <c r="M939" t="str">
        <f>VLOOKUP(Table5[[#This Row],[Store ID]],Table4[[Store ID]:[Store Location]],2)</f>
        <v>Leeds</v>
      </c>
      <c r="N939" t="str">
        <f>VLOOKUP(Table5[[#This Row],[Store ID]],Table4[[Store ID]:[Region]],3)</f>
        <v>North</v>
      </c>
      <c r="O939" t="str">
        <f>VLOOKUP(Table5[[#This Row],[Product ID]],'Product Master'!$A$2:$D$10,4)</f>
        <v>Supplier B</v>
      </c>
      <c r="P939" s="15">
        <f>Table5[[#This Row],[Total Revenue]]-Table5[[#This Row],[Net Sales Revenue]]</f>
        <v>12570</v>
      </c>
      <c r="Q939" s="15">
        <f>Table5[[#This Row],[Net Sales Revenue]]/Table5[[#This Row],[Units Sold]]</f>
        <v>42.5</v>
      </c>
      <c r="R939">
        <f>VLOOKUP(Table5[[#This Row],[Product ID]],'Product Master'!$A$1:$E$10,5,FALSE)</f>
        <v>28</v>
      </c>
      <c r="S939" s="15">
        <f>Table5[[#This Row],[standard product cost per unit]]*Table5[[#This Row],[Units Sold]]</f>
        <v>46928</v>
      </c>
      <c r="T939" s="15">
        <f>Table5[[#This Row],[Cost of Sales]]-Table5[[#This Row],[Standard cost]]</f>
        <v>3754.239999999998</v>
      </c>
      <c r="U939" s="15">
        <f>Table5[[#This Row],[Net Sales Revenue]]-Table5[[#This Row],[Cost of Sales]]</f>
        <v>20547.760000000002</v>
      </c>
      <c r="V939" s="17">
        <f>Table5[[#This Row],[GrossProfit]]/Table5[[#This Row],[Net Sales Revenue]]</f>
        <v>0.28847058823529415</v>
      </c>
    </row>
    <row r="940" spans="1:22" ht="14.25" customHeight="1" x14ac:dyDescent="0.25">
      <c r="A940" s="1" t="s">
        <v>1026</v>
      </c>
      <c r="B940" s="1" t="s">
        <v>988</v>
      </c>
      <c r="C940" s="1" t="s">
        <v>56</v>
      </c>
      <c r="D940" s="1" t="s">
        <v>13</v>
      </c>
      <c r="E940" s="1" t="s">
        <v>15</v>
      </c>
      <c r="F940" s="1">
        <v>2807</v>
      </c>
      <c r="G940" s="14">
        <v>28</v>
      </c>
      <c r="H940" s="1">
        <v>0.15</v>
      </c>
      <c r="I940" s="14">
        <v>66806.600000000006</v>
      </c>
      <c r="J940" s="14">
        <v>45473.4</v>
      </c>
      <c r="K940" s="15">
        <f>Table5[[#This Row],[Selling Price]]*Table5[[#This Row],[Units Sold]]</f>
        <v>78596</v>
      </c>
      <c r="L940" t="str">
        <f t="shared" si="14"/>
        <v>2024-09</v>
      </c>
      <c r="M940" t="str">
        <f>VLOOKUP(Table5[[#This Row],[Store ID]],Table4[[Store ID]:[Store Location]],2)</f>
        <v>Leeds</v>
      </c>
      <c r="N940" t="str">
        <f>VLOOKUP(Table5[[#This Row],[Store ID]],Table4[[Store ID]:[Region]],3)</f>
        <v>North</v>
      </c>
      <c r="O940" t="str">
        <f>VLOOKUP(Table5[[#This Row],[Product ID]],'Product Master'!$A$2:$D$10,4)</f>
        <v>Supplier C</v>
      </c>
      <c r="P940" s="15">
        <f>Table5[[#This Row],[Total Revenue]]-Table5[[#This Row],[Net Sales Revenue]]</f>
        <v>11789.399999999994</v>
      </c>
      <c r="Q940" s="15">
        <f>Table5[[#This Row],[Net Sales Revenue]]/Table5[[#This Row],[Units Sold]]</f>
        <v>23.8</v>
      </c>
      <c r="R940">
        <f>VLOOKUP(Table5[[#This Row],[Product ID]],'Product Master'!$A$1:$E$10,5,FALSE)</f>
        <v>15</v>
      </c>
      <c r="S940" s="15">
        <f>Table5[[#This Row],[standard product cost per unit]]*Table5[[#This Row],[Units Sold]]</f>
        <v>42105</v>
      </c>
      <c r="T940" s="15">
        <f>Table5[[#This Row],[Cost of Sales]]-Table5[[#This Row],[Standard cost]]</f>
        <v>3368.4000000000015</v>
      </c>
      <c r="U940" s="15">
        <f>Table5[[#This Row],[Net Sales Revenue]]-Table5[[#This Row],[Cost of Sales]]</f>
        <v>21333.200000000004</v>
      </c>
      <c r="V940" s="17">
        <f>Table5[[#This Row],[GrossProfit]]/Table5[[#This Row],[Net Sales Revenue]]</f>
        <v>0.31932773109243701</v>
      </c>
    </row>
    <row r="941" spans="1:22" ht="14.25" customHeight="1" x14ac:dyDescent="0.25">
      <c r="A941" s="1" t="s">
        <v>1027</v>
      </c>
      <c r="B941" s="1" t="s">
        <v>988</v>
      </c>
      <c r="C941" s="1" t="s">
        <v>56</v>
      </c>
      <c r="D941" s="1" t="s">
        <v>17</v>
      </c>
      <c r="E941" s="1" t="s">
        <v>15</v>
      </c>
      <c r="F941" s="1">
        <v>1350</v>
      </c>
      <c r="G941" s="14">
        <v>35</v>
      </c>
      <c r="H941" s="1">
        <v>0.14000000000000001</v>
      </c>
      <c r="I941" s="14">
        <v>40635</v>
      </c>
      <c r="J941" s="14">
        <v>26244</v>
      </c>
      <c r="K941" s="15">
        <f>Table5[[#This Row],[Selling Price]]*Table5[[#This Row],[Units Sold]]</f>
        <v>47250</v>
      </c>
      <c r="L941" t="str">
        <f t="shared" si="14"/>
        <v>2024-09</v>
      </c>
      <c r="M941" t="str">
        <f>VLOOKUP(Table5[[#This Row],[Store ID]],Table4[[Store ID]:[Store Location]],2)</f>
        <v>Leeds</v>
      </c>
      <c r="N941" t="str">
        <f>VLOOKUP(Table5[[#This Row],[Store ID]],Table4[[Store ID]:[Region]],3)</f>
        <v>North</v>
      </c>
      <c r="O941" t="str">
        <f>VLOOKUP(Table5[[#This Row],[Product ID]],'Product Master'!$A$2:$D$10,4)</f>
        <v>Supplier C</v>
      </c>
      <c r="P941" s="15">
        <f>Table5[[#This Row],[Total Revenue]]-Table5[[#This Row],[Net Sales Revenue]]</f>
        <v>6615</v>
      </c>
      <c r="Q941" s="15">
        <f>Table5[[#This Row],[Net Sales Revenue]]/Table5[[#This Row],[Units Sold]]</f>
        <v>30.1</v>
      </c>
      <c r="R941">
        <f>VLOOKUP(Table5[[#This Row],[Product ID]],'Product Master'!$A$1:$E$10,5,FALSE)</f>
        <v>18</v>
      </c>
      <c r="S941" s="15">
        <f>Table5[[#This Row],[standard product cost per unit]]*Table5[[#This Row],[Units Sold]]</f>
        <v>24300</v>
      </c>
      <c r="T941" s="15">
        <f>Table5[[#This Row],[Cost of Sales]]-Table5[[#This Row],[Standard cost]]</f>
        <v>1944</v>
      </c>
      <c r="U941" s="15">
        <f>Table5[[#This Row],[Net Sales Revenue]]-Table5[[#This Row],[Cost of Sales]]</f>
        <v>14391</v>
      </c>
      <c r="V941" s="17">
        <f>Table5[[#This Row],[GrossProfit]]/Table5[[#This Row],[Net Sales Revenue]]</f>
        <v>0.35415282392026576</v>
      </c>
    </row>
    <row r="942" spans="1:22" ht="14.25" customHeight="1" x14ac:dyDescent="0.25">
      <c r="A942" s="1" t="s">
        <v>1028</v>
      </c>
      <c r="B942" s="1" t="s">
        <v>988</v>
      </c>
      <c r="C942" s="1" t="s">
        <v>56</v>
      </c>
      <c r="D942" s="1" t="s">
        <v>19</v>
      </c>
      <c r="E942" s="1" t="s">
        <v>21</v>
      </c>
      <c r="F942" s="1">
        <v>2384</v>
      </c>
      <c r="G942" s="14">
        <v>18</v>
      </c>
      <c r="H942" s="1">
        <v>0.14000000000000001</v>
      </c>
      <c r="I942" s="14">
        <v>36904.32</v>
      </c>
      <c r="J942" s="14">
        <v>23172.48</v>
      </c>
      <c r="K942" s="15">
        <f>Table5[[#This Row],[Selling Price]]*Table5[[#This Row],[Units Sold]]</f>
        <v>42912</v>
      </c>
      <c r="L942" t="str">
        <f t="shared" si="14"/>
        <v>2024-09</v>
      </c>
      <c r="M942" t="str">
        <f>VLOOKUP(Table5[[#This Row],[Store ID]],Table4[[Store ID]:[Store Location]],2)</f>
        <v>Leeds</v>
      </c>
      <c r="N942" t="str">
        <f>VLOOKUP(Table5[[#This Row],[Store ID]],Table4[[Store ID]:[Region]],3)</f>
        <v>North</v>
      </c>
      <c r="O942" t="str">
        <f>VLOOKUP(Table5[[#This Row],[Product ID]],'Product Master'!$A$2:$D$10,4)</f>
        <v>Supplier D</v>
      </c>
      <c r="P942" s="15">
        <f>Table5[[#This Row],[Total Revenue]]-Table5[[#This Row],[Net Sales Revenue]]</f>
        <v>6007.68</v>
      </c>
      <c r="Q942" s="15">
        <f>Table5[[#This Row],[Net Sales Revenue]]/Table5[[#This Row],[Units Sold]]</f>
        <v>15.48</v>
      </c>
      <c r="R942">
        <f>VLOOKUP(Table5[[#This Row],[Product ID]],'Product Master'!$A$1:$E$10,5,FALSE)</f>
        <v>9</v>
      </c>
      <c r="S942" s="15">
        <f>Table5[[#This Row],[standard product cost per unit]]*Table5[[#This Row],[Units Sold]]</f>
        <v>21456</v>
      </c>
      <c r="T942" s="15">
        <f>Table5[[#This Row],[Cost of Sales]]-Table5[[#This Row],[Standard cost]]</f>
        <v>1716.4799999999996</v>
      </c>
      <c r="U942" s="15">
        <f>Table5[[#This Row],[Net Sales Revenue]]-Table5[[#This Row],[Cost of Sales]]</f>
        <v>13731.84</v>
      </c>
      <c r="V942" s="17">
        <f>Table5[[#This Row],[GrossProfit]]/Table5[[#This Row],[Net Sales Revenue]]</f>
        <v>0.37209302325581395</v>
      </c>
    </row>
    <row r="943" spans="1:22" ht="14.25" customHeight="1" x14ac:dyDescent="0.25">
      <c r="A943" s="1" t="s">
        <v>1029</v>
      </c>
      <c r="B943" s="1" t="s">
        <v>988</v>
      </c>
      <c r="C943" s="1" t="s">
        <v>56</v>
      </c>
      <c r="D943" s="1" t="s">
        <v>23</v>
      </c>
      <c r="E943" s="1" t="s">
        <v>21</v>
      </c>
      <c r="F943" s="1">
        <v>2728</v>
      </c>
      <c r="G943" s="14">
        <v>30</v>
      </c>
      <c r="H943" s="1">
        <v>0.12</v>
      </c>
      <c r="I943" s="14">
        <v>72019.199999999997</v>
      </c>
      <c r="J943" s="14">
        <v>41247.360000000001</v>
      </c>
      <c r="K943" s="15">
        <f>Table5[[#This Row],[Selling Price]]*Table5[[#This Row],[Units Sold]]</f>
        <v>81840</v>
      </c>
      <c r="L943" t="str">
        <f t="shared" si="14"/>
        <v>2024-09</v>
      </c>
      <c r="M943" t="str">
        <f>VLOOKUP(Table5[[#This Row],[Store ID]],Table4[[Store ID]:[Store Location]],2)</f>
        <v>Leeds</v>
      </c>
      <c r="N943" t="str">
        <f>VLOOKUP(Table5[[#This Row],[Store ID]],Table4[[Store ID]:[Region]],3)</f>
        <v>North</v>
      </c>
      <c r="O943" t="str">
        <f>VLOOKUP(Table5[[#This Row],[Product ID]],'Product Master'!$A$2:$D$10,4)</f>
        <v>Supplier D</v>
      </c>
      <c r="P943" s="15">
        <f>Table5[[#This Row],[Total Revenue]]-Table5[[#This Row],[Net Sales Revenue]]</f>
        <v>9820.8000000000029</v>
      </c>
      <c r="Q943" s="15">
        <f>Table5[[#This Row],[Net Sales Revenue]]/Table5[[#This Row],[Units Sold]]</f>
        <v>26.4</v>
      </c>
      <c r="R943">
        <f>VLOOKUP(Table5[[#This Row],[Product ID]],'Product Master'!$A$1:$E$10,5,FALSE)</f>
        <v>14</v>
      </c>
      <c r="S943" s="15">
        <f>Table5[[#This Row],[standard product cost per unit]]*Table5[[#This Row],[Units Sold]]</f>
        <v>38192</v>
      </c>
      <c r="T943" s="15">
        <f>Table5[[#This Row],[Cost of Sales]]-Table5[[#This Row],[Standard cost]]</f>
        <v>3055.3600000000006</v>
      </c>
      <c r="U943" s="15">
        <f>Table5[[#This Row],[Net Sales Revenue]]-Table5[[#This Row],[Cost of Sales]]</f>
        <v>30771.839999999997</v>
      </c>
      <c r="V943" s="17">
        <f>Table5[[#This Row],[GrossProfit]]/Table5[[#This Row],[Net Sales Revenue]]</f>
        <v>0.42727272727272725</v>
      </c>
    </row>
    <row r="944" spans="1:22" ht="14.25" customHeight="1" x14ac:dyDescent="0.25">
      <c r="A944" s="1" t="s">
        <v>1030</v>
      </c>
      <c r="B944" s="1" t="s">
        <v>988</v>
      </c>
      <c r="C944" s="1" t="s">
        <v>56</v>
      </c>
      <c r="D944" s="1" t="s">
        <v>25</v>
      </c>
      <c r="E944" s="1" t="s">
        <v>27</v>
      </c>
      <c r="F944" s="1">
        <v>1333</v>
      </c>
      <c r="G944" s="14">
        <v>40</v>
      </c>
      <c r="H944" s="1">
        <v>0.15</v>
      </c>
      <c r="I944" s="14">
        <v>45322</v>
      </c>
      <c r="J944" s="14">
        <v>28792.799999999999</v>
      </c>
      <c r="K944" s="15">
        <f>Table5[[#This Row],[Selling Price]]*Table5[[#This Row],[Units Sold]]</f>
        <v>53320</v>
      </c>
      <c r="L944" t="str">
        <f t="shared" si="14"/>
        <v>2024-09</v>
      </c>
      <c r="M944" t="str">
        <f>VLOOKUP(Table5[[#This Row],[Store ID]],Table4[[Store ID]:[Store Location]],2)</f>
        <v>Leeds</v>
      </c>
      <c r="N944" t="str">
        <f>VLOOKUP(Table5[[#This Row],[Store ID]],Table4[[Store ID]:[Region]],3)</f>
        <v>North</v>
      </c>
      <c r="O944" t="str">
        <f>VLOOKUP(Table5[[#This Row],[Product ID]],'Product Master'!$A$2:$D$10,4)</f>
        <v>Supplier E</v>
      </c>
      <c r="P944" s="15">
        <f>Table5[[#This Row],[Total Revenue]]-Table5[[#This Row],[Net Sales Revenue]]</f>
        <v>7998</v>
      </c>
      <c r="Q944" s="15">
        <f>Table5[[#This Row],[Net Sales Revenue]]/Table5[[#This Row],[Units Sold]]</f>
        <v>34</v>
      </c>
      <c r="R944">
        <f>VLOOKUP(Table5[[#This Row],[Product ID]],'Product Master'!$A$1:$E$10,5,FALSE)</f>
        <v>20</v>
      </c>
      <c r="S944" s="15">
        <f>Table5[[#This Row],[standard product cost per unit]]*Table5[[#This Row],[Units Sold]]</f>
        <v>26660</v>
      </c>
      <c r="T944" s="15">
        <f>Table5[[#This Row],[Cost of Sales]]-Table5[[#This Row],[Standard cost]]</f>
        <v>2132.7999999999993</v>
      </c>
      <c r="U944" s="15">
        <f>Table5[[#This Row],[Net Sales Revenue]]-Table5[[#This Row],[Cost of Sales]]</f>
        <v>16529.2</v>
      </c>
      <c r="V944" s="17">
        <f>Table5[[#This Row],[GrossProfit]]/Table5[[#This Row],[Net Sales Revenue]]</f>
        <v>0.36470588235294121</v>
      </c>
    </row>
    <row r="945" spans="1:22" ht="14.25" customHeight="1" x14ac:dyDescent="0.25">
      <c r="A945" s="1" t="s">
        <v>1031</v>
      </c>
      <c r="B945" s="1" t="s">
        <v>988</v>
      </c>
      <c r="C945" s="1" t="s">
        <v>56</v>
      </c>
      <c r="D945" s="1" t="s">
        <v>29</v>
      </c>
      <c r="E945" s="1" t="s">
        <v>31</v>
      </c>
      <c r="F945" s="1">
        <v>3022</v>
      </c>
      <c r="G945" s="14">
        <v>10</v>
      </c>
      <c r="H945" s="1">
        <v>0.16</v>
      </c>
      <c r="I945" s="14">
        <v>25384.799999999999</v>
      </c>
      <c r="J945" s="14">
        <v>13055.04</v>
      </c>
      <c r="K945" s="15">
        <f>Table5[[#This Row],[Selling Price]]*Table5[[#This Row],[Units Sold]]</f>
        <v>30220</v>
      </c>
      <c r="L945" t="str">
        <f t="shared" si="14"/>
        <v>2024-09</v>
      </c>
      <c r="M945" t="str">
        <f>VLOOKUP(Table5[[#This Row],[Store ID]],Table4[[Store ID]:[Store Location]],2)</f>
        <v>Leeds</v>
      </c>
      <c r="N945" t="str">
        <f>VLOOKUP(Table5[[#This Row],[Store ID]],Table4[[Store ID]:[Region]],3)</f>
        <v>North</v>
      </c>
      <c r="O945" t="str">
        <f>VLOOKUP(Table5[[#This Row],[Product ID]],'Product Master'!$A$2:$D$10,4)</f>
        <v>Supplier F</v>
      </c>
      <c r="P945" s="15">
        <f>Table5[[#This Row],[Total Revenue]]-Table5[[#This Row],[Net Sales Revenue]]</f>
        <v>4835.2000000000007</v>
      </c>
      <c r="Q945" s="15">
        <f>Table5[[#This Row],[Net Sales Revenue]]/Table5[[#This Row],[Units Sold]]</f>
        <v>8.4</v>
      </c>
      <c r="R945">
        <f>VLOOKUP(Table5[[#This Row],[Product ID]],'Product Master'!$A$1:$E$10,5,FALSE)</f>
        <v>4</v>
      </c>
      <c r="S945" s="15">
        <f>Table5[[#This Row],[standard product cost per unit]]*Table5[[#This Row],[Units Sold]]</f>
        <v>12088</v>
      </c>
      <c r="T945" s="15">
        <f>Table5[[#This Row],[Cost of Sales]]-Table5[[#This Row],[Standard cost]]</f>
        <v>967.04000000000087</v>
      </c>
      <c r="U945" s="15">
        <f>Table5[[#This Row],[Net Sales Revenue]]-Table5[[#This Row],[Cost of Sales]]</f>
        <v>12329.759999999998</v>
      </c>
      <c r="V945" s="17">
        <f>Table5[[#This Row],[GrossProfit]]/Table5[[#This Row],[Net Sales Revenue]]</f>
        <v>0.48571428571428565</v>
      </c>
    </row>
    <row r="946" spans="1:22" ht="14.25" customHeight="1" x14ac:dyDescent="0.25">
      <c r="A946" s="1" t="s">
        <v>1032</v>
      </c>
      <c r="B946" s="1" t="s">
        <v>988</v>
      </c>
      <c r="C946" s="1" t="s">
        <v>56</v>
      </c>
      <c r="D946" s="1" t="s">
        <v>33</v>
      </c>
      <c r="E946" s="1" t="s">
        <v>31</v>
      </c>
      <c r="F946" s="1">
        <v>2169</v>
      </c>
      <c r="G946" s="14">
        <v>22</v>
      </c>
      <c r="H946" s="1">
        <v>0.15</v>
      </c>
      <c r="I946" s="14">
        <v>40560.300000000003</v>
      </c>
      <c r="J946" s="14">
        <v>23425.200000000001</v>
      </c>
      <c r="K946" s="15">
        <f>Table5[[#This Row],[Selling Price]]*Table5[[#This Row],[Units Sold]]</f>
        <v>47718</v>
      </c>
      <c r="L946" t="str">
        <f t="shared" si="14"/>
        <v>2024-09</v>
      </c>
      <c r="M946" t="str">
        <f>VLOOKUP(Table5[[#This Row],[Store ID]],Table4[[Store ID]:[Store Location]],2)</f>
        <v>Leeds</v>
      </c>
      <c r="N946" t="str">
        <f>VLOOKUP(Table5[[#This Row],[Store ID]],Table4[[Store ID]:[Region]],3)</f>
        <v>North</v>
      </c>
      <c r="O946" t="str">
        <f>VLOOKUP(Table5[[#This Row],[Product ID]],'Product Master'!$A$2:$D$10,4)</f>
        <v>Supplier F</v>
      </c>
      <c r="P946" s="15">
        <f>Table5[[#This Row],[Total Revenue]]-Table5[[#This Row],[Net Sales Revenue]]</f>
        <v>7157.6999999999971</v>
      </c>
      <c r="Q946" s="15">
        <f>Table5[[#This Row],[Net Sales Revenue]]/Table5[[#This Row],[Units Sold]]</f>
        <v>18.700000000000003</v>
      </c>
      <c r="R946">
        <f>VLOOKUP(Table5[[#This Row],[Product ID]],'Product Master'!$A$1:$E$10,5,FALSE)</f>
        <v>10</v>
      </c>
      <c r="S946" s="15">
        <f>Table5[[#This Row],[standard product cost per unit]]*Table5[[#This Row],[Units Sold]]</f>
        <v>21690</v>
      </c>
      <c r="T946" s="15">
        <f>Table5[[#This Row],[Cost of Sales]]-Table5[[#This Row],[Standard cost]]</f>
        <v>1735.2000000000007</v>
      </c>
      <c r="U946" s="15">
        <f>Table5[[#This Row],[Net Sales Revenue]]-Table5[[#This Row],[Cost of Sales]]</f>
        <v>17135.100000000002</v>
      </c>
      <c r="V946" s="17">
        <f>Table5[[#This Row],[GrossProfit]]/Table5[[#This Row],[Net Sales Revenue]]</f>
        <v>0.42245989304812837</v>
      </c>
    </row>
    <row r="947" spans="1:22" ht="14.25" customHeight="1" x14ac:dyDescent="0.25">
      <c r="A947" s="1" t="s">
        <v>1033</v>
      </c>
      <c r="B947" s="1" t="s">
        <v>1034</v>
      </c>
      <c r="C947" s="1" t="s">
        <v>40</v>
      </c>
      <c r="D947" s="1" t="s">
        <v>6</v>
      </c>
      <c r="E947" s="1" t="s">
        <v>8</v>
      </c>
      <c r="F947" s="1">
        <v>1707</v>
      </c>
      <c r="G947" s="14">
        <v>24</v>
      </c>
      <c r="H947" s="1">
        <v>0.14000000000000001</v>
      </c>
      <c r="I947" s="14">
        <v>35232.480000000003</v>
      </c>
      <c r="J947" s="14">
        <v>22122.720000000001</v>
      </c>
      <c r="K947" s="15">
        <f>Table5[[#This Row],[Selling Price]]*Table5[[#This Row],[Units Sold]]</f>
        <v>40968</v>
      </c>
      <c r="L947" t="str">
        <f t="shared" si="14"/>
        <v>2024-10</v>
      </c>
      <c r="M947" t="str">
        <f>VLOOKUP(Table5[[#This Row],[Store ID]],Table4[[Store ID]:[Store Location]],2)</f>
        <v>Manchester</v>
      </c>
      <c r="N947" t="str">
        <f>VLOOKUP(Table5[[#This Row],[Store ID]],Table4[[Store ID]:[Region]],3)</f>
        <v>North</v>
      </c>
      <c r="O947" t="str">
        <f>VLOOKUP(Table5[[#This Row],[Product ID]],'Product Master'!$A$2:$D$10,4)</f>
        <v>Supplier A</v>
      </c>
      <c r="P947" s="15">
        <f>Table5[[#This Row],[Total Revenue]]-Table5[[#This Row],[Net Sales Revenue]]</f>
        <v>5735.5199999999968</v>
      </c>
      <c r="Q947" s="15">
        <f>Table5[[#This Row],[Net Sales Revenue]]/Table5[[#This Row],[Units Sold]]</f>
        <v>20.64</v>
      </c>
      <c r="R947">
        <f>VLOOKUP(Table5[[#This Row],[Product ID]],'Product Master'!$A$1:$E$10,5,FALSE)</f>
        <v>12</v>
      </c>
      <c r="S947" s="15">
        <f>Table5[[#This Row],[standard product cost per unit]]*Table5[[#This Row],[Units Sold]]</f>
        <v>20484</v>
      </c>
      <c r="T947" s="15">
        <f>Table5[[#This Row],[Cost of Sales]]-Table5[[#This Row],[Standard cost]]</f>
        <v>1638.7200000000012</v>
      </c>
      <c r="U947" s="15">
        <f>Table5[[#This Row],[Net Sales Revenue]]-Table5[[#This Row],[Cost of Sales]]</f>
        <v>13109.760000000002</v>
      </c>
      <c r="V947" s="17">
        <f>Table5[[#This Row],[GrossProfit]]/Table5[[#This Row],[Net Sales Revenue]]</f>
        <v>0.372093023255814</v>
      </c>
    </row>
    <row r="948" spans="1:22" ht="14.25" customHeight="1" x14ac:dyDescent="0.25">
      <c r="A948" s="1" t="s">
        <v>1035</v>
      </c>
      <c r="B948" s="1" t="s">
        <v>1034</v>
      </c>
      <c r="C948" s="1" t="s">
        <v>40</v>
      </c>
      <c r="D948" s="1" t="s">
        <v>10</v>
      </c>
      <c r="E948" s="1" t="s">
        <v>8</v>
      </c>
      <c r="F948" s="1">
        <v>1504</v>
      </c>
      <c r="G948" s="14">
        <v>50</v>
      </c>
      <c r="H948" s="1">
        <v>0.16</v>
      </c>
      <c r="I948" s="14">
        <v>63168</v>
      </c>
      <c r="J948" s="14">
        <v>45480.959999999999</v>
      </c>
      <c r="K948" s="15">
        <f>Table5[[#This Row],[Selling Price]]*Table5[[#This Row],[Units Sold]]</f>
        <v>75200</v>
      </c>
      <c r="L948" t="str">
        <f t="shared" si="14"/>
        <v>2024-10</v>
      </c>
      <c r="M948" t="str">
        <f>VLOOKUP(Table5[[#This Row],[Store ID]],Table4[[Store ID]:[Store Location]],2)</f>
        <v>Manchester</v>
      </c>
      <c r="N948" t="str">
        <f>VLOOKUP(Table5[[#This Row],[Store ID]],Table4[[Store ID]:[Region]],3)</f>
        <v>North</v>
      </c>
      <c r="O948" t="str">
        <f>VLOOKUP(Table5[[#This Row],[Product ID]],'Product Master'!$A$2:$D$10,4)</f>
        <v>Supplier B</v>
      </c>
      <c r="P948" s="15">
        <f>Table5[[#This Row],[Total Revenue]]-Table5[[#This Row],[Net Sales Revenue]]</f>
        <v>12032</v>
      </c>
      <c r="Q948" s="15">
        <f>Table5[[#This Row],[Net Sales Revenue]]/Table5[[#This Row],[Units Sold]]</f>
        <v>42</v>
      </c>
      <c r="R948">
        <f>VLOOKUP(Table5[[#This Row],[Product ID]],'Product Master'!$A$1:$E$10,5,FALSE)</f>
        <v>28</v>
      </c>
      <c r="S948" s="15">
        <f>Table5[[#This Row],[standard product cost per unit]]*Table5[[#This Row],[Units Sold]]</f>
        <v>42112</v>
      </c>
      <c r="T948" s="15">
        <f>Table5[[#This Row],[Cost of Sales]]-Table5[[#This Row],[Standard cost]]</f>
        <v>3368.9599999999991</v>
      </c>
      <c r="U948" s="15">
        <f>Table5[[#This Row],[Net Sales Revenue]]-Table5[[#This Row],[Cost of Sales]]</f>
        <v>17687.04</v>
      </c>
      <c r="V948" s="17">
        <f>Table5[[#This Row],[GrossProfit]]/Table5[[#This Row],[Net Sales Revenue]]</f>
        <v>0.28000000000000003</v>
      </c>
    </row>
    <row r="949" spans="1:22" ht="14.25" customHeight="1" x14ac:dyDescent="0.25">
      <c r="A949" s="1" t="s">
        <v>1036</v>
      </c>
      <c r="B949" s="1" t="s">
        <v>1034</v>
      </c>
      <c r="C949" s="1" t="s">
        <v>40</v>
      </c>
      <c r="D949" s="1" t="s">
        <v>13</v>
      </c>
      <c r="E949" s="1" t="s">
        <v>15</v>
      </c>
      <c r="F949" s="1">
        <v>2635</v>
      </c>
      <c r="G949" s="14">
        <v>28</v>
      </c>
      <c r="H949" s="1">
        <v>0.14000000000000001</v>
      </c>
      <c r="I949" s="14">
        <v>63450.8</v>
      </c>
      <c r="J949" s="14">
        <v>42687</v>
      </c>
      <c r="K949" s="15">
        <f>Table5[[#This Row],[Selling Price]]*Table5[[#This Row],[Units Sold]]</f>
        <v>73780</v>
      </c>
      <c r="L949" t="str">
        <f t="shared" si="14"/>
        <v>2024-10</v>
      </c>
      <c r="M949" t="str">
        <f>VLOOKUP(Table5[[#This Row],[Store ID]],Table4[[Store ID]:[Store Location]],2)</f>
        <v>Manchester</v>
      </c>
      <c r="N949" t="str">
        <f>VLOOKUP(Table5[[#This Row],[Store ID]],Table4[[Store ID]:[Region]],3)</f>
        <v>North</v>
      </c>
      <c r="O949" t="str">
        <f>VLOOKUP(Table5[[#This Row],[Product ID]],'Product Master'!$A$2:$D$10,4)</f>
        <v>Supplier C</v>
      </c>
      <c r="P949" s="15">
        <f>Table5[[#This Row],[Total Revenue]]-Table5[[#This Row],[Net Sales Revenue]]</f>
        <v>10329.199999999997</v>
      </c>
      <c r="Q949" s="15">
        <f>Table5[[#This Row],[Net Sales Revenue]]/Table5[[#This Row],[Units Sold]]</f>
        <v>24.080000000000002</v>
      </c>
      <c r="R949">
        <f>VLOOKUP(Table5[[#This Row],[Product ID]],'Product Master'!$A$1:$E$10,5,FALSE)</f>
        <v>15</v>
      </c>
      <c r="S949" s="15">
        <f>Table5[[#This Row],[standard product cost per unit]]*Table5[[#This Row],[Units Sold]]</f>
        <v>39525</v>
      </c>
      <c r="T949" s="15">
        <f>Table5[[#This Row],[Cost of Sales]]-Table5[[#This Row],[Standard cost]]</f>
        <v>3162</v>
      </c>
      <c r="U949" s="15">
        <f>Table5[[#This Row],[Net Sales Revenue]]-Table5[[#This Row],[Cost of Sales]]</f>
        <v>20763.800000000003</v>
      </c>
      <c r="V949" s="17">
        <f>Table5[[#This Row],[GrossProfit]]/Table5[[#This Row],[Net Sales Revenue]]</f>
        <v>0.32724252491694356</v>
      </c>
    </row>
    <row r="950" spans="1:22" ht="14.25" customHeight="1" x14ac:dyDescent="0.25">
      <c r="A950" s="1" t="s">
        <v>1037</v>
      </c>
      <c r="B950" s="1" t="s">
        <v>1034</v>
      </c>
      <c r="C950" s="1" t="s">
        <v>40</v>
      </c>
      <c r="D950" s="1" t="s">
        <v>17</v>
      </c>
      <c r="E950" s="1" t="s">
        <v>15</v>
      </c>
      <c r="F950" s="1">
        <v>2063</v>
      </c>
      <c r="G950" s="14">
        <v>35</v>
      </c>
      <c r="H950" s="1">
        <v>0.13</v>
      </c>
      <c r="I950" s="14">
        <v>62818.35</v>
      </c>
      <c r="J950" s="14">
        <v>40104.720000000001</v>
      </c>
      <c r="K950" s="15">
        <f>Table5[[#This Row],[Selling Price]]*Table5[[#This Row],[Units Sold]]</f>
        <v>72205</v>
      </c>
      <c r="L950" t="str">
        <f t="shared" si="14"/>
        <v>2024-10</v>
      </c>
      <c r="M950" t="str">
        <f>VLOOKUP(Table5[[#This Row],[Store ID]],Table4[[Store ID]:[Store Location]],2)</f>
        <v>Manchester</v>
      </c>
      <c r="N950" t="str">
        <f>VLOOKUP(Table5[[#This Row],[Store ID]],Table4[[Store ID]:[Region]],3)</f>
        <v>North</v>
      </c>
      <c r="O950" t="str">
        <f>VLOOKUP(Table5[[#This Row],[Product ID]],'Product Master'!$A$2:$D$10,4)</f>
        <v>Supplier C</v>
      </c>
      <c r="P950" s="15">
        <f>Table5[[#This Row],[Total Revenue]]-Table5[[#This Row],[Net Sales Revenue]]</f>
        <v>9386.6500000000015</v>
      </c>
      <c r="Q950" s="15">
        <f>Table5[[#This Row],[Net Sales Revenue]]/Table5[[#This Row],[Units Sold]]</f>
        <v>30.45</v>
      </c>
      <c r="R950">
        <f>VLOOKUP(Table5[[#This Row],[Product ID]],'Product Master'!$A$1:$E$10,5,FALSE)</f>
        <v>18</v>
      </c>
      <c r="S950" s="15">
        <f>Table5[[#This Row],[standard product cost per unit]]*Table5[[#This Row],[Units Sold]]</f>
        <v>37134</v>
      </c>
      <c r="T950" s="15">
        <f>Table5[[#This Row],[Cost of Sales]]-Table5[[#This Row],[Standard cost]]</f>
        <v>2970.7200000000012</v>
      </c>
      <c r="U950" s="15">
        <f>Table5[[#This Row],[Net Sales Revenue]]-Table5[[#This Row],[Cost of Sales]]</f>
        <v>22713.629999999997</v>
      </c>
      <c r="V950" s="17">
        <f>Table5[[#This Row],[GrossProfit]]/Table5[[#This Row],[Net Sales Revenue]]</f>
        <v>0.36157635467980292</v>
      </c>
    </row>
    <row r="951" spans="1:22" ht="14.25" customHeight="1" x14ac:dyDescent="0.25">
      <c r="A951" s="1" t="s">
        <v>1038</v>
      </c>
      <c r="B951" s="1" t="s">
        <v>1034</v>
      </c>
      <c r="C951" s="1" t="s">
        <v>40</v>
      </c>
      <c r="D951" s="1" t="s">
        <v>19</v>
      </c>
      <c r="E951" s="1" t="s">
        <v>21</v>
      </c>
      <c r="F951" s="1">
        <v>2978</v>
      </c>
      <c r="G951" s="14">
        <v>18</v>
      </c>
      <c r="H951" s="1">
        <v>0.16</v>
      </c>
      <c r="I951" s="14">
        <v>45027.360000000001</v>
      </c>
      <c r="J951" s="14">
        <v>28946.16</v>
      </c>
      <c r="K951" s="15">
        <f>Table5[[#This Row],[Selling Price]]*Table5[[#This Row],[Units Sold]]</f>
        <v>53604</v>
      </c>
      <c r="L951" t="str">
        <f t="shared" si="14"/>
        <v>2024-10</v>
      </c>
      <c r="M951" t="str">
        <f>VLOOKUP(Table5[[#This Row],[Store ID]],Table4[[Store ID]:[Store Location]],2)</f>
        <v>Manchester</v>
      </c>
      <c r="N951" t="str">
        <f>VLOOKUP(Table5[[#This Row],[Store ID]],Table4[[Store ID]:[Region]],3)</f>
        <v>North</v>
      </c>
      <c r="O951" t="str">
        <f>VLOOKUP(Table5[[#This Row],[Product ID]],'Product Master'!$A$2:$D$10,4)</f>
        <v>Supplier D</v>
      </c>
      <c r="P951" s="15">
        <f>Table5[[#This Row],[Total Revenue]]-Table5[[#This Row],[Net Sales Revenue]]</f>
        <v>8576.64</v>
      </c>
      <c r="Q951" s="15">
        <f>Table5[[#This Row],[Net Sales Revenue]]/Table5[[#This Row],[Units Sold]]</f>
        <v>15.120000000000001</v>
      </c>
      <c r="R951">
        <f>VLOOKUP(Table5[[#This Row],[Product ID]],'Product Master'!$A$1:$E$10,5,FALSE)</f>
        <v>9</v>
      </c>
      <c r="S951" s="15">
        <f>Table5[[#This Row],[standard product cost per unit]]*Table5[[#This Row],[Units Sold]]</f>
        <v>26802</v>
      </c>
      <c r="T951" s="15">
        <f>Table5[[#This Row],[Cost of Sales]]-Table5[[#This Row],[Standard cost]]</f>
        <v>2144.16</v>
      </c>
      <c r="U951" s="15">
        <f>Table5[[#This Row],[Net Sales Revenue]]-Table5[[#This Row],[Cost of Sales]]</f>
        <v>16081.2</v>
      </c>
      <c r="V951" s="17">
        <f>Table5[[#This Row],[GrossProfit]]/Table5[[#This Row],[Net Sales Revenue]]</f>
        <v>0.35714285714285715</v>
      </c>
    </row>
    <row r="952" spans="1:22" ht="14.25" customHeight="1" x14ac:dyDescent="0.25">
      <c r="A952" s="1" t="s">
        <v>1039</v>
      </c>
      <c r="B952" s="1" t="s">
        <v>1034</v>
      </c>
      <c r="C952" s="1" t="s">
        <v>40</v>
      </c>
      <c r="D952" s="1" t="s">
        <v>23</v>
      </c>
      <c r="E952" s="1" t="s">
        <v>21</v>
      </c>
      <c r="F952" s="1">
        <v>2917</v>
      </c>
      <c r="G952" s="14">
        <v>30</v>
      </c>
      <c r="H952" s="1">
        <v>0.12</v>
      </c>
      <c r="I952" s="14">
        <v>77008.800000000003</v>
      </c>
      <c r="J952" s="14">
        <v>44105.04</v>
      </c>
      <c r="K952" s="15">
        <f>Table5[[#This Row],[Selling Price]]*Table5[[#This Row],[Units Sold]]</f>
        <v>87510</v>
      </c>
      <c r="L952" t="str">
        <f t="shared" si="14"/>
        <v>2024-10</v>
      </c>
      <c r="M952" t="str">
        <f>VLOOKUP(Table5[[#This Row],[Store ID]],Table4[[Store ID]:[Store Location]],2)</f>
        <v>Manchester</v>
      </c>
      <c r="N952" t="str">
        <f>VLOOKUP(Table5[[#This Row],[Store ID]],Table4[[Store ID]:[Region]],3)</f>
        <v>North</v>
      </c>
      <c r="O952" t="str">
        <f>VLOOKUP(Table5[[#This Row],[Product ID]],'Product Master'!$A$2:$D$10,4)</f>
        <v>Supplier D</v>
      </c>
      <c r="P952" s="15">
        <f>Table5[[#This Row],[Total Revenue]]-Table5[[#This Row],[Net Sales Revenue]]</f>
        <v>10501.199999999997</v>
      </c>
      <c r="Q952" s="15">
        <f>Table5[[#This Row],[Net Sales Revenue]]/Table5[[#This Row],[Units Sold]]</f>
        <v>26.400000000000002</v>
      </c>
      <c r="R952">
        <f>VLOOKUP(Table5[[#This Row],[Product ID]],'Product Master'!$A$1:$E$10,5,FALSE)</f>
        <v>14</v>
      </c>
      <c r="S952" s="15">
        <f>Table5[[#This Row],[standard product cost per unit]]*Table5[[#This Row],[Units Sold]]</f>
        <v>40838</v>
      </c>
      <c r="T952" s="15">
        <f>Table5[[#This Row],[Cost of Sales]]-Table5[[#This Row],[Standard cost]]</f>
        <v>3267.0400000000009</v>
      </c>
      <c r="U952" s="15">
        <f>Table5[[#This Row],[Net Sales Revenue]]-Table5[[#This Row],[Cost of Sales]]</f>
        <v>32903.760000000002</v>
      </c>
      <c r="V952" s="17">
        <f>Table5[[#This Row],[GrossProfit]]/Table5[[#This Row],[Net Sales Revenue]]</f>
        <v>0.4272727272727273</v>
      </c>
    </row>
    <row r="953" spans="1:22" ht="14.25" customHeight="1" x14ac:dyDescent="0.25">
      <c r="A953" s="1" t="s">
        <v>1040</v>
      </c>
      <c r="B953" s="1" t="s">
        <v>1034</v>
      </c>
      <c r="C953" s="1" t="s">
        <v>40</v>
      </c>
      <c r="D953" s="1" t="s">
        <v>25</v>
      </c>
      <c r="E953" s="1" t="s">
        <v>27</v>
      </c>
      <c r="F953" s="1">
        <v>3058</v>
      </c>
      <c r="G953" s="14">
        <v>40</v>
      </c>
      <c r="H953" s="1">
        <v>0.17</v>
      </c>
      <c r="I953" s="14">
        <v>101525.6</v>
      </c>
      <c r="J953" s="14">
        <v>66052.800000000003</v>
      </c>
      <c r="K953" s="15">
        <f>Table5[[#This Row],[Selling Price]]*Table5[[#This Row],[Units Sold]]</f>
        <v>122320</v>
      </c>
      <c r="L953" t="str">
        <f t="shared" si="14"/>
        <v>2024-10</v>
      </c>
      <c r="M953" t="str">
        <f>VLOOKUP(Table5[[#This Row],[Store ID]],Table4[[Store ID]:[Store Location]],2)</f>
        <v>Manchester</v>
      </c>
      <c r="N953" t="str">
        <f>VLOOKUP(Table5[[#This Row],[Store ID]],Table4[[Store ID]:[Region]],3)</f>
        <v>North</v>
      </c>
      <c r="O953" t="str">
        <f>VLOOKUP(Table5[[#This Row],[Product ID]],'Product Master'!$A$2:$D$10,4)</f>
        <v>Supplier E</v>
      </c>
      <c r="P953" s="15">
        <f>Table5[[#This Row],[Total Revenue]]-Table5[[#This Row],[Net Sales Revenue]]</f>
        <v>20794.399999999994</v>
      </c>
      <c r="Q953" s="15">
        <f>Table5[[#This Row],[Net Sales Revenue]]/Table5[[#This Row],[Units Sold]]</f>
        <v>33.200000000000003</v>
      </c>
      <c r="R953">
        <f>VLOOKUP(Table5[[#This Row],[Product ID]],'Product Master'!$A$1:$E$10,5,FALSE)</f>
        <v>20</v>
      </c>
      <c r="S953" s="15">
        <f>Table5[[#This Row],[standard product cost per unit]]*Table5[[#This Row],[Units Sold]]</f>
        <v>61160</v>
      </c>
      <c r="T953" s="15">
        <f>Table5[[#This Row],[Cost of Sales]]-Table5[[#This Row],[Standard cost]]</f>
        <v>4892.8000000000029</v>
      </c>
      <c r="U953" s="15">
        <f>Table5[[#This Row],[Net Sales Revenue]]-Table5[[#This Row],[Cost of Sales]]</f>
        <v>35472.800000000003</v>
      </c>
      <c r="V953" s="17">
        <f>Table5[[#This Row],[GrossProfit]]/Table5[[#This Row],[Net Sales Revenue]]</f>
        <v>0.3493975903614458</v>
      </c>
    </row>
    <row r="954" spans="1:22" ht="14.25" customHeight="1" x14ac:dyDescent="0.25">
      <c r="A954" s="1" t="s">
        <v>1041</v>
      </c>
      <c r="B954" s="1" t="s">
        <v>1034</v>
      </c>
      <c r="C954" s="1" t="s">
        <v>40</v>
      </c>
      <c r="D954" s="1" t="s">
        <v>29</v>
      </c>
      <c r="E954" s="1" t="s">
        <v>31</v>
      </c>
      <c r="F954" s="1">
        <v>1566</v>
      </c>
      <c r="G954" s="14">
        <v>10</v>
      </c>
      <c r="H954" s="1">
        <v>0.12</v>
      </c>
      <c r="I954" s="14">
        <v>13780.8</v>
      </c>
      <c r="J954" s="14">
        <v>6765.12</v>
      </c>
      <c r="K954" s="15">
        <f>Table5[[#This Row],[Selling Price]]*Table5[[#This Row],[Units Sold]]</f>
        <v>15660</v>
      </c>
      <c r="L954" t="str">
        <f t="shared" si="14"/>
        <v>2024-10</v>
      </c>
      <c r="M954" t="str">
        <f>VLOOKUP(Table5[[#This Row],[Store ID]],Table4[[Store ID]:[Store Location]],2)</f>
        <v>Manchester</v>
      </c>
      <c r="N954" t="str">
        <f>VLOOKUP(Table5[[#This Row],[Store ID]],Table4[[Store ID]:[Region]],3)</f>
        <v>North</v>
      </c>
      <c r="O954" t="str">
        <f>VLOOKUP(Table5[[#This Row],[Product ID]],'Product Master'!$A$2:$D$10,4)</f>
        <v>Supplier F</v>
      </c>
      <c r="P954" s="15">
        <f>Table5[[#This Row],[Total Revenue]]-Table5[[#This Row],[Net Sales Revenue]]</f>
        <v>1879.2000000000007</v>
      </c>
      <c r="Q954" s="15">
        <f>Table5[[#This Row],[Net Sales Revenue]]/Table5[[#This Row],[Units Sold]]</f>
        <v>8.7999999999999989</v>
      </c>
      <c r="R954">
        <f>VLOOKUP(Table5[[#This Row],[Product ID]],'Product Master'!$A$1:$E$10,5,FALSE)</f>
        <v>4</v>
      </c>
      <c r="S954" s="15">
        <f>Table5[[#This Row],[standard product cost per unit]]*Table5[[#This Row],[Units Sold]]</f>
        <v>6264</v>
      </c>
      <c r="T954" s="15">
        <f>Table5[[#This Row],[Cost of Sales]]-Table5[[#This Row],[Standard cost]]</f>
        <v>501.11999999999989</v>
      </c>
      <c r="U954" s="15">
        <f>Table5[[#This Row],[Net Sales Revenue]]-Table5[[#This Row],[Cost of Sales]]</f>
        <v>7015.6799999999994</v>
      </c>
      <c r="V954" s="17">
        <f>Table5[[#This Row],[GrossProfit]]/Table5[[#This Row],[Net Sales Revenue]]</f>
        <v>0.50909090909090904</v>
      </c>
    </row>
    <row r="955" spans="1:22" ht="14.25" customHeight="1" x14ac:dyDescent="0.25">
      <c r="A955" s="1" t="s">
        <v>1042</v>
      </c>
      <c r="B955" s="1" t="s">
        <v>1034</v>
      </c>
      <c r="C955" s="1" t="s">
        <v>40</v>
      </c>
      <c r="D955" s="1" t="s">
        <v>33</v>
      </c>
      <c r="E955" s="1" t="s">
        <v>31</v>
      </c>
      <c r="F955" s="1">
        <v>3009</v>
      </c>
      <c r="G955" s="14">
        <v>22</v>
      </c>
      <c r="H955" s="1">
        <v>0.13</v>
      </c>
      <c r="I955" s="14">
        <v>57592.26</v>
      </c>
      <c r="J955" s="14">
        <v>32497.200000000001</v>
      </c>
      <c r="K955" s="15">
        <f>Table5[[#This Row],[Selling Price]]*Table5[[#This Row],[Units Sold]]</f>
        <v>66198</v>
      </c>
      <c r="L955" t="str">
        <f t="shared" si="14"/>
        <v>2024-10</v>
      </c>
      <c r="M955" t="str">
        <f>VLOOKUP(Table5[[#This Row],[Store ID]],Table4[[Store ID]:[Store Location]],2)</f>
        <v>Manchester</v>
      </c>
      <c r="N955" t="str">
        <f>VLOOKUP(Table5[[#This Row],[Store ID]],Table4[[Store ID]:[Region]],3)</f>
        <v>North</v>
      </c>
      <c r="O955" t="str">
        <f>VLOOKUP(Table5[[#This Row],[Product ID]],'Product Master'!$A$2:$D$10,4)</f>
        <v>Supplier F</v>
      </c>
      <c r="P955" s="15">
        <f>Table5[[#This Row],[Total Revenue]]-Table5[[#This Row],[Net Sales Revenue]]</f>
        <v>8605.739999999998</v>
      </c>
      <c r="Q955" s="15">
        <f>Table5[[#This Row],[Net Sales Revenue]]/Table5[[#This Row],[Units Sold]]</f>
        <v>19.14</v>
      </c>
      <c r="R955">
        <f>VLOOKUP(Table5[[#This Row],[Product ID]],'Product Master'!$A$1:$E$10,5,FALSE)</f>
        <v>10</v>
      </c>
      <c r="S955" s="15">
        <f>Table5[[#This Row],[standard product cost per unit]]*Table5[[#This Row],[Units Sold]]</f>
        <v>30090</v>
      </c>
      <c r="T955" s="15">
        <f>Table5[[#This Row],[Cost of Sales]]-Table5[[#This Row],[Standard cost]]</f>
        <v>2407.2000000000007</v>
      </c>
      <c r="U955" s="15">
        <f>Table5[[#This Row],[Net Sales Revenue]]-Table5[[#This Row],[Cost of Sales]]</f>
        <v>25095.06</v>
      </c>
      <c r="V955" s="17">
        <f>Table5[[#This Row],[GrossProfit]]/Table5[[#This Row],[Net Sales Revenue]]</f>
        <v>0.43573667711598746</v>
      </c>
    </row>
    <row r="956" spans="1:22" ht="14.25" customHeight="1" x14ac:dyDescent="0.25">
      <c r="A956" s="1" t="s">
        <v>1043</v>
      </c>
      <c r="B956" s="1" t="s">
        <v>1034</v>
      </c>
      <c r="C956" s="1" t="s">
        <v>44</v>
      </c>
      <c r="D956" s="1" t="s">
        <v>6</v>
      </c>
      <c r="E956" s="1" t="s">
        <v>8</v>
      </c>
      <c r="F956" s="1">
        <v>2956</v>
      </c>
      <c r="G956" s="14">
        <v>24</v>
      </c>
      <c r="H956" s="1">
        <v>0.16</v>
      </c>
      <c r="I956" s="14">
        <v>59592.959999999999</v>
      </c>
      <c r="J956" s="14">
        <v>38309.760000000002</v>
      </c>
      <c r="K956" s="15">
        <f>Table5[[#This Row],[Selling Price]]*Table5[[#This Row],[Units Sold]]</f>
        <v>70944</v>
      </c>
      <c r="L956" t="str">
        <f t="shared" si="14"/>
        <v>2024-10</v>
      </c>
      <c r="M956" t="str">
        <f>VLOOKUP(Table5[[#This Row],[Store ID]],Table4[[Store ID]:[Store Location]],2)</f>
        <v>Birmingham</v>
      </c>
      <c r="N956" t="str">
        <f>VLOOKUP(Table5[[#This Row],[Store ID]],Table4[[Store ID]:[Region]],3)</f>
        <v>Midlands</v>
      </c>
      <c r="O956" t="str">
        <f>VLOOKUP(Table5[[#This Row],[Product ID]],'Product Master'!$A$2:$D$10,4)</f>
        <v>Supplier A</v>
      </c>
      <c r="P956" s="15">
        <f>Table5[[#This Row],[Total Revenue]]-Table5[[#This Row],[Net Sales Revenue]]</f>
        <v>11351.04</v>
      </c>
      <c r="Q956" s="15">
        <f>Table5[[#This Row],[Net Sales Revenue]]/Table5[[#This Row],[Units Sold]]</f>
        <v>20.16</v>
      </c>
      <c r="R956">
        <f>VLOOKUP(Table5[[#This Row],[Product ID]],'Product Master'!$A$1:$E$10,5,FALSE)</f>
        <v>12</v>
      </c>
      <c r="S956" s="15">
        <f>Table5[[#This Row],[standard product cost per unit]]*Table5[[#This Row],[Units Sold]]</f>
        <v>35472</v>
      </c>
      <c r="T956" s="15">
        <f>Table5[[#This Row],[Cost of Sales]]-Table5[[#This Row],[Standard cost]]</f>
        <v>2837.760000000002</v>
      </c>
      <c r="U956" s="15">
        <f>Table5[[#This Row],[Net Sales Revenue]]-Table5[[#This Row],[Cost of Sales]]</f>
        <v>21283.199999999997</v>
      </c>
      <c r="V956" s="17">
        <f>Table5[[#This Row],[GrossProfit]]/Table5[[#This Row],[Net Sales Revenue]]</f>
        <v>0.3571428571428571</v>
      </c>
    </row>
    <row r="957" spans="1:22" ht="14.25" customHeight="1" x14ac:dyDescent="0.25">
      <c r="A957" s="1" t="s">
        <v>1044</v>
      </c>
      <c r="B957" s="1" t="s">
        <v>1034</v>
      </c>
      <c r="C957" s="1" t="s">
        <v>44</v>
      </c>
      <c r="D957" s="1" t="s">
        <v>10</v>
      </c>
      <c r="E957" s="1" t="s">
        <v>8</v>
      </c>
      <c r="F957" s="1">
        <v>1430</v>
      </c>
      <c r="G957" s="14">
        <v>50</v>
      </c>
      <c r="H957" s="1">
        <v>0.14000000000000001</v>
      </c>
      <c r="I957" s="14">
        <v>61490</v>
      </c>
      <c r="J957" s="14">
        <v>43243.199999999997</v>
      </c>
      <c r="K957" s="15">
        <f>Table5[[#This Row],[Selling Price]]*Table5[[#This Row],[Units Sold]]</f>
        <v>71500</v>
      </c>
      <c r="L957" t="str">
        <f t="shared" si="14"/>
        <v>2024-10</v>
      </c>
      <c r="M957" t="str">
        <f>VLOOKUP(Table5[[#This Row],[Store ID]],Table4[[Store ID]:[Store Location]],2)</f>
        <v>Birmingham</v>
      </c>
      <c r="N957" t="str">
        <f>VLOOKUP(Table5[[#This Row],[Store ID]],Table4[[Store ID]:[Region]],3)</f>
        <v>Midlands</v>
      </c>
      <c r="O957" t="str">
        <f>VLOOKUP(Table5[[#This Row],[Product ID]],'Product Master'!$A$2:$D$10,4)</f>
        <v>Supplier B</v>
      </c>
      <c r="P957" s="15">
        <f>Table5[[#This Row],[Total Revenue]]-Table5[[#This Row],[Net Sales Revenue]]</f>
        <v>10010</v>
      </c>
      <c r="Q957" s="15">
        <f>Table5[[#This Row],[Net Sales Revenue]]/Table5[[#This Row],[Units Sold]]</f>
        <v>43</v>
      </c>
      <c r="R957">
        <f>VLOOKUP(Table5[[#This Row],[Product ID]],'Product Master'!$A$1:$E$10,5,FALSE)</f>
        <v>28</v>
      </c>
      <c r="S957" s="15">
        <f>Table5[[#This Row],[standard product cost per unit]]*Table5[[#This Row],[Units Sold]]</f>
        <v>40040</v>
      </c>
      <c r="T957" s="15">
        <f>Table5[[#This Row],[Cost of Sales]]-Table5[[#This Row],[Standard cost]]</f>
        <v>3203.1999999999971</v>
      </c>
      <c r="U957" s="15">
        <f>Table5[[#This Row],[Net Sales Revenue]]-Table5[[#This Row],[Cost of Sales]]</f>
        <v>18246.800000000003</v>
      </c>
      <c r="V957" s="17">
        <f>Table5[[#This Row],[GrossProfit]]/Table5[[#This Row],[Net Sales Revenue]]</f>
        <v>0.29674418604651165</v>
      </c>
    </row>
    <row r="958" spans="1:22" ht="14.25" customHeight="1" x14ac:dyDescent="0.25">
      <c r="A958" s="1" t="s">
        <v>1045</v>
      </c>
      <c r="B958" s="1" t="s">
        <v>1034</v>
      </c>
      <c r="C958" s="1" t="s">
        <v>44</v>
      </c>
      <c r="D958" s="1" t="s">
        <v>13</v>
      </c>
      <c r="E958" s="1" t="s">
        <v>15</v>
      </c>
      <c r="F958" s="1">
        <v>2156</v>
      </c>
      <c r="G958" s="14">
        <v>28</v>
      </c>
      <c r="H958" s="1">
        <v>0.15</v>
      </c>
      <c r="I958" s="14">
        <v>51312.800000000003</v>
      </c>
      <c r="J958" s="14">
        <v>34927.199999999997</v>
      </c>
      <c r="K958" s="15">
        <f>Table5[[#This Row],[Selling Price]]*Table5[[#This Row],[Units Sold]]</f>
        <v>60368</v>
      </c>
      <c r="L958" t="str">
        <f t="shared" si="14"/>
        <v>2024-10</v>
      </c>
      <c r="M958" t="str">
        <f>VLOOKUP(Table5[[#This Row],[Store ID]],Table4[[Store ID]:[Store Location]],2)</f>
        <v>Birmingham</v>
      </c>
      <c r="N958" t="str">
        <f>VLOOKUP(Table5[[#This Row],[Store ID]],Table4[[Store ID]:[Region]],3)</f>
        <v>Midlands</v>
      </c>
      <c r="O958" t="str">
        <f>VLOOKUP(Table5[[#This Row],[Product ID]],'Product Master'!$A$2:$D$10,4)</f>
        <v>Supplier C</v>
      </c>
      <c r="P958" s="15">
        <f>Table5[[#This Row],[Total Revenue]]-Table5[[#This Row],[Net Sales Revenue]]</f>
        <v>9055.1999999999971</v>
      </c>
      <c r="Q958" s="15">
        <f>Table5[[#This Row],[Net Sales Revenue]]/Table5[[#This Row],[Units Sold]]</f>
        <v>23.8</v>
      </c>
      <c r="R958">
        <f>VLOOKUP(Table5[[#This Row],[Product ID]],'Product Master'!$A$1:$E$10,5,FALSE)</f>
        <v>15</v>
      </c>
      <c r="S958" s="15">
        <f>Table5[[#This Row],[standard product cost per unit]]*Table5[[#This Row],[Units Sold]]</f>
        <v>32340</v>
      </c>
      <c r="T958" s="15">
        <f>Table5[[#This Row],[Cost of Sales]]-Table5[[#This Row],[Standard cost]]</f>
        <v>2587.1999999999971</v>
      </c>
      <c r="U958" s="15">
        <f>Table5[[#This Row],[Net Sales Revenue]]-Table5[[#This Row],[Cost of Sales]]</f>
        <v>16385.600000000006</v>
      </c>
      <c r="V958" s="17">
        <f>Table5[[#This Row],[GrossProfit]]/Table5[[#This Row],[Net Sales Revenue]]</f>
        <v>0.31932773109243706</v>
      </c>
    </row>
    <row r="959" spans="1:22" ht="14.25" customHeight="1" x14ac:dyDescent="0.25">
      <c r="A959" s="1" t="s">
        <v>1046</v>
      </c>
      <c r="B959" s="1" t="s">
        <v>1034</v>
      </c>
      <c r="C959" s="1" t="s">
        <v>44</v>
      </c>
      <c r="D959" s="1" t="s">
        <v>17</v>
      </c>
      <c r="E959" s="1" t="s">
        <v>15</v>
      </c>
      <c r="F959" s="1">
        <v>1724</v>
      </c>
      <c r="G959" s="14">
        <v>35</v>
      </c>
      <c r="H959" s="1">
        <v>0.13</v>
      </c>
      <c r="I959" s="14">
        <v>52495.8</v>
      </c>
      <c r="J959" s="14">
        <v>33514.559999999998</v>
      </c>
      <c r="K959" s="15">
        <f>Table5[[#This Row],[Selling Price]]*Table5[[#This Row],[Units Sold]]</f>
        <v>60340</v>
      </c>
      <c r="L959" t="str">
        <f t="shared" si="14"/>
        <v>2024-10</v>
      </c>
      <c r="M959" t="str">
        <f>VLOOKUP(Table5[[#This Row],[Store ID]],Table4[[Store ID]:[Store Location]],2)</f>
        <v>Birmingham</v>
      </c>
      <c r="N959" t="str">
        <f>VLOOKUP(Table5[[#This Row],[Store ID]],Table4[[Store ID]:[Region]],3)</f>
        <v>Midlands</v>
      </c>
      <c r="O959" t="str">
        <f>VLOOKUP(Table5[[#This Row],[Product ID]],'Product Master'!$A$2:$D$10,4)</f>
        <v>Supplier C</v>
      </c>
      <c r="P959" s="15">
        <f>Table5[[#This Row],[Total Revenue]]-Table5[[#This Row],[Net Sales Revenue]]</f>
        <v>7844.1999999999971</v>
      </c>
      <c r="Q959" s="15">
        <f>Table5[[#This Row],[Net Sales Revenue]]/Table5[[#This Row],[Units Sold]]</f>
        <v>30.450000000000003</v>
      </c>
      <c r="R959">
        <f>VLOOKUP(Table5[[#This Row],[Product ID]],'Product Master'!$A$1:$E$10,5,FALSE)</f>
        <v>18</v>
      </c>
      <c r="S959" s="15">
        <f>Table5[[#This Row],[standard product cost per unit]]*Table5[[#This Row],[Units Sold]]</f>
        <v>31032</v>
      </c>
      <c r="T959" s="15">
        <f>Table5[[#This Row],[Cost of Sales]]-Table5[[#This Row],[Standard cost]]</f>
        <v>2482.5599999999977</v>
      </c>
      <c r="U959" s="15">
        <f>Table5[[#This Row],[Net Sales Revenue]]-Table5[[#This Row],[Cost of Sales]]</f>
        <v>18981.240000000005</v>
      </c>
      <c r="V959" s="17">
        <f>Table5[[#This Row],[GrossProfit]]/Table5[[#This Row],[Net Sales Revenue]]</f>
        <v>0.36157635467980304</v>
      </c>
    </row>
    <row r="960" spans="1:22" ht="14.25" customHeight="1" x14ac:dyDescent="0.25">
      <c r="A960" s="1" t="s">
        <v>1047</v>
      </c>
      <c r="B960" s="1" t="s">
        <v>1034</v>
      </c>
      <c r="C960" s="1" t="s">
        <v>44</v>
      </c>
      <c r="D960" s="1" t="s">
        <v>19</v>
      </c>
      <c r="E960" s="1" t="s">
        <v>21</v>
      </c>
      <c r="F960" s="1">
        <v>2389</v>
      </c>
      <c r="G960" s="14">
        <v>18</v>
      </c>
      <c r="H960" s="1">
        <v>0.12</v>
      </c>
      <c r="I960" s="14">
        <v>37841.760000000002</v>
      </c>
      <c r="J960" s="14">
        <v>23221.08</v>
      </c>
      <c r="K960" s="15">
        <f>Table5[[#This Row],[Selling Price]]*Table5[[#This Row],[Units Sold]]</f>
        <v>43002</v>
      </c>
      <c r="L960" t="str">
        <f t="shared" si="14"/>
        <v>2024-10</v>
      </c>
      <c r="M960" t="str">
        <f>VLOOKUP(Table5[[#This Row],[Store ID]],Table4[[Store ID]:[Store Location]],2)</f>
        <v>Birmingham</v>
      </c>
      <c r="N960" t="str">
        <f>VLOOKUP(Table5[[#This Row],[Store ID]],Table4[[Store ID]:[Region]],3)</f>
        <v>Midlands</v>
      </c>
      <c r="O960" t="str">
        <f>VLOOKUP(Table5[[#This Row],[Product ID]],'Product Master'!$A$2:$D$10,4)</f>
        <v>Supplier D</v>
      </c>
      <c r="P960" s="15">
        <f>Table5[[#This Row],[Total Revenue]]-Table5[[#This Row],[Net Sales Revenue]]</f>
        <v>5160.239999999998</v>
      </c>
      <c r="Q960" s="15">
        <f>Table5[[#This Row],[Net Sales Revenue]]/Table5[[#This Row],[Units Sold]]</f>
        <v>15.840000000000002</v>
      </c>
      <c r="R960">
        <f>VLOOKUP(Table5[[#This Row],[Product ID]],'Product Master'!$A$1:$E$10,5,FALSE)</f>
        <v>9</v>
      </c>
      <c r="S960" s="15">
        <f>Table5[[#This Row],[standard product cost per unit]]*Table5[[#This Row],[Units Sold]]</f>
        <v>21501</v>
      </c>
      <c r="T960" s="15">
        <f>Table5[[#This Row],[Cost of Sales]]-Table5[[#This Row],[Standard cost]]</f>
        <v>1720.0800000000017</v>
      </c>
      <c r="U960" s="15">
        <f>Table5[[#This Row],[Net Sales Revenue]]-Table5[[#This Row],[Cost of Sales]]</f>
        <v>14620.68</v>
      </c>
      <c r="V960" s="17">
        <f>Table5[[#This Row],[GrossProfit]]/Table5[[#This Row],[Net Sales Revenue]]</f>
        <v>0.38636363636363635</v>
      </c>
    </row>
    <row r="961" spans="1:22" ht="14.25" customHeight="1" x14ac:dyDescent="0.25">
      <c r="A961" s="1" t="s">
        <v>1048</v>
      </c>
      <c r="B961" s="1" t="s">
        <v>1034</v>
      </c>
      <c r="C961" s="1" t="s">
        <v>44</v>
      </c>
      <c r="D961" s="1" t="s">
        <v>23</v>
      </c>
      <c r="E961" s="1" t="s">
        <v>21</v>
      </c>
      <c r="F961" s="1">
        <v>3075</v>
      </c>
      <c r="G961" s="14">
        <v>30</v>
      </c>
      <c r="H961" s="1">
        <v>0.15</v>
      </c>
      <c r="I961" s="14">
        <v>78412.5</v>
      </c>
      <c r="J961" s="14">
        <v>46494</v>
      </c>
      <c r="K961" s="15">
        <f>Table5[[#This Row],[Selling Price]]*Table5[[#This Row],[Units Sold]]</f>
        <v>92250</v>
      </c>
      <c r="L961" t="str">
        <f t="shared" si="14"/>
        <v>2024-10</v>
      </c>
      <c r="M961" t="str">
        <f>VLOOKUP(Table5[[#This Row],[Store ID]],Table4[[Store ID]:[Store Location]],2)</f>
        <v>Birmingham</v>
      </c>
      <c r="N961" t="str">
        <f>VLOOKUP(Table5[[#This Row],[Store ID]],Table4[[Store ID]:[Region]],3)</f>
        <v>Midlands</v>
      </c>
      <c r="O961" t="str">
        <f>VLOOKUP(Table5[[#This Row],[Product ID]],'Product Master'!$A$2:$D$10,4)</f>
        <v>Supplier D</v>
      </c>
      <c r="P961" s="15">
        <f>Table5[[#This Row],[Total Revenue]]-Table5[[#This Row],[Net Sales Revenue]]</f>
        <v>13837.5</v>
      </c>
      <c r="Q961" s="15">
        <f>Table5[[#This Row],[Net Sales Revenue]]/Table5[[#This Row],[Units Sold]]</f>
        <v>25.5</v>
      </c>
      <c r="R961">
        <f>VLOOKUP(Table5[[#This Row],[Product ID]],'Product Master'!$A$1:$E$10,5,FALSE)</f>
        <v>14</v>
      </c>
      <c r="S961" s="15">
        <f>Table5[[#This Row],[standard product cost per unit]]*Table5[[#This Row],[Units Sold]]</f>
        <v>43050</v>
      </c>
      <c r="T961" s="15">
        <f>Table5[[#This Row],[Cost of Sales]]-Table5[[#This Row],[Standard cost]]</f>
        <v>3444</v>
      </c>
      <c r="U961" s="15">
        <f>Table5[[#This Row],[Net Sales Revenue]]-Table5[[#This Row],[Cost of Sales]]</f>
        <v>31918.5</v>
      </c>
      <c r="V961" s="17">
        <f>Table5[[#This Row],[GrossProfit]]/Table5[[#This Row],[Net Sales Revenue]]</f>
        <v>0.40705882352941175</v>
      </c>
    </row>
    <row r="962" spans="1:22" ht="14.25" customHeight="1" x14ac:dyDescent="0.25">
      <c r="A962" s="1" t="s">
        <v>1049</v>
      </c>
      <c r="B962" s="1" t="s">
        <v>1034</v>
      </c>
      <c r="C962" s="1" t="s">
        <v>44</v>
      </c>
      <c r="D962" s="1" t="s">
        <v>25</v>
      </c>
      <c r="E962" s="1" t="s">
        <v>27</v>
      </c>
      <c r="F962" s="1">
        <v>2846</v>
      </c>
      <c r="G962" s="14">
        <v>40</v>
      </c>
      <c r="H962" s="1">
        <v>0.14000000000000001</v>
      </c>
      <c r="I962" s="14">
        <v>97902.399999999994</v>
      </c>
      <c r="J962" s="14">
        <v>61473.599999999999</v>
      </c>
      <c r="K962" s="15">
        <f>Table5[[#This Row],[Selling Price]]*Table5[[#This Row],[Units Sold]]</f>
        <v>113840</v>
      </c>
      <c r="L962" t="str">
        <f t="shared" ref="L962:L1025" si="15">TEXT(B962,"yyyy-mm")</f>
        <v>2024-10</v>
      </c>
      <c r="M962" t="str">
        <f>VLOOKUP(Table5[[#This Row],[Store ID]],Table4[[Store ID]:[Store Location]],2)</f>
        <v>Birmingham</v>
      </c>
      <c r="N962" t="str">
        <f>VLOOKUP(Table5[[#This Row],[Store ID]],Table4[[Store ID]:[Region]],3)</f>
        <v>Midlands</v>
      </c>
      <c r="O962" t="str">
        <f>VLOOKUP(Table5[[#This Row],[Product ID]],'Product Master'!$A$2:$D$10,4)</f>
        <v>Supplier E</v>
      </c>
      <c r="P962" s="15">
        <f>Table5[[#This Row],[Total Revenue]]-Table5[[#This Row],[Net Sales Revenue]]</f>
        <v>15937.600000000006</v>
      </c>
      <c r="Q962" s="15">
        <f>Table5[[#This Row],[Net Sales Revenue]]/Table5[[#This Row],[Units Sold]]</f>
        <v>34.4</v>
      </c>
      <c r="R962">
        <f>VLOOKUP(Table5[[#This Row],[Product ID]],'Product Master'!$A$1:$E$10,5,FALSE)</f>
        <v>20</v>
      </c>
      <c r="S962" s="15">
        <f>Table5[[#This Row],[standard product cost per unit]]*Table5[[#This Row],[Units Sold]]</f>
        <v>56920</v>
      </c>
      <c r="T962" s="15">
        <f>Table5[[#This Row],[Cost of Sales]]-Table5[[#This Row],[Standard cost]]</f>
        <v>4553.5999999999985</v>
      </c>
      <c r="U962" s="15">
        <f>Table5[[#This Row],[Net Sales Revenue]]-Table5[[#This Row],[Cost of Sales]]</f>
        <v>36428.799999999996</v>
      </c>
      <c r="V962" s="17">
        <f>Table5[[#This Row],[GrossProfit]]/Table5[[#This Row],[Net Sales Revenue]]</f>
        <v>0.37209302325581395</v>
      </c>
    </row>
    <row r="963" spans="1:22" ht="14.25" customHeight="1" x14ac:dyDescent="0.25">
      <c r="A963" s="1" t="s">
        <v>1050</v>
      </c>
      <c r="B963" s="1" t="s">
        <v>1034</v>
      </c>
      <c r="C963" s="1" t="s">
        <v>44</v>
      </c>
      <c r="D963" s="1" t="s">
        <v>29</v>
      </c>
      <c r="E963" s="1" t="s">
        <v>31</v>
      </c>
      <c r="F963" s="1">
        <v>2054</v>
      </c>
      <c r="G963" s="14">
        <v>10</v>
      </c>
      <c r="H963" s="1">
        <v>0.13</v>
      </c>
      <c r="I963" s="14">
        <v>17869.8</v>
      </c>
      <c r="J963" s="14">
        <v>8873.2800000000007</v>
      </c>
      <c r="K963" s="15">
        <f>Table5[[#This Row],[Selling Price]]*Table5[[#This Row],[Units Sold]]</f>
        <v>20540</v>
      </c>
      <c r="L963" t="str">
        <f t="shared" si="15"/>
        <v>2024-10</v>
      </c>
      <c r="M963" t="str">
        <f>VLOOKUP(Table5[[#This Row],[Store ID]],Table4[[Store ID]:[Store Location]],2)</f>
        <v>Birmingham</v>
      </c>
      <c r="N963" t="str">
        <f>VLOOKUP(Table5[[#This Row],[Store ID]],Table4[[Store ID]:[Region]],3)</f>
        <v>Midlands</v>
      </c>
      <c r="O963" t="str">
        <f>VLOOKUP(Table5[[#This Row],[Product ID]],'Product Master'!$A$2:$D$10,4)</f>
        <v>Supplier F</v>
      </c>
      <c r="P963" s="15">
        <f>Table5[[#This Row],[Total Revenue]]-Table5[[#This Row],[Net Sales Revenue]]</f>
        <v>2670.2000000000007</v>
      </c>
      <c r="Q963" s="15">
        <f>Table5[[#This Row],[Net Sales Revenue]]/Table5[[#This Row],[Units Sold]]</f>
        <v>8.6999999999999993</v>
      </c>
      <c r="R963">
        <f>VLOOKUP(Table5[[#This Row],[Product ID]],'Product Master'!$A$1:$E$10,5,FALSE)</f>
        <v>4</v>
      </c>
      <c r="S963" s="15">
        <f>Table5[[#This Row],[standard product cost per unit]]*Table5[[#This Row],[Units Sold]]</f>
        <v>8216</v>
      </c>
      <c r="T963" s="15">
        <f>Table5[[#This Row],[Cost of Sales]]-Table5[[#This Row],[Standard cost]]</f>
        <v>657.28000000000065</v>
      </c>
      <c r="U963" s="15">
        <f>Table5[[#This Row],[Net Sales Revenue]]-Table5[[#This Row],[Cost of Sales]]</f>
        <v>8996.5199999999986</v>
      </c>
      <c r="V963" s="17">
        <f>Table5[[#This Row],[GrossProfit]]/Table5[[#This Row],[Net Sales Revenue]]</f>
        <v>0.50344827586206886</v>
      </c>
    </row>
    <row r="964" spans="1:22" ht="14.25" customHeight="1" x14ac:dyDescent="0.25">
      <c r="A964" s="1" t="s">
        <v>1051</v>
      </c>
      <c r="B964" s="1" t="s">
        <v>1034</v>
      </c>
      <c r="C964" s="1" t="s">
        <v>44</v>
      </c>
      <c r="D964" s="1" t="s">
        <v>33</v>
      </c>
      <c r="E964" s="1" t="s">
        <v>31</v>
      </c>
      <c r="F964" s="1">
        <v>2670</v>
      </c>
      <c r="G964" s="14">
        <v>22</v>
      </c>
      <c r="H964" s="1">
        <v>0.13</v>
      </c>
      <c r="I964" s="14">
        <v>51103.8</v>
      </c>
      <c r="J964" s="14">
        <v>28836</v>
      </c>
      <c r="K964" s="15">
        <f>Table5[[#This Row],[Selling Price]]*Table5[[#This Row],[Units Sold]]</f>
        <v>58740</v>
      </c>
      <c r="L964" t="str">
        <f t="shared" si="15"/>
        <v>2024-10</v>
      </c>
      <c r="M964" t="str">
        <f>VLOOKUP(Table5[[#This Row],[Store ID]],Table4[[Store ID]:[Store Location]],2)</f>
        <v>Birmingham</v>
      </c>
      <c r="N964" t="str">
        <f>VLOOKUP(Table5[[#This Row],[Store ID]],Table4[[Store ID]:[Region]],3)</f>
        <v>Midlands</v>
      </c>
      <c r="O964" t="str">
        <f>VLOOKUP(Table5[[#This Row],[Product ID]],'Product Master'!$A$2:$D$10,4)</f>
        <v>Supplier F</v>
      </c>
      <c r="P964" s="15">
        <f>Table5[[#This Row],[Total Revenue]]-Table5[[#This Row],[Net Sales Revenue]]</f>
        <v>7636.1999999999971</v>
      </c>
      <c r="Q964" s="15">
        <f>Table5[[#This Row],[Net Sales Revenue]]/Table5[[#This Row],[Units Sold]]</f>
        <v>19.14</v>
      </c>
      <c r="R964">
        <f>VLOOKUP(Table5[[#This Row],[Product ID]],'Product Master'!$A$1:$E$10,5,FALSE)</f>
        <v>10</v>
      </c>
      <c r="S964" s="15">
        <f>Table5[[#This Row],[standard product cost per unit]]*Table5[[#This Row],[Units Sold]]</f>
        <v>26700</v>
      </c>
      <c r="T964" s="15">
        <f>Table5[[#This Row],[Cost of Sales]]-Table5[[#This Row],[Standard cost]]</f>
        <v>2136</v>
      </c>
      <c r="U964" s="15">
        <f>Table5[[#This Row],[Net Sales Revenue]]-Table5[[#This Row],[Cost of Sales]]</f>
        <v>22267.800000000003</v>
      </c>
      <c r="V964" s="17">
        <f>Table5[[#This Row],[GrossProfit]]/Table5[[#This Row],[Net Sales Revenue]]</f>
        <v>0.43573667711598751</v>
      </c>
    </row>
    <row r="965" spans="1:22" ht="14.25" customHeight="1" x14ac:dyDescent="0.25">
      <c r="A965" s="1" t="s">
        <v>1052</v>
      </c>
      <c r="B965" s="1" t="s">
        <v>1034</v>
      </c>
      <c r="C965" s="1" t="s">
        <v>48</v>
      </c>
      <c r="D965" s="1" t="s">
        <v>6</v>
      </c>
      <c r="E965" s="1" t="s">
        <v>8</v>
      </c>
      <c r="F965" s="1">
        <v>2037</v>
      </c>
      <c r="G965" s="14">
        <v>24</v>
      </c>
      <c r="H965" s="1">
        <v>0.13</v>
      </c>
      <c r="I965" s="14">
        <v>42532.56</v>
      </c>
      <c r="J965" s="14">
        <v>26399.52</v>
      </c>
      <c r="K965" s="15">
        <f>Table5[[#This Row],[Selling Price]]*Table5[[#This Row],[Units Sold]]</f>
        <v>48888</v>
      </c>
      <c r="L965" t="str">
        <f t="shared" si="15"/>
        <v>2024-10</v>
      </c>
      <c r="M965" t="str">
        <f>VLOOKUP(Table5[[#This Row],[Store ID]],Table4[[Store ID]:[Store Location]],2)</f>
        <v>London Stratford</v>
      </c>
      <c r="N965" t="str">
        <f>VLOOKUP(Table5[[#This Row],[Store ID]],Table4[[Store ID]:[Region]],3)</f>
        <v>South</v>
      </c>
      <c r="O965" t="str">
        <f>VLOOKUP(Table5[[#This Row],[Product ID]],'Product Master'!$A$2:$D$10,4)</f>
        <v>Supplier A</v>
      </c>
      <c r="P965" s="15">
        <f>Table5[[#This Row],[Total Revenue]]-Table5[[#This Row],[Net Sales Revenue]]</f>
        <v>6355.4400000000023</v>
      </c>
      <c r="Q965" s="15">
        <f>Table5[[#This Row],[Net Sales Revenue]]/Table5[[#This Row],[Units Sold]]</f>
        <v>20.88</v>
      </c>
      <c r="R965">
        <f>VLOOKUP(Table5[[#This Row],[Product ID]],'Product Master'!$A$1:$E$10,5,FALSE)</f>
        <v>12</v>
      </c>
      <c r="S965" s="15">
        <f>Table5[[#This Row],[standard product cost per unit]]*Table5[[#This Row],[Units Sold]]</f>
        <v>24444</v>
      </c>
      <c r="T965" s="15">
        <f>Table5[[#This Row],[Cost of Sales]]-Table5[[#This Row],[Standard cost]]</f>
        <v>1955.5200000000004</v>
      </c>
      <c r="U965" s="15">
        <f>Table5[[#This Row],[Net Sales Revenue]]-Table5[[#This Row],[Cost of Sales]]</f>
        <v>16133.039999999997</v>
      </c>
      <c r="V965" s="17">
        <f>Table5[[#This Row],[GrossProfit]]/Table5[[#This Row],[Net Sales Revenue]]</f>
        <v>0.37931034482758619</v>
      </c>
    </row>
    <row r="966" spans="1:22" ht="14.25" customHeight="1" x14ac:dyDescent="0.25">
      <c r="A966" s="1" t="s">
        <v>1053</v>
      </c>
      <c r="B966" s="1" t="s">
        <v>1034</v>
      </c>
      <c r="C966" s="1" t="s">
        <v>48</v>
      </c>
      <c r="D966" s="1" t="s">
        <v>10</v>
      </c>
      <c r="E966" s="1" t="s">
        <v>8</v>
      </c>
      <c r="F966" s="1">
        <v>1918</v>
      </c>
      <c r="G966" s="14">
        <v>50</v>
      </c>
      <c r="H966" s="1">
        <v>0.13</v>
      </c>
      <c r="I966" s="14">
        <v>83433</v>
      </c>
      <c r="J966" s="14">
        <v>58000.32</v>
      </c>
      <c r="K966" s="15">
        <f>Table5[[#This Row],[Selling Price]]*Table5[[#This Row],[Units Sold]]</f>
        <v>95900</v>
      </c>
      <c r="L966" t="str">
        <f t="shared" si="15"/>
        <v>2024-10</v>
      </c>
      <c r="M966" t="str">
        <f>VLOOKUP(Table5[[#This Row],[Store ID]],Table4[[Store ID]:[Store Location]],2)</f>
        <v>London Stratford</v>
      </c>
      <c r="N966" t="str">
        <f>VLOOKUP(Table5[[#This Row],[Store ID]],Table4[[Store ID]:[Region]],3)</f>
        <v>South</v>
      </c>
      <c r="O966" t="str">
        <f>VLOOKUP(Table5[[#This Row],[Product ID]],'Product Master'!$A$2:$D$10,4)</f>
        <v>Supplier B</v>
      </c>
      <c r="P966" s="15">
        <f>Table5[[#This Row],[Total Revenue]]-Table5[[#This Row],[Net Sales Revenue]]</f>
        <v>12467</v>
      </c>
      <c r="Q966" s="15">
        <f>Table5[[#This Row],[Net Sales Revenue]]/Table5[[#This Row],[Units Sold]]</f>
        <v>43.5</v>
      </c>
      <c r="R966">
        <f>VLOOKUP(Table5[[#This Row],[Product ID]],'Product Master'!$A$1:$E$10,5,FALSE)</f>
        <v>28</v>
      </c>
      <c r="S966" s="15">
        <f>Table5[[#This Row],[standard product cost per unit]]*Table5[[#This Row],[Units Sold]]</f>
        <v>53704</v>
      </c>
      <c r="T966" s="15">
        <f>Table5[[#This Row],[Cost of Sales]]-Table5[[#This Row],[Standard cost]]</f>
        <v>4296.32</v>
      </c>
      <c r="U966" s="15">
        <f>Table5[[#This Row],[Net Sales Revenue]]-Table5[[#This Row],[Cost of Sales]]</f>
        <v>25432.68</v>
      </c>
      <c r="V966" s="17">
        <f>Table5[[#This Row],[GrossProfit]]/Table5[[#This Row],[Net Sales Revenue]]</f>
        <v>0.30482758620689654</v>
      </c>
    </row>
    <row r="967" spans="1:22" ht="14.25" customHeight="1" x14ac:dyDescent="0.25">
      <c r="A967" s="1" t="s">
        <v>1054</v>
      </c>
      <c r="B967" s="1" t="s">
        <v>1034</v>
      </c>
      <c r="C967" s="1" t="s">
        <v>48</v>
      </c>
      <c r="D967" s="1" t="s">
        <v>13</v>
      </c>
      <c r="E967" s="1" t="s">
        <v>15</v>
      </c>
      <c r="F967" s="1">
        <v>1909</v>
      </c>
      <c r="G967" s="14">
        <v>28</v>
      </c>
      <c r="H967" s="1">
        <v>0.14000000000000001</v>
      </c>
      <c r="I967" s="14">
        <v>45968.72</v>
      </c>
      <c r="J967" s="14">
        <v>30925.8</v>
      </c>
      <c r="K967" s="15">
        <f>Table5[[#This Row],[Selling Price]]*Table5[[#This Row],[Units Sold]]</f>
        <v>53452</v>
      </c>
      <c r="L967" t="str">
        <f t="shared" si="15"/>
        <v>2024-10</v>
      </c>
      <c r="M967" t="str">
        <f>VLOOKUP(Table5[[#This Row],[Store ID]],Table4[[Store ID]:[Store Location]],2)</f>
        <v>London Stratford</v>
      </c>
      <c r="N967" t="str">
        <f>VLOOKUP(Table5[[#This Row],[Store ID]],Table4[[Store ID]:[Region]],3)</f>
        <v>South</v>
      </c>
      <c r="O967" t="str">
        <f>VLOOKUP(Table5[[#This Row],[Product ID]],'Product Master'!$A$2:$D$10,4)</f>
        <v>Supplier C</v>
      </c>
      <c r="P967" s="15">
        <f>Table5[[#This Row],[Total Revenue]]-Table5[[#This Row],[Net Sales Revenue]]</f>
        <v>7483.2799999999988</v>
      </c>
      <c r="Q967" s="15">
        <f>Table5[[#This Row],[Net Sales Revenue]]/Table5[[#This Row],[Units Sold]]</f>
        <v>24.080000000000002</v>
      </c>
      <c r="R967">
        <f>VLOOKUP(Table5[[#This Row],[Product ID]],'Product Master'!$A$1:$E$10,5,FALSE)</f>
        <v>15</v>
      </c>
      <c r="S967" s="15">
        <f>Table5[[#This Row],[standard product cost per unit]]*Table5[[#This Row],[Units Sold]]</f>
        <v>28635</v>
      </c>
      <c r="T967" s="15">
        <f>Table5[[#This Row],[Cost of Sales]]-Table5[[#This Row],[Standard cost]]</f>
        <v>2290.7999999999993</v>
      </c>
      <c r="U967" s="15">
        <f>Table5[[#This Row],[Net Sales Revenue]]-Table5[[#This Row],[Cost of Sales]]</f>
        <v>15042.920000000002</v>
      </c>
      <c r="V967" s="17">
        <f>Table5[[#This Row],[GrossProfit]]/Table5[[#This Row],[Net Sales Revenue]]</f>
        <v>0.32724252491694356</v>
      </c>
    </row>
    <row r="968" spans="1:22" ht="14.25" customHeight="1" x14ac:dyDescent="0.25">
      <c r="A968" s="1" t="s">
        <v>1055</v>
      </c>
      <c r="B968" s="1" t="s">
        <v>1034</v>
      </c>
      <c r="C968" s="1" t="s">
        <v>48</v>
      </c>
      <c r="D968" s="1" t="s">
        <v>17</v>
      </c>
      <c r="E968" s="1" t="s">
        <v>15</v>
      </c>
      <c r="F968" s="1">
        <v>1676</v>
      </c>
      <c r="G968" s="14">
        <v>35</v>
      </c>
      <c r="H968" s="1">
        <v>0.14000000000000001</v>
      </c>
      <c r="I968" s="14">
        <v>50447.6</v>
      </c>
      <c r="J968" s="14">
        <v>32581.439999999999</v>
      </c>
      <c r="K968" s="15">
        <f>Table5[[#This Row],[Selling Price]]*Table5[[#This Row],[Units Sold]]</f>
        <v>58660</v>
      </c>
      <c r="L968" t="str">
        <f t="shared" si="15"/>
        <v>2024-10</v>
      </c>
      <c r="M968" t="str">
        <f>VLOOKUP(Table5[[#This Row],[Store ID]],Table4[[Store ID]:[Store Location]],2)</f>
        <v>London Stratford</v>
      </c>
      <c r="N968" t="str">
        <f>VLOOKUP(Table5[[#This Row],[Store ID]],Table4[[Store ID]:[Region]],3)</f>
        <v>South</v>
      </c>
      <c r="O968" t="str">
        <f>VLOOKUP(Table5[[#This Row],[Product ID]],'Product Master'!$A$2:$D$10,4)</f>
        <v>Supplier C</v>
      </c>
      <c r="P968" s="15">
        <f>Table5[[#This Row],[Total Revenue]]-Table5[[#This Row],[Net Sales Revenue]]</f>
        <v>8212.4000000000015</v>
      </c>
      <c r="Q968" s="15">
        <f>Table5[[#This Row],[Net Sales Revenue]]/Table5[[#This Row],[Units Sold]]</f>
        <v>30.099999999999998</v>
      </c>
      <c r="R968">
        <f>VLOOKUP(Table5[[#This Row],[Product ID]],'Product Master'!$A$1:$E$10,5,FALSE)</f>
        <v>18</v>
      </c>
      <c r="S968" s="15">
        <f>Table5[[#This Row],[standard product cost per unit]]*Table5[[#This Row],[Units Sold]]</f>
        <v>30168</v>
      </c>
      <c r="T968" s="15">
        <f>Table5[[#This Row],[Cost of Sales]]-Table5[[#This Row],[Standard cost]]</f>
        <v>2413.4399999999987</v>
      </c>
      <c r="U968" s="15">
        <f>Table5[[#This Row],[Net Sales Revenue]]-Table5[[#This Row],[Cost of Sales]]</f>
        <v>17866.16</v>
      </c>
      <c r="V968" s="17">
        <f>Table5[[#This Row],[GrossProfit]]/Table5[[#This Row],[Net Sales Revenue]]</f>
        <v>0.35415282392026581</v>
      </c>
    </row>
    <row r="969" spans="1:22" ht="14.25" customHeight="1" x14ac:dyDescent="0.25">
      <c r="A969" s="1" t="s">
        <v>1056</v>
      </c>
      <c r="B969" s="1" t="s">
        <v>1034</v>
      </c>
      <c r="C969" s="1" t="s">
        <v>48</v>
      </c>
      <c r="D969" s="1" t="s">
        <v>19</v>
      </c>
      <c r="E969" s="1" t="s">
        <v>21</v>
      </c>
      <c r="F969" s="1">
        <v>2987</v>
      </c>
      <c r="G969" s="14">
        <v>18</v>
      </c>
      <c r="H969" s="1">
        <v>0.17</v>
      </c>
      <c r="I969" s="14">
        <v>44625.78</v>
      </c>
      <c r="J969" s="14">
        <v>29033.64</v>
      </c>
      <c r="K969" s="15">
        <f>Table5[[#This Row],[Selling Price]]*Table5[[#This Row],[Units Sold]]</f>
        <v>53766</v>
      </c>
      <c r="L969" t="str">
        <f t="shared" si="15"/>
        <v>2024-10</v>
      </c>
      <c r="M969" t="str">
        <f>VLOOKUP(Table5[[#This Row],[Store ID]],Table4[[Store ID]:[Store Location]],2)</f>
        <v>London Stratford</v>
      </c>
      <c r="N969" t="str">
        <f>VLOOKUP(Table5[[#This Row],[Store ID]],Table4[[Store ID]:[Region]],3)</f>
        <v>South</v>
      </c>
      <c r="O969" t="str">
        <f>VLOOKUP(Table5[[#This Row],[Product ID]],'Product Master'!$A$2:$D$10,4)</f>
        <v>Supplier D</v>
      </c>
      <c r="P969" s="15">
        <f>Table5[[#This Row],[Total Revenue]]-Table5[[#This Row],[Net Sales Revenue]]</f>
        <v>9140.2200000000012</v>
      </c>
      <c r="Q969" s="15">
        <f>Table5[[#This Row],[Net Sales Revenue]]/Table5[[#This Row],[Units Sold]]</f>
        <v>14.94</v>
      </c>
      <c r="R969">
        <f>VLOOKUP(Table5[[#This Row],[Product ID]],'Product Master'!$A$1:$E$10,5,FALSE)</f>
        <v>9</v>
      </c>
      <c r="S969" s="15">
        <f>Table5[[#This Row],[standard product cost per unit]]*Table5[[#This Row],[Units Sold]]</f>
        <v>26883</v>
      </c>
      <c r="T969" s="15">
        <f>Table5[[#This Row],[Cost of Sales]]-Table5[[#This Row],[Standard cost]]</f>
        <v>2150.6399999999994</v>
      </c>
      <c r="U969" s="15">
        <f>Table5[[#This Row],[Net Sales Revenue]]-Table5[[#This Row],[Cost of Sales]]</f>
        <v>15592.14</v>
      </c>
      <c r="V969" s="17">
        <f>Table5[[#This Row],[GrossProfit]]/Table5[[#This Row],[Net Sales Revenue]]</f>
        <v>0.3493975903614458</v>
      </c>
    </row>
    <row r="970" spans="1:22" ht="14.25" customHeight="1" x14ac:dyDescent="0.25">
      <c r="A970" s="1" t="s">
        <v>1057</v>
      </c>
      <c r="B970" s="1" t="s">
        <v>1034</v>
      </c>
      <c r="C970" s="1" t="s">
        <v>48</v>
      </c>
      <c r="D970" s="1" t="s">
        <v>23</v>
      </c>
      <c r="E970" s="1" t="s">
        <v>21</v>
      </c>
      <c r="F970" s="1">
        <v>1548</v>
      </c>
      <c r="G970" s="14">
        <v>30</v>
      </c>
      <c r="H970" s="1">
        <v>0.13</v>
      </c>
      <c r="I970" s="14">
        <v>40402.800000000003</v>
      </c>
      <c r="J970" s="14">
        <v>23405.759999999998</v>
      </c>
      <c r="K970" s="15">
        <f>Table5[[#This Row],[Selling Price]]*Table5[[#This Row],[Units Sold]]</f>
        <v>46440</v>
      </c>
      <c r="L970" t="str">
        <f t="shared" si="15"/>
        <v>2024-10</v>
      </c>
      <c r="M970" t="str">
        <f>VLOOKUP(Table5[[#This Row],[Store ID]],Table4[[Store ID]:[Store Location]],2)</f>
        <v>London Stratford</v>
      </c>
      <c r="N970" t="str">
        <f>VLOOKUP(Table5[[#This Row],[Store ID]],Table4[[Store ID]:[Region]],3)</f>
        <v>South</v>
      </c>
      <c r="O970" t="str">
        <f>VLOOKUP(Table5[[#This Row],[Product ID]],'Product Master'!$A$2:$D$10,4)</f>
        <v>Supplier D</v>
      </c>
      <c r="P970" s="15">
        <f>Table5[[#This Row],[Total Revenue]]-Table5[[#This Row],[Net Sales Revenue]]</f>
        <v>6037.1999999999971</v>
      </c>
      <c r="Q970" s="15">
        <f>Table5[[#This Row],[Net Sales Revenue]]/Table5[[#This Row],[Units Sold]]</f>
        <v>26.1</v>
      </c>
      <c r="R970">
        <f>VLOOKUP(Table5[[#This Row],[Product ID]],'Product Master'!$A$1:$E$10,5,FALSE)</f>
        <v>14</v>
      </c>
      <c r="S970" s="15">
        <f>Table5[[#This Row],[standard product cost per unit]]*Table5[[#This Row],[Units Sold]]</f>
        <v>21672</v>
      </c>
      <c r="T970" s="15">
        <f>Table5[[#This Row],[Cost of Sales]]-Table5[[#This Row],[Standard cost]]</f>
        <v>1733.7599999999984</v>
      </c>
      <c r="U970" s="15">
        <f>Table5[[#This Row],[Net Sales Revenue]]-Table5[[#This Row],[Cost of Sales]]</f>
        <v>16997.040000000005</v>
      </c>
      <c r="V970" s="17">
        <f>Table5[[#This Row],[GrossProfit]]/Table5[[#This Row],[Net Sales Revenue]]</f>
        <v>0.42068965517241386</v>
      </c>
    </row>
    <row r="971" spans="1:22" ht="14.25" customHeight="1" x14ac:dyDescent="0.25">
      <c r="A971" s="1" t="s">
        <v>1058</v>
      </c>
      <c r="B971" s="1" t="s">
        <v>1034</v>
      </c>
      <c r="C971" s="1" t="s">
        <v>48</v>
      </c>
      <c r="D971" s="1" t="s">
        <v>25</v>
      </c>
      <c r="E971" s="1" t="s">
        <v>27</v>
      </c>
      <c r="F971" s="1">
        <v>2138</v>
      </c>
      <c r="G971" s="14">
        <v>40</v>
      </c>
      <c r="H971" s="1">
        <v>0.13</v>
      </c>
      <c r="I971" s="14">
        <v>74402.399999999994</v>
      </c>
      <c r="J971" s="14">
        <v>46180.800000000003</v>
      </c>
      <c r="K971" s="15">
        <f>Table5[[#This Row],[Selling Price]]*Table5[[#This Row],[Units Sold]]</f>
        <v>85520</v>
      </c>
      <c r="L971" t="str">
        <f t="shared" si="15"/>
        <v>2024-10</v>
      </c>
      <c r="M971" t="str">
        <f>VLOOKUP(Table5[[#This Row],[Store ID]],Table4[[Store ID]:[Store Location]],2)</f>
        <v>London Stratford</v>
      </c>
      <c r="N971" t="str">
        <f>VLOOKUP(Table5[[#This Row],[Store ID]],Table4[[Store ID]:[Region]],3)</f>
        <v>South</v>
      </c>
      <c r="O971" t="str">
        <f>VLOOKUP(Table5[[#This Row],[Product ID]],'Product Master'!$A$2:$D$10,4)</f>
        <v>Supplier E</v>
      </c>
      <c r="P971" s="15">
        <f>Table5[[#This Row],[Total Revenue]]-Table5[[#This Row],[Net Sales Revenue]]</f>
        <v>11117.600000000006</v>
      </c>
      <c r="Q971" s="15">
        <f>Table5[[#This Row],[Net Sales Revenue]]/Table5[[#This Row],[Units Sold]]</f>
        <v>34.799999999999997</v>
      </c>
      <c r="R971">
        <f>VLOOKUP(Table5[[#This Row],[Product ID]],'Product Master'!$A$1:$E$10,5,FALSE)</f>
        <v>20</v>
      </c>
      <c r="S971" s="15">
        <f>Table5[[#This Row],[standard product cost per unit]]*Table5[[#This Row],[Units Sold]]</f>
        <v>42760</v>
      </c>
      <c r="T971" s="15">
        <f>Table5[[#This Row],[Cost of Sales]]-Table5[[#This Row],[Standard cost]]</f>
        <v>3420.8000000000029</v>
      </c>
      <c r="U971" s="15">
        <f>Table5[[#This Row],[Net Sales Revenue]]-Table5[[#This Row],[Cost of Sales]]</f>
        <v>28221.599999999991</v>
      </c>
      <c r="V971" s="17">
        <f>Table5[[#This Row],[GrossProfit]]/Table5[[#This Row],[Net Sales Revenue]]</f>
        <v>0.37931034482758613</v>
      </c>
    </row>
    <row r="972" spans="1:22" ht="14.25" customHeight="1" x14ac:dyDescent="0.25">
      <c r="A972" s="1" t="s">
        <v>1059</v>
      </c>
      <c r="B972" s="1" t="s">
        <v>1034</v>
      </c>
      <c r="C972" s="1" t="s">
        <v>48</v>
      </c>
      <c r="D972" s="1" t="s">
        <v>29</v>
      </c>
      <c r="E972" s="1" t="s">
        <v>31</v>
      </c>
      <c r="F972" s="1">
        <v>2983</v>
      </c>
      <c r="G972" s="14">
        <v>10</v>
      </c>
      <c r="H972" s="1">
        <v>0.15</v>
      </c>
      <c r="I972" s="14">
        <v>25355.5</v>
      </c>
      <c r="J972" s="14">
        <v>12886.56</v>
      </c>
      <c r="K972" s="15">
        <f>Table5[[#This Row],[Selling Price]]*Table5[[#This Row],[Units Sold]]</f>
        <v>29830</v>
      </c>
      <c r="L972" t="str">
        <f t="shared" si="15"/>
        <v>2024-10</v>
      </c>
      <c r="M972" t="str">
        <f>VLOOKUP(Table5[[#This Row],[Store ID]],Table4[[Store ID]:[Store Location]],2)</f>
        <v>London Stratford</v>
      </c>
      <c r="N972" t="str">
        <f>VLOOKUP(Table5[[#This Row],[Store ID]],Table4[[Store ID]:[Region]],3)</f>
        <v>South</v>
      </c>
      <c r="O972" t="str">
        <f>VLOOKUP(Table5[[#This Row],[Product ID]],'Product Master'!$A$2:$D$10,4)</f>
        <v>Supplier F</v>
      </c>
      <c r="P972" s="15">
        <f>Table5[[#This Row],[Total Revenue]]-Table5[[#This Row],[Net Sales Revenue]]</f>
        <v>4474.5</v>
      </c>
      <c r="Q972" s="15">
        <f>Table5[[#This Row],[Net Sales Revenue]]/Table5[[#This Row],[Units Sold]]</f>
        <v>8.5</v>
      </c>
      <c r="R972">
        <f>VLOOKUP(Table5[[#This Row],[Product ID]],'Product Master'!$A$1:$E$10,5,FALSE)</f>
        <v>4</v>
      </c>
      <c r="S972" s="15">
        <f>Table5[[#This Row],[standard product cost per unit]]*Table5[[#This Row],[Units Sold]]</f>
        <v>11932</v>
      </c>
      <c r="T972" s="15">
        <f>Table5[[#This Row],[Cost of Sales]]-Table5[[#This Row],[Standard cost]]</f>
        <v>954.55999999999949</v>
      </c>
      <c r="U972" s="15">
        <f>Table5[[#This Row],[Net Sales Revenue]]-Table5[[#This Row],[Cost of Sales]]</f>
        <v>12468.94</v>
      </c>
      <c r="V972" s="17">
        <f>Table5[[#This Row],[GrossProfit]]/Table5[[#This Row],[Net Sales Revenue]]</f>
        <v>0.49176470588235294</v>
      </c>
    </row>
    <row r="973" spans="1:22" ht="14.25" customHeight="1" x14ac:dyDescent="0.25">
      <c r="A973" s="1" t="s">
        <v>1060</v>
      </c>
      <c r="B973" s="1" t="s">
        <v>1034</v>
      </c>
      <c r="C973" s="1" t="s">
        <v>48</v>
      </c>
      <c r="D973" s="1" t="s">
        <v>33</v>
      </c>
      <c r="E973" s="1" t="s">
        <v>31</v>
      </c>
      <c r="F973" s="1">
        <v>2939</v>
      </c>
      <c r="G973" s="14">
        <v>22</v>
      </c>
      <c r="H973" s="1">
        <v>0.16</v>
      </c>
      <c r="I973" s="14">
        <v>54312.72</v>
      </c>
      <c r="J973" s="14">
        <v>31741.200000000001</v>
      </c>
      <c r="K973" s="15">
        <f>Table5[[#This Row],[Selling Price]]*Table5[[#This Row],[Units Sold]]</f>
        <v>64658</v>
      </c>
      <c r="L973" t="str">
        <f t="shared" si="15"/>
        <v>2024-10</v>
      </c>
      <c r="M973" t="str">
        <f>VLOOKUP(Table5[[#This Row],[Store ID]],Table4[[Store ID]:[Store Location]],2)</f>
        <v>London Stratford</v>
      </c>
      <c r="N973" t="str">
        <f>VLOOKUP(Table5[[#This Row],[Store ID]],Table4[[Store ID]:[Region]],3)</f>
        <v>South</v>
      </c>
      <c r="O973" t="str">
        <f>VLOOKUP(Table5[[#This Row],[Product ID]],'Product Master'!$A$2:$D$10,4)</f>
        <v>Supplier F</v>
      </c>
      <c r="P973" s="15">
        <f>Table5[[#This Row],[Total Revenue]]-Table5[[#This Row],[Net Sales Revenue]]</f>
        <v>10345.279999999999</v>
      </c>
      <c r="Q973" s="15">
        <f>Table5[[#This Row],[Net Sales Revenue]]/Table5[[#This Row],[Units Sold]]</f>
        <v>18.48</v>
      </c>
      <c r="R973">
        <f>VLOOKUP(Table5[[#This Row],[Product ID]],'Product Master'!$A$1:$E$10,5,FALSE)</f>
        <v>10</v>
      </c>
      <c r="S973" s="15">
        <f>Table5[[#This Row],[standard product cost per unit]]*Table5[[#This Row],[Units Sold]]</f>
        <v>29390</v>
      </c>
      <c r="T973" s="15">
        <f>Table5[[#This Row],[Cost of Sales]]-Table5[[#This Row],[Standard cost]]</f>
        <v>2351.2000000000007</v>
      </c>
      <c r="U973" s="15">
        <f>Table5[[#This Row],[Net Sales Revenue]]-Table5[[#This Row],[Cost of Sales]]</f>
        <v>22571.52</v>
      </c>
      <c r="V973" s="17">
        <f>Table5[[#This Row],[GrossProfit]]/Table5[[#This Row],[Net Sales Revenue]]</f>
        <v>0.41558441558441556</v>
      </c>
    </row>
    <row r="974" spans="1:22" ht="14.25" customHeight="1" x14ac:dyDescent="0.25">
      <c r="A974" s="1" t="s">
        <v>1061</v>
      </c>
      <c r="B974" s="1" t="s">
        <v>1034</v>
      </c>
      <c r="C974" s="1" t="s">
        <v>52</v>
      </c>
      <c r="D974" s="1" t="s">
        <v>6</v>
      </c>
      <c r="E974" s="1" t="s">
        <v>8</v>
      </c>
      <c r="F974" s="1">
        <v>2670</v>
      </c>
      <c r="G974" s="14">
        <v>24</v>
      </c>
      <c r="H974" s="1">
        <v>0.15</v>
      </c>
      <c r="I974" s="14">
        <v>54468</v>
      </c>
      <c r="J974" s="14">
        <v>34603.199999999997</v>
      </c>
      <c r="K974" s="15">
        <f>Table5[[#This Row],[Selling Price]]*Table5[[#This Row],[Units Sold]]</f>
        <v>64080</v>
      </c>
      <c r="L974" t="str">
        <f t="shared" si="15"/>
        <v>2024-10</v>
      </c>
      <c r="M974" t="str">
        <f>VLOOKUP(Table5[[#This Row],[Store ID]],Table4[[Store ID]:[Store Location]],2)</f>
        <v>Glasgow</v>
      </c>
      <c r="N974" t="str">
        <f>VLOOKUP(Table5[[#This Row],[Store ID]],Table4[[Store ID]:[Region]],3)</f>
        <v>Scotland</v>
      </c>
      <c r="O974" t="str">
        <f>VLOOKUP(Table5[[#This Row],[Product ID]],'Product Master'!$A$2:$D$10,4)</f>
        <v>Supplier A</v>
      </c>
      <c r="P974" s="15">
        <f>Table5[[#This Row],[Total Revenue]]-Table5[[#This Row],[Net Sales Revenue]]</f>
        <v>9612</v>
      </c>
      <c r="Q974" s="15">
        <f>Table5[[#This Row],[Net Sales Revenue]]/Table5[[#This Row],[Units Sold]]</f>
        <v>20.399999999999999</v>
      </c>
      <c r="R974">
        <f>VLOOKUP(Table5[[#This Row],[Product ID]],'Product Master'!$A$1:$E$10,5,FALSE)</f>
        <v>12</v>
      </c>
      <c r="S974" s="15">
        <f>Table5[[#This Row],[standard product cost per unit]]*Table5[[#This Row],[Units Sold]]</f>
        <v>32040</v>
      </c>
      <c r="T974" s="15">
        <f>Table5[[#This Row],[Cost of Sales]]-Table5[[#This Row],[Standard cost]]</f>
        <v>2563.1999999999971</v>
      </c>
      <c r="U974" s="15">
        <f>Table5[[#This Row],[Net Sales Revenue]]-Table5[[#This Row],[Cost of Sales]]</f>
        <v>19864.800000000003</v>
      </c>
      <c r="V974" s="17">
        <f>Table5[[#This Row],[GrossProfit]]/Table5[[#This Row],[Net Sales Revenue]]</f>
        <v>0.36470588235294121</v>
      </c>
    </row>
    <row r="975" spans="1:22" ht="14.25" customHeight="1" x14ac:dyDescent="0.25">
      <c r="A975" s="1" t="s">
        <v>1062</v>
      </c>
      <c r="B975" s="1" t="s">
        <v>1034</v>
      </c>
      <c r="C975" s="1" t="s">
        <v>52</v>
      </c>
      <c r="D975" s="1" t="s">
        <v>10</v>
      </c>
      <c r="E975" s="1" t="s">
        <v>8</v>
      </c>
      <c r="F975" s="1">
        <v>2464</v>
      </c>
      <c r="G975" s="14">
        <v>50</v>
      </c>
      <c r="H975" s="1">
        <v>0.13</v>
      </c>
      <c r="I975" s="14">
        <v>107184</v>
      </c>
      <c r="J975" s="14">
        <v>74511.360000000001</v>
      </c>
      <c r="K975" s="15">
        <f>Table5[[#This Row],[Selling Price]]*Table5[[#This Row],[Units Sold]]</f>
        <v>123200</v>
      </c>
      <c r="L975" t="str">
        <f t="shared" si="15"/>
        <v>2024-10</v>
      </c>
      <c r="M975" t="str">
        <f>VLOOKUP(Table5[[#This Row],[Store ID]],Table4[[Store ID]:[Store Location]],2)</f>
        <v>Glasgow</v>
      </c>
      <c r="N975" t="str">
        <f>VLOOKUP(Table5[[#This Row],[Store ID]],Table4[[Store ID]:[Region]],3)</f>
        <v>Scotland</v>
      </c>
      <c r="O975" t="str">
        <f>VLOOKUP(Table5[[#This Row],[Product ID]],'Product Master'!$A$2:$D$10,4)</f>
        <v>Supplier B</v>
      </c>
      <c r="P975" s="15">
        <f>Table5[[#This Row],[Total Revenue]]-Table5[[#This Row],[Net Sales Revenue]]</f>
        <v>16016</v>
      </c>
      <c r="Q975" s="15">
        <f>Table5[[#This Row],[Net Sales Revenue]]/Table5[[#This Row],[Units Sold]]</f>
        <v>43.5</v>
      </c>
      <c r="R975">
        <f>VLOOKUP(Table5[[#This Row],[Product ID]],'Product Master'!$A$1:$E$10,5,FALSE)</f>
        <v>28</v>
      </c>
      <c r="S975" s="15">
        <f>Table5[[#This Row],[standard product cost per unit]]*Table5[[#This Row],[Units Sold]]</f>
        <v>68992</v>
      </c>
      <c r="T975" s="15">
        <f>Table5[[#This Row],[Cost of Sales]]-Table5[[#This Row],[Standard cost]]</f>
        <v>5519.3600000000006</v>
      </c>
      <c r="U975" s="15">
        <f>Table5[[#This Row],[Net Sales Revenue]]-Table5[[#This Row],[Cost of Sales]]</f>
        <v>32672.639999999999</v>
      </c>
      <c r="V975" s="17">
        <f>Table5[[#This Row],[GrossProfit]]/Table5[[#This Row],[Net Sales Revenue]]</f>
        <v>0.30482758620689654</v>
      </c>
    </row>
    <row r="976" spans="1:22" ht="14.25" customHeight="1" x14ac:dyDescent="0.25">
      <c r="A976" s="1" t="s">
        <v>1063</v>
      </c>
      <c r="B976" s="1" t="s">
        <v>1034</v>
      </c>
      <c r="C976" s="1" t="s">
        <v>52</v>
      </c>
      <c r="D976" s="1" t="s">
        <v>13</v>
      </c>
      <c r="E976" s="1" t="s">
        <v>15</v>
      </c>
      <c r="F976" s="1">
        <v>2644</v>
      </c>
      <c r="G976" s="14">
        <v>28</v>
      </c>
      <c r="H976" s="1">
        <v>0.12</v>
      </c>
      <c r="I976" s="14">
        <v>65148.160000000003</v>
      </c>
      <c r="J976" s="14">
        <v>42832.800000000003</v>
      </c>
      <c r="K976" s="15">
        <f>Table5[[#This Row],[Selling Price]]*Table5[[#This Row],[Units Sold]]</f>
        <v>74032</v>
      </c>
      <c r="L976" t="str">
        <f t="shared" si="15"/>
        <v>2024-10</v>
      </c>
      <c r="M976" t="str">
        <f>VLOOKUP(Table5[[#This Row],[Store ID]],Table4[[Store ID]:[Store Location]],2)</f>
        <v>Glasgow</v>
      </c>
      <c r="N976" t="str">
        <f>VLOOKUP(Table5[[#This Row],[Store ID]],Table4[[Store ID]:[Region]],3)</f>
        <v>Scotland</v>
      </c>
      <c r="O976" t="str">
        <f>VLOOKUP(Table5[[#This Row],[Product ID]],'Product Master'!$A$2:$D$10,4)</f>
        <v>Supplier C</v>
      </c>
      <c r="P976" s="15">
        <f>Table5[[#This Row],[Total Revenue]]-Table5[[#This Row],[Net Sales Revenue]]</f>
        <v>8883.8399999999965</v>
      </c>
      <c r="Q976" s="15">
        <f>Table5[[#This Row],[Net Sales Revenue]]/Table5[[#This Row],[Units Sold]]</f>
        <v>24.64</v>
      </c>
      <c r="R976">
        <f>VLOOKUP(Table5[[#This Row],[Product ID]],'Product Master'!$A$1:$E$10,5,FALSE)</f>
        <v>15</v>
      </c>
      <c r="S976" s="15">
        <f>Table5[[#This Row],[standard product cost per unit]]*Table5[[#This Row],[Units Sold]]</f>
        <v>39660</v>
      </c>
      <c r="T976" s="15">
        <f>Table5[[#This Row],[Cost of Sales]]-Table5[[#This Row],[Standard cost]]</f>
        <v>3172.8000000000029</v>
      </c>
      <c r="U976" s="15">
        <f>Table5[[#This Row],[Net Sales Revenue]]-Table5[[#This Row],[Cost of Sales]]</f>
        <v>22315.360000000001</v>
      </c>
      <c r="V976" s="17">
        <f>Table5[[#This Row],[GrossProfit]]/Table5[[#This Row],[Net Sales Revenue]]</f>
        <v>0.34253246753246752</v>
      </c>
    </row>
    <row r="977" spans="1:22" ht="14.25" customHeight="1" x14ac:dyDescent="0.25">
      <c r="A977" s="1" t="s">
        <v>1064</v>
      </c>
      <c r="B977" s="1" t="s">
        <v>1034</v>
      </c>
      <c r="C977" s="1" t="s">
        <v>52</v>
      </c>
      <c r="D977" s="1" t="s">
        <v>17</v>
      </c>
      <c r="E977" s="1" t="s">
        <v>15</v>
      </c>
      <c r="F977" s="1">
        <v>1557</v>
      </c>
      <c r="G977" s="14">
        <v>35</v>
      </c>
      <c r="H977" s="1">
        <v>0.15</v>
      </c>
      <c r="I977" s="14">
        <v>46320.75</v>
      </c>
      <c r="J977" s="14">
        <v>30268.080000000002</v>
      </c>
      <c r="K977" s="15">
        <f>Table5[[#This Row],[Selling Price]]*Table5[[#This Row],[Units Sold]]</f>
        <v>54495</v>
      </c>
      <c r="L977" t="str">
        <f t="shared" si="15"/>
        <v>2024-10</v>
      </c>
      <c r="M977" t="str">
        <f>VLOOKUP(Table5[[#This Row],[Store ID]],Table4[[Store ID]:[Store Location]],2)</f>
        <v>Glasgow</v>
      </c>
      <c r="N977" t="str">
        <f>VLOOKUP(Table5[[#This Row],[Store ID]],Table4[[Store ID]:[Region]],3)</f>
        <v>Scotland</v>
      </c>
      <c r="O977" t="str">
        <f>VLOOKUP(Table5[[#This Row],[Product ID]],'Product Master'!$A$2:$D$10,4)</f>
        <v>Supplier C</v>
      </c>
      <c r="P977" s="15">
        <f>Table5[[#This Row],[Total Revenue]]-Table5[[#This Row],[Net Sales Revenue]]</f>
        <v>8174.25</v>
      </c>
      <c r="Q977" s="15">
        <f>Table5[[#This Row],[Net Sales Revenue]]/Table5[[#This Row],[Units Sold]]</f>
        <v>29.75</v>
      </c>
      <c r="R977">
        <f>VLOOKUP(Table5[[#This Row],[Product ID]],'Product Master'!$A$1:$E$10,5,FALSE)</f>
        <v>18</v>
      </c>
      <c r="S977" s="15">
        <f>Table5[[#This Row],[standard product cost per unit]]*Table5[[#This Row],[Units Sold]]</f>
        <v>28026</v>
      </c>
      <c r="T977" s="15">
        <f>Table5[[#This Row],[Cost of Sales]]-Table5[[#This Row],[Standard cost]]</f>
        <v>2242.0800000000017</v>
      </c>
      <c r="U977" s="15">
        <f>Table5[[#This Row],[Net Sales Revenue]]-Table5[[#This Row],[Cost of Sales]]</f>
        <v>16052.669999999998</v>
      </c>
      <c r="V977" s="17">
        <f>Table5[[#This Row],[GrossProfit]]/Table5[[#This Row],[Net Sales Revenue]]</f>
        <v>0.34655462184873947</v>
      </c>
    </row>
    <row r="978" spans="1:22" ht="14.25" customHeight="1" x14ac:dyDescent="0.25">
      <c r="A978" s="1" t="s">
        <v>1065</v>
      </c>
      <c r="B978" s="1" t="s">
        <v>1034</v>
      </c>
      <c r="C978" s="1" t="s">
        <v>52</v>
      </c>
      <c r="D978" s="1" t="s">
        <v>19</v>
      </c>
      <c r="E978" s="1" t="s">
        <v>21</v>
      </c>
      <c r="F978" s="1">
        <v>2794</v>
      </c>
      <c r="G978" s="14">
        <v>18</v>
      </c>
      <c r="H978" s="1">
        <v>0.14000000000000001</v>
      </c>
      <c r="I978" s="14">
        <v>43251.12</v>
      </c>
      <c r="J978" s="14">
        <v>27157.68</v>
      </c>
      <c r="K978" s="15">
        <f>Table5[[#This Row],[Selling Price]]*Table5[[#This Row],[Units Sold]]</f>
        <v>50292</v>
      </c>
      <c r="L978" t="str">
        <f t="shared" si="15"/>
        <v>2024-10</v>
      </c>
      <c r="M978" t="str">
        <f>VLOOKUP(Table5[[#This Row],[Store ID]],Table4[[Store ID]:[Store Location]],2)</f>
        <v>Glasgow</v>
      </c>
      <c r="N978" t="str">
        <f>VLOOKUP(Table5[[#This Row],[Store ID]],Table4[[Store ID]:[Region]],3)</f>
        <v>Scotland</v>
      </c>
      <c r="O978" t="str">
        <f>VLOOKUP(Table5[[#This Row],[Product ID]],'Product Master'!$A$2:$D$10,4)</f>
        <v>Supplier D</v>
      </c>
      <c r="P978" s="15">
        <f>Table5[[#This Row],[Total Revenue]]-Table5[[#This Row],[Net Sales Revenue]]</f>
        <v>7040.8799999999974</v>
      </c>
      <c r="Q978" s="15">
        <f>Table5[[#This Row],[Net Sales Revenue]]/Table5[[#This Row],[Units Sold]]</f>
        <v>15.48</v>
      </c>
      <c r="R978">
        <f>VLOOKUP(Table5[[#This Row],[Product ID]],'Product Master'!$A$1:$E$10,5,FALSE)</f>
        <v>9</v>
      </c>
      <c r="S978" s="15">
        <f>Table5[[#This Row],[standard product cost per unit]]*Table5[[#This Row],[Units Sold]]</f>
        <v>25146</v>
      </c>
      <c r="T978" s="15">
        <f>Table5[[#This Row],[Cost of Sales]]-Table5[[#This Row],[Standard cost]]</f>
        <v>2011.6800000000003</v>
      </c>
      <c r="U978" s="15">
        <f>Table5[[#This Row],[Net Sales Revenue]]-Table5[[#This Row],[Cost of Sales]]</f>
        <v>16093.440000000002</v>
      </c>
      <c r="V978" s="17">
        <f>Table5[[#This Row],[GrossProfit]]/Table5[[#This Row],[Net Sales Revenue]]</f>
        <v>0.372093023255814</v>
      </c>
    </row>
    <row r="979" spans="1:22" ht="14.25" customHeight="1" x14ac:dyDescent="0.25">
      <c r="A979" s="1" t="s">
        <v>1066</v>
      </c>
      <c r="B979" s="1" t="s">
        <v>1034</v>
      </c>
      <c r="C979" s="1" t="s">
        <v>52</v>
      </c>
      <c r="D979" s="1" t="s">
        <v>23</v>
      </c>
      <c r="E979" s="1" t="s">
        <v>21</v>
      </c>
      <c r="F979" s="1">
        <v>2851</v>
      </c>
      <c r="G979" s="14">
        <v>30</v>
      </c>
      <c r="H979" s="1">
        <v>0.16</v>
      </c>
      <c r="I979" s="14">
        <v>71845.2</v>
      </c>
      <c r="J979" s="14">
        <v>43107.12</v>
      </c>
      <c r="K979" s="15">
        <f>Table5[[#This Row],[Selling Price]]*Table5[[#This Row],[Units Sold]]</f>
        <v>85530</v>
      </c>
      <c r="L979" t="str">
        <f t="shared" si="15"/>
        <v>2024-10</v>
      </c>
      <c r="M979" t="str">
        <f>VLOOKUP(Table5[[#This Row],[Store ID]],Table4[[Store ID]:[Store Location]],2)</f>
        <v>Glasgow</v>
      </c>
      <c r="N979" t="str">
        <f>VLOOKUP(Table5[[#This Row],[Store ID]],Table4[[Store ID]:[Region]],3)</f>
        <v>Scotland</v>
      </c>
      <c r="O979" t="str">
        <f>VLOOKUP(Table5[[#This Row],[Product ID]],'Product Master'!$A$2:$D$10,4)</f>
        <v>Supplier D</v>
      </c>
      <c r="P979" s="15">
        <f>Table5[[#This Row],[Total Revenue]]-Table5[[#This Row],[Net Sales Revenue]]</f>
        <v>13684.800000000003</v>
      </c>
      <c r="Q979" s="15">
        <f>Table5[[#This Row],[Net Sales Revenue]]/Table5[[#This Row],[Units Sold]]</f>
        <v>25.2</v>
      </c>
      <c r="R979">
        <f>VLOOKUP(Table5[[#This Row],[Product ID]],'Product Master'!$A$1:$E$10,5,FALSE)</f>
        <v>14</v>
      </c>
      <c r="S979" s="15">
        <f>Table5[[#This Row],[standard product cost per unit]]*Table5[[#This Row],[Units Sold]]</f>
        <v>39914</v>
      </c>
      <c r="T979" s="15">
        <f>Table5[[#This Row],[Cost of Sales]]-Table5[[#This Row],[Standard cost]]</f>
        <v>3193.1200000000026</v>
      </c>
      <c r="U979" s="15">
        <f>Table5[[#This Row],[Net Sales Revenue]]-Table5[[#This Row],[Cost of Sales]]</f>
        <v>28738.079999999994</v>
      </c>
      <c r="V979" s="17">
        <f>Table5[[#This Row],[GrossProfit]]/Table5[[#This Row],[Net Sales Revenue]]</f>
        <v>0.39999999999999997</v>
      </c>
    </row>
    <row r="980" spans="1:22" ht="14.25" customHeight="1" x14ac:dyDescent="0.25">
      <c r="A980" s="1" t="s">
        <v>1067</v>
      </c>
      <c r="B980" s="1" t="s">
        <v>1034</v>
      </c>
      <c r="C980" s="1" t="s">
        <v>52</v>
      </c>
      <c r="D980" s="1" t="s">
        <v>25</v>
      </c>
      <c r="E980" s="1" t="s">
        <v>27</v>
      </c>
      <c r="F980" s="1">
        <v>2301</v>
      </c>
      <c r="G980" s="14">
        <v>40</v>
      </c>
      <c r="H980" s="1">
        <v>0.16</v>
      </c>
      <c r="I980" s="14">
        <v>77313.600000000006</v>
      </c>
      <c r="J980" s="14">
        <v>49701.599999999999</v>
      </c>
      <c r="K980" s="15">
        <f>Table5[[#This Row],[Selling Price]]*Table5[[#This Row],[Units Sold]]</f>
        <v>92040</v>
      </c>
      <c r="L980" t="str">
        <f t="shared" si="15"/>
        <v>2024-10</v>
      </c>
      <c r="M980" t="str">
        <f>VLOOKUP(Table5[[#This Row],[Store ID]],Table4[[Store ID]:[Store Location]],2)</f>
        <v>Glasgow</v>
      </c>
      <c r="N980" t="str">
        <f>VLOOKUP(Table5[[#This Row],[Store ID]],Table4[[Store ID]:[Region]],3)</f>
        <v>Scotland</v>
      </c>
      <c r="O980" t="str">
        <f>VLOOKUP(Table5[[#This Row],[Product ID]],'Product Master'!$A$2:$D$10,4)</f>
        <v>Supplier E</v>
      </c>
      <c r="P980" s="15">
        <f>Table5[[#This Row],[Total Revenue]]-Table5[[#This Row],[Net Sales Revenue]]</f>
        <v>14726.399999999994</v>
      </c>
      <c r="Q980" s="15">
        <f>Table5[[#This Row],[Net Sales Revenue]]/Table5[[#This Row],[Units Sold]]</f>
        <v>33.6</v>
      </c>
      <c r="R980">
        <f>VLOOKUP(Table5[[#This Row],[Product ID]],'Product Master'!$A$1:$E$10,5,FALSE)</f>
        <v>20</v>
      </c>
      <c r="S980" s="15">
        <f>Table5[[#This Row],[standard product cost per unit]]*Table5[[#This Row],[Units Sold]]</f>
        <v>46020</v>
      </c>
      <c r="T980" s="15">
        <f>Table5[[#This Row],[Cost of Sales]]-Table5[[#This Row],[Standard cost]]</f>
        <v>3681.5999999999985</v>
      </c>
      <c r="U980" s="15">
        <f>Table5[[#This Row],[Net Sales Revenue]]-Table5[[#This Row],[Cost of Sales]]</f>
        <v>27612.000000000007</v>
      </c>
      <c r="V980" s="17">
        <f>Table5[[#This Row],[GrossProfit]]/Table5[[#This Row],[Net Sales Revenue]]</f>
        <v>0.35714285714285721</v>
      </c>
    </row>
    <row r="981" spans="1:22" ht="14.25" customHeight="1" x14ac:dyDescent="0.25">
      <c r="A981" s="1" t="s">
        <v>1068</v>
      </c>
      <c r="B981" s="1" t="s">
        <v>1034</v>
      </c>
      <c r="C981" s="1" t="s">
        <v>52</v>
      </c>
      <c r="D981" s="1" t="s">
        <v>29</v>
      </c>
      <c r="E981" s="1" t="s">
        <v>31</v>
      </c>
      <c r="F981" s="1">
        <v>1364</v>
      </c>
      <c r="G981" s="14">
        <v>10</v>
      </c>
      <c r="H981" s="1">
        <v>0.14000000000000001</v>
      </c>
      <c r="I981" s="14">
        <v>11730.4</v>
      </c>
      <c r="J981" s="14">
        <v>5892.48</v>
      </c>
      <c r="K981" s="15">
        <f>Table5[[#This Row],[Selling Price]]*Table5[[#This Row],[Units Sold]]</f>
        <v>13640</v>
      </c>
      <c r="L981" t="str">
        <f t="shared" si="15"/>
        <v>2024-10</v>
      </c>
      <c r="M981" t="str">
        <f>VLOOKUP(Table5[[#This Row],[Store ID]],Table4[[Store ID]:[Store Location]],2)</f>
        <v>Glasgow</v>
      </c>
      <c r="N981" t="str">
        <f>VLOOKUP(Table5[[#This Row],[Store ID]],Table4[[Store ID]:[Region]],3)</f>
        <v>Scotland</v>
      </c>
      <c r="O981" t="str">
        <f>VLOOKUP(Table5[[#This Row],[Product ID]],'Product Master'!$A$2:$D$10,4)</f>
        <v>Supplier F</v>
      </c>
      <c r="P981" s="15">
        <f>Table5[[#This Row],[Total Revenue]]-Table5[[#This Row],[Net Sales Revenue]]</f>
        <v>1909.6000000000004</v>
      </c>
      <c r="Q981" s="15">
        <f>Table5[[#This Row],[Net Sales Revenue]]/Table5[[#This Row],[Units Sold]]</f>
        <v>8.6</v>
      </c>
      <c r="R981">
        <f>VLOOKUP(Table5[[#This Row],[Product ID]],'Product Master'!$A$1:$E$10,5,FALSE)</f>
        <v>4</v>
      </c>
      <c r="S981" s="15">
        <f>Table5[[#This Row],[standard product cost per unit]]*Table5[[#This Row],[Units Sold]]</f>
        <v>5456</v>
      </c>
      <c r="T981" s="15">
        <f>Table5[[#This Row],[Cost of Sales]]-Table5[[#This Row],[Standard cost]]</f>
        <v>436.47999999999956</v>
      </c>
      <c r="U981" s="15">
        <f>Table5[[#This Row],[Net Sales Revenue]]-Table5[[#This Row],[Cost of Sales]]</f>
        <v>5837.92</v>
      </c>
      <c r="V981" s="17">
        <f>Table5[[#This Row],[GrossProfit]]/Table5[[#This Row],[Net Sales Revenue]]</f>
        <v>0.49767441860465117</v>
      </c>
    </row>
    <row r="982" spans="1:22" ht="14.25" customHeight="1" x14ac:dyDescent="0.25">
      <c r="A982" s="1" t="s">
        <v>1069</v>
      </c>
      <c r="B982" s="1" t="s">
        <v>1034</v>
      </c>
      <c r="C982" s="1" t="s">
        <v>52</v>
      </c>
      <c r="D982" s="1" t="s">
        <v>33</v>
      </c>
      <c r="E982" s="1" t="s">
        <v>31</v>
      </c>
      <c r="F982" s="1">
        <v>1865</v>
      </c>
      <c r="G982" s="14">
        <v>22</v>
      </c>
      <c r="H982" s="1">
        <v>0.15</v>
      </c>
      <c r="I982" s="14">
        <v>34875.5</v>
      </c>
      <c r="J982" s="14">
        <v>20142</v>
      </c>
      <c r="K982" s="15">
        <f>Table5[[#This Row],[Selling Price]]*Table5[[#This Row],[Units Sold]]</f>
        <v>41030</v>
      </c>
      <c r="L982" t="str">
        <f t="shared" si="15"/>
        <v>2024-10</v>
      </c>
      <c r="M982" t="str">
        <f>VLOOKUP(Table5[[#This Row],[Store ID]],Table4[[Store ID]:[Store Location]],2)</f>
        <v>Glasgow</v>
      </c>
      <c r="N982" t="str">
        <f>VLOOKUP(Table5[[#This Row],[Store ID]],Table4[[Store ID]:[Region]],3)</f>
        <v>Scotland</v>
      </c>
      <c r="O982" t="str">
        <f>VLOOKUP(Table5[[#This Row],[Product ID]],'Product Master'!$A$2:$D$10,4)</f>
        <v>Supplier F</v>
      </c>
      <c r="P982" s="15">
        <f>Table5[[#This Row],[Total Revenue]]-Table5[[#This Row],[Net Sales Revenue]]</f>
        <v>6154.5</v>
      </c>
      <c r="Q982" s="15">
        <f>Table5[[#This Row],[Net Sales Revenue]]/Table5[[#This Row],[Units Sold]]</f>
        <v>18.7</v>
      </c>
      <c r="R982">
        <f>VLOOKUP(Table5[[#This Row],[Product ID]],'Product Master'!$A$1:$E$10,5,FALSE)</f>
        <v>10</v>
      </c>
      <c r="S982" s="15">
        <f>Table5[[#This Row],[standard product cost per unit]]*Table5[[#This Row],[Units Sold]]</f>
        <v>18650</v>
      </c>
      <c r="T982" s="15">
        <f>Table5[[#This Row],[Cost of Sales]]-Table5[[#This Row],[Standard cost]]</f>
        <v>1492</v>
      </c>
      <c r="U982" s="15">
        <f>Table5[[#This Row],[Net Sales Revenue]]-Table5[[#This Row],[Cost of Sales]]</f>
        <v>14733.5</v>
      </c>
      <c r="V982" s="17">
        <f>Table5[[#This Row],[GrossProfit]]/Table5[[#This Row],[Net Sales Revenue]]</f>
        <v>0.42245989304812837</v>
      </c>
    </row>
    <row r="983" spans="1:22" ht="14.25" customHeight="1" x14ac:dyDescent="0.25">
      <c r="A983" s="1" t="s">
        <v>1070</v>
      </c>
      <c r="B983" s="1" t="s">
        <v>1034</v>
      </c>
      <c r="C983" s="1" t="s">
        <v>56</v>
      </c>
      <c r="D983" s="1" t="s">
        <v>6</v>
      </c>
      <c r="E983" s="1" t="s">
        <v>8</v>
      </c>
      <c r="F983" s="1">
        <v>1658</v>
      </c>
      <c r="G983" s="14">
        <v>24</v>
      </c>
      <c r="H983" s="1">
        <v>0.16</v>
      </c>
      <c r="I983" s="14">
        <v>33425.279999999999</v>
      </c>
      <c r="J983" s="14">
        <v>21487.68</v>
      </c>
      <c r="K983" s="15">
        <f>Table5[[#This Row],[Selling Price]]*Table5[[#This Row],[Units Sold]]</f>
        <v>39792</v>
      </c>
      <c r="L983" t="str">
        <f t="shared" si="15"/>
        <v>2024-10</v>
      </c>
      <c r="M983" t="str">
        <f>VLOOKUP(Table5[[#This Row],[Store ID]],Table4[[Store ID]:[Store Location]],2)</f>
        <v>Leeds</v>
      </c>
      <c r="N983" t="str">
        <f>VLOOKUP(Table5[[#This Row],[Store ID]],Table4[[Store ID]:[Region]],3)</f>
        <v>North</v>
      </c>
      <c r="O983" t="str">
        <f>VLOOKUP(Table5[[#This Row],[Product ID]],'Product Master'!$A$2:$D$10,4)</f>
        <v>Supplier A</v>
      </c>
      <c r="P983" s="15">
        <f>Table5[[#This Row],[Total Revenue]]-Table5[[#This Row],[Net Sales Revenue]]</f>
        <v>6366.7200000000012</v>
      </c>
      <c r="Q983" s="15">
        <f>Table5[[#This Row],[Net Sales Revenue]]/Table5[[#This Row],[Units Sold]]</f>
        <v>20.16</v>
      </c>
      <c r="R983">
        <f>VLOOKUP(Table5[[#This Row],[Product ID]],'Product Master'!$A$1:$E$10,5,FALSE)</f>
        <v>12</v>
      </c>
      <c r="S983" s="15">
        <f>Table5[[#This Row],[standard product cost per unit]]*Table5[[#This Row],[Units Sold]]</f>
        <v>19896</v>
      </c>
      <c r="T983" s="15">
        <f>Table5[[#This Row],[Cost of Sales]]-Table5[[#This Row],[Standard cost]]</f>
        <v>1591.6800000000003</v>
      </c>
      <c r="U983" s="15">
        <f>Table5[[#This Row],[Net Sales Revenue]]-Table5[[#This Row],[Cost of Sales]]</f>
        <v>11937.599999999999</v>
      </c>
      <c r="V983" s="17">
        <f>Table5[[#This Row],[GrossProfit]]/Table5[[#This Row],[Net Sales Revenue]]</f>
        <v>0.3571428571428571</v>
      </c>
    </row>
    <row r="984" spans="1:22" ht="14.25" customHeight="1" x14ac:dyDescent="0.25">
      <c r="A984" s="1" t="s">
        <v>1071</v>
      </c>
      <c r="B984" s="1" t="s">
        <v>1034</v>
      </c>
      <c r="C984" s="1" t="s">
        <v>56</v>
      </c>
      <c r="D984" s="1" t="s">
        <v>10</v>
      </c>
      <c r="E984" s="1" t="s">
        <v>8</v>
      </c>
      <c r="F984" s="1">
        <v>1874</v>
      </c>
      <c r="G984" s="14">
        <v>50</v>
      </c>
      <c r="H984" s="1">
        <v>0.14000000000000001</v>
      </c>
      <c r="I984" s="14">
        <v>80582</v>
      </c>
      <c r="J984" s="14">
        <v>56669.760000000002</v>
      </c>
      <c r="K984" s="15">
        <f>Table5[[#This Row],[Selling Price]]*Table5[[#This Row],[Units Sold]]</f>
        <v>93700</v>
      </c>
      <c r="L984" t="str">
        <f t="shared" si="15"/>
        <v>2024-10</v>
      </c>
      <c r="M984" t="str">
        <f>VLOOKUP(Table5[[#This Row],[Store ID]],Table4[[Store ID]:[Store Location]],2)</f>
        <v>Leeds</v>
      </c>
      <c r="N984" t="str">
        <f>VLOOKUP(Table5[[#This Row],[Store ID]],Table4[[Store ID]:[Region]],3)</f>
        <v>North</v>
      </c>
      <c r="O984" t="str">
        <f>VLOOKUP(Table5[[#This Row],[Product ID]],'Product Master'!$A$2:$D$10,4)</f>
        <v>Supplier B</v>
      </c>
      <c r="P984" s="15">
        <f>Table5[[#This Row],[Total Revenue]]-Table5[[#This Row],[Net Sales Revenue]]</f>
        <v>13118</v>
      </c>
      <c r="Q984" s="15">
        <f>Table5[[#This Row],[Net Sales Revenue]]/Table5[[#This Row],[Units Sold]]</f>
        <v>43</v>
      </c>
      <c r="R984">
        <f>VLOOKUP(Table5[[#This Row],[Product ID]],'Product Master'!$A$1:$E$10,5,FALSE)</f>
        <v>28</v>
      </c>
      <c r="S984" s="15">
        <f>Table5[[#This Row],[standard product cost per unit]]*Table5[[#This Row],[Units Sold]]</f>
        <v>52472</v>
      </c>
      <c r="T984" s="15">
        <f>Table5[[#This Row],[Cost of Sales]]-Table5[[#This Row],[Standard cost]]</f>
        <v>4197.760000000002</v>
      </c>
      <c r="U984" s="15">
        <f>Table5[[#This Row],[Net Sales Revenue]]-Table5[[#This Row],[Cost of Sales]]</f>
        <v>23912.239999999998</v>
      </c>
      <c r="V984" s="17">
        <f>Table5[[#This Row],[GrossProfit]]/Table5[[#This Row],[Net Sales Revenue]]</f>
        <v>0.29674418604651159</v>
      </c>
    </row>
    <row r="985" spans="1:22" ht="14.25" customHeight="1" x14ac:dyDescent="0.25">
      <c r="A985" s="1" t="s">
        <v>1072</v>
      </c>
      <c r="B985" s="1" t="s">
        <v>1034</v>
      </c>
      <c r="C985" s="1" t="s">
        <v>56</v>
      </c>
      <c r="D985" s="1" t="s">
        <v>13</v>
      </c>
      <c r="E985" s="1" t="s">
        <v>15</v>
      </c>
      <c r="F985" s="1">
        <v>2433</v>
      </c>
      <c r="G985" s="14">
        <v>28</v>
      </c>
      <c r="H985" s="1">
        <v>0.17</v>
      </c>
      <c r="I985" s="14">
        <v>56542.92</v>
      </c>
      <c r="J985" s="14">
        <v>39414.6</v>
      </c>
      <c r="K985" s="15">
        <f>Table5[[#This Row],[Selling Price]]*Table5[[#This Row],[Units Sold]]</f>
        <v>68124</v>
      </c>
      <c r="L985" t="str">
        <f t="shared" si="15"/>
        <v>2024-10</v>
      </c>
      <c r="M985" t="str">
        <f>VLOOKUP(Table5[[#This Row],[Store ID]],Table4[[Store ID]:[Store Location]],2)</f>
        <v>Leeds</v>
      </c>
      <c r="N985" t="str">
        <f>VLOOKUP(Table5[[#This Row],[Store ID]],Table4[[Store ID]:[Region]],3)</f>
        <v>North</v>
      </c>
      <c r="O985" t="str">
        <f>VLOOKUP(Table5[[#This Row],[Product ID]],'Product Master'!$A$2:$D$10,4)</f>
        <v>Supplier C</v>
      </c>
      <c r="P985" s="15">
        <f>Table5[[#This Row],[Total Revenue]]-Table5[[#This Row],[Net Sales Revenue]]</f>
        <v>11581.080000000002</v>
      </c>
      <c r="Q985" s="15">
        <f>Table5[[#This Row],[Net Sales Revenue]]/Table5[[#This Row],[Units Sold]]</f>
        <v>23.24</v>
      </c>
      <c r="R985">
        <f>VLOOKUP(Table5[[#This Row],[Product ID]],'Product Master'!$A$1:$E$10,5,FALSE)</f>
        <v>15</v>
      </c>
      <c r="S985" s="15">
        <f>Table5[[#This Row],[standard product cost per unit]]*Table5[[#This Row],[Units Sold]]</f>
        <v>36495</v>
      </c>
      <c r="T985" s="15">
        <f>Table5[[#This Row],[Cost of Sales]]-Table5[[#This Row],[Standard cost]]</f>
        <v>2919.5999999999985</v>
      </c>
      <c r="U985" s="15">
        <f>Table5[[#This Row],[Net Sales Revenue]]-Table5[[#This Row],[Cost of Sales]]</f>
        <v>17128.32</v>
      </c>
      <c r="V985" s="17">
        <f>Table5[[#This Row],[GrossProfit]]/Table5[[#This Row],[Net Sales Revenue]]</f>
        <v>0.30292598967297762</v>
      </c>
    </row>
    <row r="986" spans="1:22" ht="14.25" customHeight="1" x14ac:dyDescent="0.25">
      <c r="A986" s="1" t="s">
        <v>1073</v>
      </c>
      <c r="B986" s="1" t="s">
        <v>1034</v>
      </c>
      <c r="C986" s="1" t="s">
        <v>56</v>
      </c>
      <c r="D986" s="1" t="s">
        <v>17</v>
      </c>
      <c r="E986" s="1" t="s">
        <v>15</v>
      </c>
      <c r="F986" s="1">
        <v>2354</v>
      </c>
      <c r="G986" s="14">
        <v>35</v>
      </c>
      <c r="H986" s="1">
        <v>0.16</v>
      </c>
      <c r="I986" s="14">
        <v>69207.600000000006</v>
      </c>
      <c r="J986" s="14">
        <v>45761.760000000002</v>
      </c>
      <c r="K986" s="15">
        <f>Table5[[#This Row],[Selling Price]]*Table5[[#This Row],[Units Sold]]</f>
        <v>82390</v>
      </c>
      <c r="L986" t="str">
        <f t="shared" si="15"/>
        <v>2024-10</v>
      </c>
      <c r="M986" t="str">
        <f>VLOOKUP(Table5[[#This Row],[Store ID]],Table4[[Store ID]:[Store Location]],2)</f>
        <v>Leeds</v>
      </c>
      <c r="N986" t="str">
        <f>VLOOKUP(Table5[[#This Row],[Store ID]],Table4[[Store ID]:[Region]],3)</f>
        <v>North</v>
      </c>
      <c r="O986" t="str">
        <f>VLOOKUP(Table5[[#This Row],[Product ID]],'Product Master'!$A$2:$D$10,4)</f>
        <v>Supplier C</v>
      </c>
      <c r="P986" s="15">
        <f>Table5[[#This Row],[Total Revenue]]-Table5[[#This Row],[Net Sales Revenue]]</f>
        <v>13182.399999999994</v>
      </c>
      <c r="Q986" s="15">
        <f>Table5[[#This Row],[Net Sales Revenue]]/Table5[[#This Row],[Units Sold]]</f>
        <v>29.400000000000002</v>
      </c>
      <c r="R986">
        <f>VLOOKUP(Table5[[#This Row],[Product ID]],'Product Master'!$A$1:$E$10,5,FALSE)</f>
        <v>18</v>
      </c>
      <c r="S986" s="15">
        <f>Table5[[#This Row],[standard product cost per unit]]*Table5[[#This Row],[Units Sold]]</f>
        <v>42372</v>
      </c>
      <c r="T986" s="15">
        <f>Table5[[#This Row],[Cost of Sales]]-Table5[[#This Row],[Standard cost]]</f>
        <v>3389.760000000002</v>
      </c>
      <c r="U986" s="15">
        <f>Table5[[#This Row],[Net Sales Revenue]]-Table5[[#This Row],[Cost of Sales]]</f>
        <v>23445.840000000004</v>
      </c>
      <c r="V986" s="17">
        <f>Table5[[#This Row],[GrossProfit]]/Table5[[#This Row],[Net Sales Revenue]]</f>
        <v>0.33877551020408164</v>
      </c>
    </row>
    <row r="987" spans="1:22" ht="14.25" customHeight="1" x14ac:dyDescent="0.25">
      <c r="A987" s="1" t="s">
        <v>1074</v>
      </c>
      <c r="B987" s="1" t="s">
        <v>1034</v>
      </c>
      <c r="C987" s="1" t="s">
        <v>56</v>
      </c>
      <c r="D987" s="1" t="s">
        <v>19</v>
      </c>
      <c r="E987" s="1" t="s">
        <v>21</v>
      </c>
      <c r="F987" s="1">
        <v>1702</v>
      </c>
      <c r="G987" s="14">
        <v>18</v>
      </c>
      <c r="H987" s="1">
        <v>0.14000000000000001</v>
      </c>
      <c r="I987" s="14">
        <v>26346.959999999999</v>
      </c>
      <c r="J987" s="14">
        <v>16543.439999999999</v>
      </c>
      <c r="K987" s="15">
        <f>Table5[[#This Row],[Selling Price]]*Table5[[#This Row],[Units Sold]]</f>
        <v>30636</v>
      </c>
      <c r="L987" t="str">
        <f t="shared" si="15"/>
        <v>2024-10</v>
      </c>
      <c r="M987" t="str">
        <f>VLOOKUP(Table5[[#This Row],[Store ID]],Table4[[Store ID]:[Store Location]],2)</f>
        <v>Leeds</v>
      </c>
      <c r="N987" t="str">
        <f>VLOOKUP(Table5[[#This Row],[Store ID]],Table4[[Store ID]:[Region]],3)</f>
        <v>North</v>
      </c>
      <c r="O987" t="str">
        <f>VLOOKUP(Table5[[#This Row],[Product ID]],'Product Master'!$A$2:$D$10,4)</f>
        <v>Supplier D</v>
      </c>
      <c r="P987" s="15">
        <f>Table5[[#This Row],[Total Revenue]]-Table5[[#This Row],[Net Sales Revenue]]</f>
        <v>4289.0400000000009</v>
      </c>
      <c r="Q987" s="15">
        <f>Table5[[#This Row],[Net Sales Revenue]]/Table5[[#This Row],[Units Sold]]</f>
        <v>15.479999999999999</v>
      </c>
      <c r="R987">
        <f>VLOOKUP(Table5[[#This Row],[Product ID]],'Product Master'!$A$1:$E$10,5,FALSE)</f>
        <v>9</v>
      </c>
      <c r="S987" s="15">
        <f>Table5[[#This Row],[standard product cost per unit]]*Table5[[#This Row],[Units Sold]]</f>
        <v>15318</v>
      </c>
      <c r="T987" s="15">
        <f>Table5[[#This Row],[Cost of Sales]]-Table5[[#This Row],[Standard cost]]</f>
        <v>1225.4399999999987</v>
      </c>
      <c r="U987" s="15">
        <f>Table5[[#This Row],[Net Sales Revenue]]-Table5[[#This Row],[Cost of Sales]]</f>
        <v>9803.52</v>
      </c>
      <c r="V987" s="17">
        <f>Table5[[#This Row],[GrossProfit]]/Table5[[#This Row],[Net Sales Revenue]]</f>
        <v>0.372093023255814</v>
      </c>
    </row>
    <row r="988" spans="1:22" ht="14.25" customHeight="1" x14ac:dyDescent="0.25">
      <c r="A988" s="1" t="s">
        <v>1075</v>
      </c>
      <c r="B988" s="1" t="s">
        <v>1034</v>
      </c>
      <c r="C988" s="1" t="s">
        <v>56</v>
      </c>
      <c r="D988" s="1" t="s">
        <v>23</v>
      </c>
      <c r="E988" s="1" t="s">
        <v>21</v>
      </c>
      <c r="F988" s="1">
        <v>1500</v>
      </c>
      <c r="G988" s="14">
        <v>30</v>
      </c>
      <c r="H988" s="1">
        <v>0.17</v>
      </c>
      <c r="I988" s="14">
        <v>37350</v>
      </c>
      <c r="J988" s="14">
        <v>22680</v>
      </c>
      <c r="K988" s="15">
        <f>Table5[[#This Row],[Selling Price]]*Table5[[#This Row],[Units Sold]]</f>
        <v>45000</v>
      </c>
      <c r="L988" t="str">
        <f t="shared" si="15"/>
        <v>2024-10</v>
      </c>
      <c r="M988" t="str">
        <f>VLOOKUP(Table5[[#This Row],[Store ID]],Table4[[Store ID]:[Store Location]],2)</f>
        <v>Leeds</v>
      </c>
      <c r="N988" t="str">
        <f>VLOOKUP(Table5[[#This Row],[Store ID]],Table4[[Store ID]:[Region]],3)</f>
        <v>North</v>
      </c>
      <c r="O988" t="str">
        <f>VLOOKUP(Table5[[#This Row],[Product ID]],'Product Master'!$A$2:$D$10,4)</f>
        <v>Supplier D</v>
      </c>
      <c r="P988" s="15">
        <f>Table5[[#This Row],[Total Revenue]]-Table5[[#This Row],[Net Sales Revenue]]</f>
        <v>7650</v>
      </c>
      <c r="Q988" s="15">
        <f>Table5[[#This Row],[Net Sales Revenue]]/Table5[[#This Row],[Units Sold]]</f>
        <v>24.9</v>
      </c>
      <c r="R988">
        <f>VLOOKUP(Table5[[#This Row],[Product ID]],'Product Master'!$A$1:$E$10,5,FALSE)</f>
        <v>14</v>
      </c>
      <c r="S988" s="15">
        <f>Table5[[#This Row],[standard product cost per unit]]*Table5[[#This Row],[Units Sold]]</f>
        <v>21000</v>
      </c>
      <c r="T988" s="15">
        <f>Table5[[#This Row],[Cost of Sales]]-Table5[[#This Row],[Standard cost]]</f>
        <v>1680</v>
      </c>
      <c r="U988" s="15">
        <f>Table5[[#This Row],[Net Sales Revenue]]-Table5[[#This Row],[Cost of Sales]]</f>
        <v>14670</v>
      </c>
      <c r="V988" s="17">
        <f>Table5[[#This Row],[GrossProfit]]/Table5[[#This Row],[Net Sales Revenue]]</f>
        <v>0.39277108433734942</v>
      </c>
    </row>
    <row r="989" spans="1:22" ht="14.25" customHeight="1" x14ac:dyDescent="0.25">
      <c r="A989" s="1" t="s">
        <v>1076</v>
      </c>
      <c r="B989" s="1" t="s">
        <v>1034</v>
      </c>
      <c r="C989" s="1" t="s">
        <v>56</v>
      </c>
      <c r="D989" s="1" t="s">
        <v>25</v>
      </c>
      <c r="E989" s="1" t="s">
        <v>27</v>
      </c>
      <c r="F989" s="1">
        <v>1905</v>
      </c>
      <c r="G989" s="14">
        <v>40</v>
      </c>
      <c r="H989" s="1">
        <v>0.15</v>
      </c>
      <c r="I989" s="14">
        <v>64770</v>
      </c>
      <c r="J989" s="14">
        <v>41148</v>
      </c>
      <c r="K989" s="15">
        <f>Table5[[#This Row],[Selling Price]]*Table5[[#This Row],[Units Sold]]</f>
        <v>76200</v>
      </c>
      <c r="L989" t="str">
        <f t="shared" si="15"/>
        <v>2024-10</v>
      </c>
      <c r="M989" t="str">
        <f>VLOOKUP(Table5[[#This Row],[Store ID]],Table4[[Store ID]:[Store Location]],2)</f>
        <v>Leeds</v>
      </c>
      <c r="N989" t="str">
        <f>VLOOKUP(Table5[[#This Row],[Store ID]],Table4[[Store ID]:[Region]],3)</f>
        <v>North</v>
      </c>
      <c r="O989" t="str">
        <f>VLOOKUP(Table5[[#This Row],[Product ID]],'Product Master'!$A$2:$D$10,4)</f>
        <v>Supplier E</v>
      </c>
      <c r="P989" s="15">
        <f>Table5[[#This Row],[Total Revenue]]-Table5[[#This Row],[Net Sales Revenue]]</f>
        <v>11430</v>
      </c>
      <c r="Q989" s="15">
        <f>Table5[[#This Row],[Net Sales Revenue]]/Table5[[#This Row],[Units Sold]]</f>
        <v>34</v>
      </c>
      <c r="R989">
        <f>VLOOKUP(Table5[[#This Row],[Product ID]],'Product Master'!$A$1:$E$10,5,FALSE)</f>
        <v>20</v>
      </c>
      <c r="S989" s="15">
        <f>Table5[[#This Row],[standard product cost per unit]]*Table5[[#This Row],[Units Sold]]</f>
        <v>38100</v>
      </c>
      <c r="T989" s="15">
        <f>Table5[[#This Row],[Cost of Sales]]-Table5[[#This Row],[Standard cost]]</f>
        <v>3048</v>
      </c>
      <c r="U989" s="15">
        <f>Table5[[#This Row],[Net Sales Revenue]]-Table5[[#This Row],[Cost of Sales]]</f>
        <v>23622</v>
      </c>
      <c r="V989" s="17">
        <f>Table5[[#This Row],[GrossProfit]]/Table5[[#This Row],[Net Sales Revenue]]</f>
        <v>0.36470588235294116</v>
      </c>
    </row>
    <row r="990" spans="1:22" ht="14.25" customHeight="1" x14ac:dyDescent="0.25">
      <c r="A990" s="1" t="s">
        <v>1077</v>
      </c>
      <c r="B990" s="1" t="s">
        <v>1034</v>
      </c>
      <c r="C990" s="1" t="s">
        <v>56</v>
      </c>
      <c r="D990" s="1" t="s">
        <v>29</v>
      </c>
      <c r="E990" s="1" t="s">
        <v>31</v>
      </c>
      <c r="F990" s="1">
        <v>1914</v>
      </c>
      <c r="G990" s="14">
        <v>10</v>
      </c>
      <c r="H990" s="1">
        <v>0.16</v>
      </c>
      <c r="I990" s="14">
        <v>16077.6</v>
      </c>
      <c r="J990" s="14">
        <v>8268.48</v>
      </c>
      <c r="K990" s="15">
        <f>Table5[[#This Row],[Selling Price]]*Table5[[#This Row],[Units Sold]]</f>
        <v>19140</v>
      </c>
      <c r="L990" t="str">
        <f t="shared" si="15"/>
        <v>2024-10</v>
      </c>
      <c r="M990" t="str">
        <f>VLOOKUP(Table5[[#This Row],[Store ID]],Table4[[Store ID]:[Store Location]],2)</f>
        <v>Leeds</v>
      </c>
      <c r="N990" t="str">
        <f>VLOOKUP(Table5[[#This Row],[Store ID]],Table4[[Store ID]:[Region]],3)</f>
        <v>North</v>
      </c>
      <c r="O990" t="str">
        <f>VLOOKUP(Table5[[#This Row],[Product ID]],'Product Master'!$A$2:$D$10,4)</f>
        <v>Supplier F</v>
      </c>
      <c r="P990" s="15">
        <f>Table5[[#This Row],[Total Revenue]]-Table5[[#This Row],[Net Sales Revenue]]</f>
        <v>3062.3999999999996</v>
      </c>
      <c r="Q990" s="15">
        <f>Table5[[#This Row],[Net Sales Revenue]]/Table5[[#This Row],[Units Sold]]</f>
        <v>8.4</v>
      </c>
      <c r="R990">
        <f>VLOOKUP(Table5[[#This Row],[Product ID]],'Product Master'!$A$1:$E$10,5,FALSE)</f>
        <v>4</v>
      </c>
      <c r="S990" s="15">
        <f>Table5[[#This Row],[standard product cost per unit]]*Table5[[#This Row],[Units Sold]]</f>
        <v>7656</v>
      </c>
      <c r="T990" s="15">
        <f>Table5[[#This Row],[Cost of Sales]]-Table5[[#This Row],[Standard cost]]</f>
        <v>612.47999999999956</v>
      </c>
      <c r="U990" s="15">
        <f>Table5[[#This Row],[Net Sales Revenue]]-Table5[[#This Row],[Cost of Sales]]</f>
        <v>7809.1200000000008</v>
      </c>
      <c r="V990" s="17">
        <f>Table5[[#This Row],[GrossProfit]]/Table5[[#This Row],[Net Sales Revenue]]</f>
        <v>0.48571428571428577</v>
      </c>
    </row>
    <row r="991" spans="1:22" ht="14.25" customHeight="1" x14ac:dyDescent="0.25">
      <c r="A991" s="1" t="s">
        <v>1078</v>
      </c>
      <c r="B991" s="1" t="s">
        <v>1034</v>
      </c>
      <c r="C991" s="1" t="s">
        <v>56</v>
      </c>
      <c r="D991" s="1" t="s">
        <v>33</v>
      </c>
      <c r="E991" s="1" t="s">
        <v>31</v>
      </c>
      <c r="F991" s="1">
        <v>2741</v>
      </c>
      <c r="G991" s="14">
        <v>22</v>
      </c>
      <c r="H991" s="1">
        <v>0.14000000000000001</v>
      </c>
      <c r="I991" s="14">
        <v>51859.72</v>
      </c>
      <c r="J991" s="14">
        <v>29602.799999999999</v>
      </c>
      <c r="K991" s="15">
        <f>Table5[[#This Row],[Selling Price]]*Table5[[#This Row],[Units Sold]]</f>
        <v>60302</v>
      </c>
      <c r="L991" t="str">
        <f t="shared" si="15"/>
        <v>2024-10</v>
      </c>
      <c r="M991" t="str">
        <f>VLOOKUP(Table5[[#This Row],[Store ID]],Table4[[Store ID]:[Store Location]],2)</f>
        <v>Leeds</v>
      </c>
      <c r="N991" t="str">
        <f>VLOOKUP(Table5[[#This Row],[Store ID]],Table4[[Store ID]:[Region]],3)</f>
        <v>North</v>
      </c>
      <c r="O991" t="str">
        <f>VLOOKUP(Table5[[#This Row],[Product ID]],'Product Master'!$A$2:$D$10,4)</f>
        <v>Supplier F</v>
      </c>
      <c r="P991" s="15">
        <f>Table5[[#This Row],[Total Revenue]]-Table5[[#This Row],[Net Sales Revenue]]</f>
        <v>8442.2799999999988</v>
      </c>
      <c r="Q991" s="15">
        <f>Table5[[#This Row],[Net Sales Revenue]]/Table5[[#This Row],[Units Sold]]</f>
        <v>18.920000000000002</v>
      </c>
      <c r="R991">
        <f>VLOOKUP(Table5[[#This Row],[Product ID]],'Product Master'!$A$1:$E$10,5,FALSE)</f>
        <v>10</v>
      </c>
      <c r="S991" s="15">
        <f>Table5[[#This Row],[standard product cost per unit]]*Table5[[#This Row],[Units Sold]]</f>
        <v>27410</v>
      </c>
      <c r="T991" s="15">
        <f>Table5[[#This Row],[Cost of Sales]]-Table5[[#This Row],[Standard cost]]</f>
        <v>2192.7999999999993</v>
      </c>
      <c r="U991" s="15">
        <f>Table5[[#This Row],[Net Sales Revenue]]-Table5[[#This Row],[Cost of Sales]]</f>
        <v>22256.920000000002</v>
      </c>
      <c r="V991" s="17">
        <f>Table5[[#This Row],[GrossProfit]]/Table5[[#This Row],[Net Sales Revenue]]</f>
        <v>0.42917547568710362</v>
      </c>
    </row>
    <row r="992" spans="1:22" ht="14.25" customHeight="1" x14ac:dyDescent="0.25">
      <c r="A992" s="1" t="s">
        <v>1079</v>
      </c>
      <c r="B992" s="1" t="s">
        <v>1080</v>
      </c>
      <c r="C992" s="1" t="s">
        <v>40</v>
      </c>
      <c r="D992" s="1" t="s">
        <v>6</v>
      </c>
      <c r="E992" s="1" t="s">
        <v>8</v>
      </c>
      <c r="F992" s="1">
        <v>2376</v>
      </c>
      <c r="G992" s="14">
        <v>24</v>
      </c>
      <c r="H992" s="1">
        <v>0.15</v>
      </c>
      <c r="I992" s="14">
        <v>48470.400000000001</v>
      </c>
      <c r="J992" s="14">
        <v>30792.959999999999</v>
      </c>
      <c r="K992" s="15">
        <f>Table5[[#This Row],[Selling Price]]*Table5[[#This Row],[Units Sold]]</f>
        <v>57024</v>
      </c>
      <c r="L992" t="str">
        <f t="shared" si="15"/>
        <v>2024-11</v>
      </c>
      <c r="M992" t="str">
        <f>VLOOKUP(Table5[[#This Row],[Store ID]],Table4[[Store ID]:[Store Location]],2)</f>
        <v>Manchester</v>
      </c>
      <c r="N992" t="str">
        <f>VLOOKUP(Table5[[#This Row],[Store ID]],Table4[[Store ID]:[Region]],3)</f>
        <v>North</v>
      </c>
      <c r="O992" t="str">
        <f>VLOOKUP(Table5[[#This Row],[Product ID]],'Product Master'!$A$2:$D$10,4)</f>
        <v>Supplier A</v>
      </c>
      <c r="P992" s="15">
        <f>Table5[[#This Row],[Total Revenue]]-Table5[[#This Row],[Net Sales Revenue]]</f>
        <v>8553.5999999999985</v>
      </c>
      <c r="Q992" s="15">
        <f>Table5[[#This Row],[Net Sales Revenue]]/Table5[[#This Row],[Units Sold]]</f>
        <v>20.400000000000002</v>
      </c>
      <c r="R992">
        <f>VLOOKUP(Table5[[#This Row],[Product ID]],'Product Master'!$A$1:$E$10,5,FALSE)</f>
        <v>12</v>
      </c>
      <c r="S992" s="15">
        <f>Table5[[#This Row],[standard product cost per unit]]*Table5[[#This Row],[Units Sold]]</f>
        <v>28512</v>
      </c>
      <c r="T992" s="15">
        <f>Table5[[#This Row],[Cost of Sales]]-Table5[[#This Row],[Standard cost]]</f>
        <v>2280.9599999999991</v>
      </c>
      <c r="U992" s="15">
        <f>Table5[[#This Row],[Net Sales Revenue]]-Table5[[#This Row],[Cost of Sales]]</f>
        <v>17677.440000000002</v>
      </c>
      <c r="V992" s="17">
        <f>Table5[[#This Row],[GrossProfit]]/Table5[[#This Row],[Net Sales Revenue]]</f>
        <v>0.36470588235294121</v>
      </c>
    </row>
    <row r="993" spans="1:22" ht="14.25" customHeight="1" x14ac:dyDescent="0.25">
      <c r="A993" s="1" t="s">
        <v>1081</v>
      </c>
      <c r="B993" s="1" t="s">
        <v>1080</v>
      </c>
      <c r="C993" s="1" t="s">
        <v>40</v>
      </c>
      <c r="D993" s="1" t="s">
        <v>10</v>
      </c>
      <c r="E993" s="1" t="s">
        <v>8</v>
      </c>
      <c r="F993" s="1">
        <v>2921</v>
      </c>
      <c r="G993" s="14">
        <v>50</v>
      </c>
      <c r="H993" s="1">
        <v>0.13</v>
      </c>
      <c r="I993" s="14">
        <v>127063.5</v>
      </c>
      <c r="J993" s="14">
        <v>88331.04</v>
      </c>
      <c r="K993" s="15">
        <f>Table5[[#This Row],[Selling Price]]*Table5[[#This Row],[Units Sold]]</f>
        <v>146050</v>
      </c>
      <c r="L993" t="str">
        <f t="shared" si="15"/>
        <v>2024-11</v>
      </c>
      <c r="M993" t="str">
        <f>VLOOKUP(Table5[[#This Row],[Store ID]],Table4[[Store ID]:[Store Location]],2)</f>
        <v>Manchester</v>
      </c>
      <c r="N993" t="str">
        <f>VLOOKUP(Table5[[#This Row],[Store ID]],Table4[[Store ID]:[Region]],3)</f>
        <v>North</v>
      </c>
      <c r="O993" t="str">
        <f>VLOOKUP(Table5[[#This Row],[Product ID]],'Product Master'!$A$2:$D$10,4)</f>
        <v>Supplier B</v>
      </c>
      <c r="P993" s="15">
        <f>Table5[[#This Row],[Total Revenue]]-Table5[[#This Row],[Net Sales Revenue]]</f>
        <v>18986.5</v>
      </c>
      <c r="Q993" s="15">
        <f>Table5[[#This Row],[Net Sales Revenue]]/Table5[[#This Row],[Units Sold]]</f>
        <v>43.5</v>
      </c>
      <c r="R993">
        <f>VLOOKUP(Table5[[#This Row],[Product ID]],'Product Master'!$A$1:$E$10,5,FALSE)</f>
        <v>28</v>
      </c>
      <c r="S993" s="15">
        <f>Table5[[#This Row],[standard product cost per unit]]*Table5[[#This Row],[Units Sold]]</f>
        <v>81788</v>
      </c>
      <c r="T993" s="15">
        <f>Table5[[#This Row],[Cost of Sales]]-Table5[[#This Row],[Standard cost]]</f>
        <v>6543.0399999999936</v>
      </c>
      <c r="U993" s="15">
        <f>Table5[[#This Row],[Net Sales Revenue]]-Table5[[#This Row],[Cost of Sales]]</f>
        <v>38732.460000000006</v>
      </c>
      <c r="V993" s="17">
        <f>Table5[[#This Row],[GrossProfit]]/Table5[[#This Row],[Net Sales Revenue]]</f>
        <v>0.30482758620689659</v>
      </c>
    </row>
    <row r="994" spans="1:22" ht="14.25" customHeight="1" x14ac:dyDescent="0.25">
      <c r="A994" s="1" t="s">
        <v>1082</v>
      </c>
      <c r="B994" s="1" t="s">
        <v>1080</v>
      </c>
      <c r="C994" s="1" t="s">
        <v>40</v>
      </c>
      <c r="D994" s="1" t="s">
        <v>13</v>
      </c>
      <c r="E994" s="1" t="s">
        <v>15</v>
      </c>
      <c r="F994" s="1">
        <v>2992</v>
      </c>
      <c r="G994" s="14">
        <v>28</v>
      </c>
      <c r="H994" s="1">
        <v>0.16</v>
      </c>
      <c r="I994" s="14">
        <v>70371.839999999997</v>
      </c>
      <c r="J994" s="14">
        <v>48470.400000000001</v>
      </c>
      <c r="K994" s="15">
        <f>Table5[[#This Row],[Selling Price]]*Table5[[#This Row],[Units Sold]]</f>
        <v>83776</v>
      </c>
      <c r="L994" t="str">
        <f t="shared" si="15"/>
        <v>2024-11</v>
      </c>
      <c r="M994" t="str">
        <f>VLOOKUP(Table5[[#This Row],[Store ID]],Table4[[Store ID]:[Store Location]],2)</f>
        <v>Manchester</v>
      </c>
      <c r="N994" t="str">
        <f>VLOOKUP(Table5[[#This Row],[Store ID]],Table4[[Store ID]:[Region]],3)</f>
        <v>North</v>
      </c>
      <c r="O994" t="str">
        <f>VLOOKUP(Table5[[#This Row],[Product ID]],'Product Master'!$A$2:$D$10,4)</f>
        <v>Supplier C</v>
      </c>
      <c r="P994" s="15">
        <f>Table5[[#This Row],[Total Revenue]]-Table5[[#This Row],[Net Sales Revenue]]</f>
        <v>13404.160000000003</v>
      </c>
      <c r="Q994" s="15">
        <f>Table5[[#This Row],[Net Sales Revenue]]/Table5[[#This Row],[Units Sold]]</f>
        <v>23.52</v>
      </c>
      <c r="R994">
        <f>VLOOKUP(Table5[[#This Row],[Product ID]],'Product Master'!$A$1:$E$10,5,FALSE)</f>
        <v>15</v>
      </c>
      <c r="S994" s="15">
        <f>Table5[[#This Row],[standard product cost per unit]]*Table5[[#This Row],[Units Sold]]</f>
        <v>44880</v>
      </c>
      <c r="T994" s="15">
        <f>Table5[[#This Row],[Cost of Sales]]-Table5[[#This Row],[Standard cost]]</f>
        <v>3590.4000000000015</v>
      </c>
      <c r="U994" s="15">
        <f>Table5[[#This Row],[Net Sales Revenue]]-Table5[[#This Row],[Cost of Sales]]</f>
        <v>21901.439999999995</v>
      </c>
      <c r="V994" s="17">
        <f>Table5[[#This Row],[GrossProfit]]/Table5[[#This Row],[Net Sales Revenue]]</f>
        <v>0.31122448979591832</v>
      </c>
    </row>
    <row r="995" spans="1:22" ht="14.25" customHeight="1" x14ac:dyDescent="0.25">
      <c r="A995" s="1" t="s">
        <v>1083</v>
      </c>
      <c r="B995" s="1" t="s">
        <v>1080</v>
      </c>
      <c r="C995" s="1" t="s">
        <v>40</v>
      </c>
      <c r="D995" s="1" t="s">
        <v>17</v>
      </c>
      <c r="E995" s="1" t="s">
        <v>15</v>
      </c>
      <c r="F995" s="1">
        <v>1452</v>
      </c>
      <c r="G995" s="14">
        <v>35</v>
      </c>
      <c r="H995" s="1">
        <v>0.16</v>
      </c>
      <c r="I995" s="14">
        <v>42688.800000000003</v>
      </c>
      <c r="J995" s="14">
        <v>28226.880000000001</v>
      </c>
      <c r="K995" s="15">
        <f>Table5[[#This Row],[Selling Price]]*Table5[[#This Row],[Units Sold]]</f>
        <v>50820</v>
      </c>
      <c r="L995" t="str">
        <f t="shared" si="15"/>
        <v>2024-11</v>
      </c>
      <c r="M995" t="str">
        <f>VLOOKUP(Table5[[#This Row],[Store ID]],Table4[[Store ID]:[Store Location]],2)</f>
        <v>Manchester</v>
      </c>
      <c r="N995" t="str">
        <f>VLOOKUP(Table5[[#This Row],[Store ID]],Table4[[Store ID]:[Region]],3)</f>
        <v>North</v>
      </c>
      <c r="O995" t="str">
        <f>VLOOKUP(Table5[[#This Row],[Product ID]],'Product Master'!$A$2:$D$10,4)</f>
        <v>Supplier C</v>
      </c>
      <c r="P995" s="15">
        <f>Table5[[#This Row],[Total Revenue]]-Table5[[#This Row],[Net Sales Revenue]]</f>
        <v>8131.1999999999971</v>
      </c>
      <c r="Q995" s="15">
        <f>Table5[[#This Row],[Net Sales Revenue]]/Table5[[#This Row],[Units Sold]]</f>
        <v>29.400000000000002</v>
      </c>
      <c r="R995">
        <f>VLOOKUP(Table5[[#This Row],[Product ID]],'Product Master'!$A$1:$E$10,5,FALSE)</f>
        <v>18</v>
      </c>
      <c r="S995" s="15">
        <f>Table5[[#This Row],[standard product cost per unit]]*Table5[[#This Row],[Units Sold]]</f>
        <v>26136</v>
      </c>
      <c r="T995" s="15">
        <f>Table5[[#This Row],[Cost of Sales]]-Table5[[#This Row],[Standard cost]]</f>
        <v>2090.880000000001</v>
      </c>
      <c r="U995" s="15">
        <f>Table5[[#This Row],[Net Sales Revenue]]-Table5[[#This Row],[Cost of Sales]]</f>
        <v>14461.920000000002</v>
      </c>
      <c r="V995" s="17">
        <f>Table5[[#This Row],[GrossProfit]]/Table5[[#This Row],[Net Sales Revenue]]</f>
        <v>0.33877551020408164</v>
      </c>
    </row>
    <row r="996" spans="1:22" ht="14.25" customHeight="1" x14ac:dyDescent="0.25">
      <c r="A996" s="1" t="s">
        <v>1084</v>
      </c>
      <c r="B996" s="1" t="s">
        <v>1080</v>
      </c>
      <c r="C996" s="1" t="s">
        <v>40</v>
      </c>
      <c r="D996" s="1" t="s">
        <v>19</v>
      </c>
      <c r="E996" s="1" t="s">
        <v>21</v>
      </c>
      <c r="F996" s="1">
        <v>2666</v>
      </c>
      <c r="G996" s="14">
        <v>18</v>
      </c>
      <c r="H996" s="1">
        <v>0.12</v>
      </c>
      <c r="I996" s="14">
        <v>42229.440000000002</v>
      </c>
      <c r="J996" s="14">
        <v>25913.52</v>
      </c>
      <c r="K996" s="15">
        <f>Table5[[#This Row],[Selling Price]]*Table5[[#This Row],[Units Sold]]</f>
        <v>47988</v>
      </c>
      <c r="L996" t="str">
        <f t="shared" si="15"/>
        <v>2024-11</v>
      </c>
      <c r="M996" t="str">
        <f>VLOOKUP(Table5[[#This Row],[Store ID]],Table4[[Store ID]:[Store Location]],2)</f>
        <v>Manchester</v>
      </c>
      <c r="N996" t="str">
        <f>VLOOKUP(Table5[[#This Row],[Store ID]],Table4[[Store ID]:[Region]],3)</f>
        <v>North</v>
      </c>
      <c r="O996" t="str">
        <f>VLOOKUP(Table5[[#This Row],[Product ID]],'Product Master'!$A$2:$D$10,4)</f>
        <v>Supplier D</v>
      </c>
      <c r="P996" s="15">
        <f>Table5[[#This Row],[Total Revenue]]-Table5[[#This Row],[Net Sales Revenue]]</f>
        <v>5758.5599999999977</v>
      </c>
      <c r="Q996" s="15">
        <f>Table5[[#This Row],[Net Sales Revenue]]/Table5[[#This Row],[Units Sold]]</f>
        <v>15.840000000000002</v>
      </c>
      <c r="R996">
        <f>VLOOKUP(Table5[[#This Row],[Product ID]],'Product Master'!$A$1:$E$10,5,FALSE)</f>
        <v>9</v>
      </c>
      <c r="S996" s="15">
        <f>Table5[[#This Row],[standard product cost per unit]]*Table5[[#This Row],[Units Sold]]</f>
        <v>23994</v>
      </c>
      <c r="T996" s="15">
        <f>Table5[[#This Row],[Cost of Sales]]-Table5[[#This Row],[Standard cost]]</f>
        <v>1919.5200000000004</v>
      </c>
      <c r="U996" s="15">
        <f>Table5[[#This Row],[Net Sales Revenue]]-Table5[[#This Row],[Cost of Sales]]</f>
        <v>16315.920000000002</v>
      </c>
      <c r="V996" s="17">
        <f>Table5[[#This Row],[GrossProfit]]/Table5[[#This Row],[Net Sales Revenue]]</f>
        <v>0.38636363636363641</v>
      </c>
    </row>
    <row r="997" spans="1:22" ht="14.25" customHeight="1" x14ac:dyDescent="0.25">
      <c r="A997" s="1" t="s">
        <v>1085</v>
      </c>
      <c r="B997" s="1" t="s">
        <v>1080</v>
      </c>
      <c r="C997" s="1" t="s">
        <v>40</v>
      </c>
      <c r="D997" s="1" t="s">
        <v>23</v>
      </c>
      <c r="E997" s="1" t="s">
        <v>21</v>
      </c>
      <c r="F997" s="1">
        <v>2494</v>
      </c>
      <c r="G997" s="14">
        <v>30</v>
      </c>
      <c r="H997" s="1">
        <v>0.17</v>
      </c>
      <c r="I997" s="14">
        <v>62100.6</v>
      </c>
      <c r="J997" s="14">
        <v>37709.279999999999</v>
      </c>
      <c r="K997" s="15">
        <f>Table5[[#This Row],[Selling Price]]*Table5[[#This Row],[Units Sold]]</f>
        <v>74820</v>
      </c>
      <c r="L997" t="str">
        <f t="shared" si="15"/>
        <v>2024-11</v>
      </c>
      <c r="M997" t="str">
        <f>VLOOKUP(Table5[[#This Row],[Store ID]],Table4[[Store ID]:[Store Location]],2)</f>
        <v>Manchester</v>
      </c>
      <c r="N997" t="str">
        <f>VLOOKUP(Table5[[#This Row],[Store ID]],Table4[[Store ID]:[Region]],3)</f>
        <v>North</v>
      </c>
      <c r="O997" t="str">
        <f>VLOOKUP(Table5[[#This Row],[Product ID]],'Product Master'!$A$2:$D$10,4)</f>
        <v>Supplier D</v>
      </c>
      <c r="P997" s="15">
        <f>Table5[[#This Row],[Total Revenue]]-Table5[[#This Row],[Net Sales Revenue]]</f>
        <v>12719.400000000001</v>
      </c>
      <c r="Q997" s="15">
        <f>Table5[[#This Row],[Net Sales Revenue]]/Table5[[#This Row],[Units Sold]]</f>
        <v>24.9</v>
      </c>
      <c r="R997">
        <f>VLOOKUP(Table5[[#This Row],[Product ID]],'Product Master'!$A$1:$E$10,5,FALSE)</f>
        <v>14</v>
      </c>
      <c r="S997" s="15">
        <f>Table5[[#This Row],[standard product cost per unit]]*Table5[[#This Row],[Units Sold]]</f>
        <v>34916</v>
      </c>
      <c r="T997" s="15">
        <f>Table5[[#This Row],[Cost of Sales]]-Table5[[#This Row],[Standard cost]]</f>
        <v>2793.2799999999988</v>
      </c>
      <c r="U997" s="15">
        <f>Table5[[#This Row],[Net Sales Revenue]]-Table5[[#This Row],[Cost of Sales]]</f>
        <v>24391.32</v>
      </c>
      <c r="V997" s="17">
        <f>Table5[[#This Row],[GrossProfit]]/Table5[[#This Row],[Net Sales Revenue]]</f>
        <v>0.39277108433734942</v>
      </c>
    </row>
    <row r="998" spans="1:22" ht="14.25" customHeight="1" x14ac:dyDescent="0.25">
      <c r="A998" s="1" t="s">
        <v>1086</v>
      </c>
      <c r="B998" s="1" t="s">
        <v>1080</v>
      </c>
      <c r="C998" s="1" t="s">
        <v>40</v>
      </c>
      <c r="D998" s="1" t="s">
        <v>25</v>
      </c>
      <c r="E998" s="1" t="s">
        <v>27</v>
      </c>
      <c r="F998" s="1">
        <v>2151</v>
      </c>
      <c r="G998" s="14">
        <v>40</v>
      </c>
      <c r="H998" s="1">
        <v>0.14000000000000001</v>
      </c>
      <c r="I998" s="14">
        <v>73994.399999999994</v>
      </c>
      <c r="J998" s="14">
        <v>46461.599999999999</v>
      </c>
      <c r="K998" s="15">
        <f>Table5[[#This Row],[Selling Price]]*Table5[[#This Row],[Units Sold]]</f>
        <v>86040</v>
      </c>
      <c r="L998" t="str">
        <f t="shared" si="15"/>
        <v>2024-11</v>
      </c>
      <c r="M998" t="str">
        <f>VLOOKUP(Table5[[#This Row],[Store ID]],Table4[[Store ID]:[Store Location]],2)</f>
        <v>Manchester</v>
      </c>
      <c r="N998" t="str">
        <f>VLOOKUP(Table5[[#This Row],[Store ID]],Table4[[Store ID]:[Region]],3)</f>
        <v>North</v>
      </c>
      <c r="O998" t="str">
        <f>VLOOKUP(Table5[[#This Row],[Product ID]],'Product Master'!$A$2:$D$10,4)</f>
        <v>Supplier E</v>
      </c>
      <c r="P998" s="15">
        <f>Table5[[#This Row],[Total Revenue]]-Table5[[#This Row],[Net Sales Revenue]]</f>
        <v>12045.600000000006</v>
      </c>
      <c r="Q998" s="15">
        <f>Table5[[#This Row],[Net Sales Revenue]]/Table5[[#This Row],[Units Sold]]</f>
        <v>34.4</v>
      </c>
      <c r="R998">
        <f>VLOOKUP(Table5[[#This Row],[Product ID]],'Product Master'!$A$1:$E$10,5,FALSE)</f>
        <v>20</v>
      </c>
      <c r="S998" s="15">
        <f>Table5[[#This Row],[standard product cost per unit]]*Table5[[#This Row],[Units Sold]]</f>
        <v>43020</v>
      </c>
      <c r="T998" s="15">
        <f>Table5[[#This Row],[Cost of Sales]]-Table5[[#This Row],[Standard cost]]</f>
        <v>3441.5999999999985</v>
      </c>
      <c r="U998" s="15">
        <f>Table5[[#This Row],[Net Sales Revenue]]-Table5[[#This Row],[Cost of Sales]]</f>
        <v>27532.799999999996</v>
      </c>
      <c r="V998" s="17">
        <f>Table5[[#This Row],[GrossProfit]]/Table5[[#This Row],[Net Sales Revenue]]</f>
        <v>0.37209302325581395</v>
      </c>
    </row>
    <row r="999" spans="1:22" ht="14.25" customHeight="1" x14ac:dyDescent="0.25">
      <c r="A999" s="1" t="s">
        <v>1087</v>
      </c>
      <c r="B999" s="1" t="s">
        <v>1080</v>
      </c>
      <c r="C999" s="1" t="s">
        <v>40</v>
      </c>
      <c r="D999" s="1" t="s">
        <v>29</v>
      </c>
      <c r="E999" s="1" t="s">
        <v>31</v>
      </c>
      <c r="F999" s="1">
        <v>2666</v>
      </c>
      <c r="G999" s="14">
        <v>10</v>
      </c>
      <c r="H999" s="1">
        <v>0.12</v>
      </c>
      <c r="I999" s="14">
        <v>23460.799999999999</v>
      </c>
      <c r="J999" s="14">
        <v>11517.12</v>
      </c>
      <c r="K999" s="15">
        <f>Table5[[#This Row],[Selling Price]]*Table5[[#This Row],[Units Sold]]</f>
        <v>26660</v>
      </c>
      <c r="L999" t="str">
        <f t="shared" si="15"/>
        <v>2024-11</v>
      </c>
      <c r="M999" t="str">
        <f>VLOOKUP(Table5[[#This Row],[Store ID]],Table4[[Store ID]:[Store Location]],2)</f>
        <v>Manchester</v>
      </c>
      <c r="N999" t="str">
        <f>VLOOKUP(Table5[[#This Row],[Store ID]],Table4[[Store ID]:[Region]],3)</f>
        <v>North</v>
      </c>
      <c r="O999" t="str">
        <f>VLOOKUP(Table5[[#This Row],[Product ID]],'Product Master'!$A$2:$D$10,4)</f>
        <v>Supplier F</v>
      </c>
      <c r="P999" s="15">
        <f>Table5[[#This Row],[Total Revenue]]-Table5[[#This Row],[Net Sales Revenue]]</f>
        <v>3199.2000000000007</v>
      </c>
      <c r="Q999" s="15">
        <f>Table5[[#This Row],[Net Sales Revenue]]/Table5[[#This Row],[Units Sold]]</f>
        <v>8.7999999999999989</v>
      </c>
      <c r="R999">
        <f>VLOOKUP(Table5[[#This Row],[Product ID]],'Product Master'!$A$1:$E$10,5,FALSE)</f>
        <v>4</v>
      </c>
      <c r="S999" s="15">
        <f>Table5[[#This Row],[standard product cost per unit]]*Table5[[#This Row],[Units Sold]]</f>
        <v>10664</v>
      </c>
      <c r="T999" s="15">
        <f>Table5[[#This Row],[Cost of Sales]]-Table5[[#This Row],[Standard cost]]</f>
        <v>853.1200000000008</v>
      </c>
      <c r="U999" s="15">
        <f>Table5[[#This Row],[Net Sales Revenue]]-Table5[[#This Row],[Cost of Sales]]</f>
        <v>11943.679999999998</v>
      </c>
      <c r="V999" s="17">
        <f>Table5[[#This Row],[GrossProfit]]/Table5[[#This Row],[Net Sales Revenue]]</f>
        <v>0.50909090909090904</v>
      </c>
    </row>
    <row r="1000" spans="1:22" ht="14.25" customHeight="1" x14ac:dyDescent="0.25">
      <c r="A1000" s="1" t="s">
        <v>1088</v>
      </c>
      <c r="B1000" s="1" t="s">
        <v>1080</v>
      </c>
      <c r="C1000" s="1" t="s">
        <v>40</v>
      </c>
      <c r="D1000" s="1" t="s">
        <v>33</v>
      </c>
      <c r="E1000" s="1" t="s">
        <v>31</v>
      </c>
      <c r="F1000" s="1">
        <v>1522</v>
      </c>
      <c r="G1000" s="14">
        <v>22</v>
      </c>
      <c r="H1000" s="1">
        <v>0.16</v>
      </c>
      <c r="I1000" s="14">
        <v>28126.560000000001</v>
      </c>
      <c r="J1000" s="14">
        <v>16437.599999999999</v>
      </c>
      <c r="K1000" s="15">
        <f>Table5[[#This Row],[Selling Price]]*Table5[[#This Row],[Units Sold]]</f>
        <v>33484</v>
      </c>
      <c r="L1000" t="str">
        <f t="shared" si="15"/>
        <v>2024-11</v>
      </c>
      <c r="M1000" t="str">
        <f>VLOOKUP(Table5[[#This Row],[Store ID]],Table4[[Store ID]:[Store Location]],2)</f>
        <v>Manchester</v>
      </c>
      <c r="N1000" t="str">
        <f>VLOOKUP(Table5[[#This Row],[Store ID]],Table4[[Store ID]:[Region]],3)</f>
        <v>North</v>
      </c>
      <c r="O1000" t="str">
        <f>VLOOKUP(Table5[[#This Row],[Product ID]],'Product Master'!$A$2:$D$10,4)</f>
        <v>Supplier F</v>
      </c>
      <c r="P1000" s="15">
        <f>Table5[[#This Row],[Total Revenue]]-Table5[[#This Row],[Net Sales Revenue]]</f>
        <v>5357.4399999999987</v>
      </c>
      <c r="Q1000" s="15">
        <f>Table5[[#This Row],[Net Sales Revenue]]/Table5[[#This Row],[Units Sold]]</f>
        <v>18.48</v>
      </c>
      <c r="R1000">
        <f>VLOOKUP(Table5[[#This Row],[Product ID]],'Product Master'!$A$1:$E$10,5,FALSE)</f>
        <v>10</v>
      </c>
      <c r="S1000" s="15">
        <f>Table5[[#This Row],[standard product cost per unit]]*Table5[[#This Row],[Units Sold]]</f>
        <v>15220</v>
      </c>
      <c r="T1000" s="15">
        <f>Table5[[#This Row],[Cost of Sales]]-Table5[[#This Row],[Standard cost]]</f>
        <v>1217.5999999999985</v>
      </c>
      <c r="U1000" s="15">
        <f>Table5[[#This Row],[Net Sales Revenue]]-Table5[[#This Row],[Cost of Sales]]</f>
        <v>11688.960000000003</v>
      </c>
      <c r="V1000" s="17">
        <f>Table5[[#This Row],[GrossProfit]]/Table5[[#This Row],[Net Sales Revenue]]</f>
        <v>0.41558441558441567</v>
      </c>
    </row>
    <row r="1001" spans="1:22" ht="14.25" customHeight="1" x14ac:dyDescent="0.25">
      <c r="A1001" s="1" t="s">
        <v>1089</v>
      </c>
      <c r="B1001" s="1" t="s">
        <v>1080</v>
      </c>
      <c r="C1001" s="1" t="s">
        <v>44</v>
      </c>
      <c r="D1001" s="1" t="s">
        <v>6</v>
      </c>
      <c r="E1001" s="1" t="s">
        <v>8</v>
      </c>
      <c r="F1001" s="1">
        <v>1980</v>
      </c>
      <c r="G1001" s="14">
        <v>24</v>
      </c>
      <c r="H1001" s="1">
        <v>0.16</v>
      </c>
      <c r="I1001" s="14">
        <v>39916.800000000003</v>
      </c>
      <c r="J1001" s="14">
        <v>25660.799999999999</v>
      </c>
      <c r="K1001" s="15">
        <f>Table5[[#This Row],[Selling Price]]*Table5[[#This Row],[Units Sold]]</f>
        <v>47520</v>
      </c>
      <c r="L1001" t="str">
        <f t="shared" si="15"/>
        <v>2024-11</v>
      </c>
      <c r="M1001" t="str">
        <f>VLOOKUP(Table5[[#This Row],[Store ID]],Table4[[Store ID]:[Store Location]],2)</f>
        <v>Birmingham</v>
      </c>
      <c r="N1001" t="str">
        <f>VLOOKUP(Table5[[#This Row],[Store ID]],Table4[[Store ID]:[Region]],3)</f>
        <v>Midlands</v>
      </c>
      <c r="O1001" t="str">
        <f>VLOOKUP(Table5[[#This Row],[Product ID]],'Product Master'!$A$2:$D$10,4)</f>
        <v>Supplier A</v>
      </c>
      <c r="P1001" s="15">
        <f>Table5[[#This Row],[Total Revenue]]-Table5[[#This Row],[Net Sales Revenue]]</f>
        <v>7603.1999999999971</v>
      </c>
      <c r="Q1001" s="15">
        <f>Table5[[#This Row],[Net Sales Revenue]]/Table5[[#This Row],[Units Sold]]</f>
        <v>20.16</v>
      </c>
      <c r="R1001">
        <f>VLOOKUP(Table5[[#This Row],[Product ID]],'Product Master'!$A$1:$E$10,5,FALSE)</f>
        <v>12</v>
      </c>
      <c r="S1001" s="15">
        <f>Table5[[#This Row],[standard product cost per unit]]*Table5[[#This Row],[Units Sold]]</f>
        <v>23760</v>
      </c>
      <c r="T1001" s="15">
        <f>Table5[[#This Row],[Cost of Sales]]-Table5[[#This Row],[Standard cost]]</f>
        <v>1900.7999999999993</v>
      </c>
      <c r="U1001" s="15">
        <f>Table5[[#This Row],[Net Sales Revenue]]-Table5[[#This Row],[Cost of Sales]]</f>
        <v>14256.000000000004</v>
      </c>
      <c r="V1001" s="17">
        <f>Table5[[#This Row],[GrossProfit]]/Table5[[#This Row],[Net Sales Revenue]]</f>
        <v>0.35714285714285721</v>
      </c>
    </row>
    <row r="1002" spans="1:22" ht="14.25" customHeight="1" x14ac:dyDescent="0.25">
      <c r="A1002" s="1" t="s">
        <v>1090</v>
      </c>
      <c r="B1002" s="1" t="s">
        <v>1080</v>
      </c>
      <c r="C1002" s="1" t="s">
        <v>44</v>
      </c>
      <c r="D1002" s="1" t="s">
        <v>10</v>
      </c>
      <c r="E1002" s="1" t="s">
        <v>8</v>
      </c>
      <c r="F1002" s="1">
        <v>2279</v>
      </c>
      <c r="G1002" s="14">
        <v>50</v>
      </c>
      <c r="H1002" s="1">
        <v>0.17</v>
      </c>
      <c r="I1002" s="14">
        <v>94578.5</v>
      </c>
      <c r="J1002" s="14">
        <v>68916.960000000006</v>
      </c>
      <c r="K1002" s="15">
        <f>Table5[[#This Row],[Selling Price]]*Table5[[#This Row],[Units Sold]]</f>
        <v>113950</v>
      </c>
      <c r="L1002" t="str">
        <f t="shared" si="15"/>
        <v>2024-11</v>
      </c>
      <c r="M1002" t="str">
        <f>VLOOKUP(Table5[[#This Row],[Store ID]],Table4[[Store ID]:[Store Location]],2)</f>
        <v>Birmingham</v>
      </c>
      <c r="N1002" t="str">
        <f>VLOOKUP(Table5[[#This Row],[Store ID]],Table4[[Store ID]:[Region]],3)</f>
        <v>Midlands</v>
      </c>
      <c r="O1002" t="str">
        <f>VLOOKUP(Table5[[#This Row],[Product ID]],'Product Master'!$A$2:$D$10,4)</f>
        <v>Supplier B</v>
      </c>
      <c r="P1002" s="15">
        <f>Table5[[#This Row],[Total Revenue]]-Table5[[#This Row],[Net Sales Revenue]]</f>
        <v>19371.5</v>
      </c>
      <c r="Q1002" s="15">
        <f>Table5[[#This Row],[Net Sales Revenue]]/Table5[[#This Row],[Units Sold]]</f>
        <v>41.5</v>
      </c>
      <c r="R1002">
        <f>VLOOKUP(Table5[[#This Row],[Product ID]],'Product Master'!$A$1:$E$10,5,FALSE)</f>
        <v>28</v>
      </c>
      <c r="S1002" s="15">
        <f>Table5[[#This Row],[standard product cost per unit]]*Table5[[#This Row],[Units Sold]]</f>
        <v>63812</v>
      </c>
      <c r="T1002" s="15">
        <f>Table5[[#This Row],[Cost of Sales]]-Table5[[#This Row],[Standard cost]]</f>
        <v>5104.9600000000064</v>
      </c>
      <c r="U1002" s="15">
        <f>Table5[[#This Row],[Net Sales Revenue]]-Table5[[#This Row],[Cost of Sales]]</f>
        <v>25661.539999999994</v>
      </c>
      <c r="V1002" s="17">
        <f>Table5[[#This Row],[GrossProfit]]/Table5[[#This Row],[Net Sales Revenue]]</f>
        <v>0.27132530120481924</v>
      </c>
    </row>
    <row r="1003" spans="1:22" ht="14.25" customHeight="1" x14ac:dyDescent="0.25">
      <c r="A1003" s="1" t="s">
        <v>1091</v>
      </c>
      <c r="B1003" s="1" t="s">
        <v>1080</v>
      </c>
      <c r="C1003" s="1" t="s">
        <v>44</v>
      </c>
      <c r="D1003" s="1" t="s">
        <v>13</v>
      </c>
      <c r="E1003" s="1" t="s">
        <v>15</v>
      </c>
      <c r="F1003" s="1">
        <v>3018</v>
      </c>
      <c r="G1003" s="14">
        <v>28</v>
      </c>
      <c r="H1003" s="1">
        <v>0.14000000000000001</v>
      </c>
      <c r="I1003" s="14">
        <v>72673.440000000002</v>
      </c>
      <c r="J1003" s="14">
        <v>48891.6</v>
      </c>
      <c r="K1003" s="15">
        <f>Table5[[#This Row],[Selling Price]]*Table5[[#This Row],[Units Sold]]</f>
        <v>84504</v>
      </c>
      <c r="L1003" t="str">
        <f t="shared" si="15"/>
        <v>2024-11</v>
      </c>
      <c r="M1003" t="str">
        <f>VLOOKUP(Table5[[#This Row],[Store ID]],Table4[[Store ID]:[Store Location]],2)</f>
        <v>Birmingham</v>
      </c>
      <c r="N1003" t="str">
        <f>VLOOKUP(Table5[[#This Row],[Store ID]],Table4[[Store ID]:[Region]],3)</f>
        <v>Midlands</v>
      </c>
      <c r="O1003" t="str">
        <f>VLOOKUP(Table5[[#This Row],[Product ID]],'Product Master'!$A$2:$D$10,4)</f>
        <v>Supplier C</v>
      </c>
      <c r="P1003" s="15">
        <f>Table5[[#This Row],[Total Revenue]]-Table5[[#This Row],[Net Sales Revenue]]</f>
        <v>11830.559999999998</v>
      </c>
      <c r="Q1003" s="15">
        <f>Table5[[#This Row],[Net Sales Revenue]]/Table5[[#This Row],[Units Sold]]</f>
        <v>24.080000000000002</v>
      </c>
      <c r="R1003">
        <f>VLOOKUP(Table5[[#This Row],[Product ID]],'Product Master'!$A$1:$E$10,5,FALSE)</f>
        <v>15</v>
      </c>
      <c r="S1003" s="15">
        <f>Table5[[#This Row],[standard product cost per unit]]*Table5[[#This Row],[Units Sold]]</f>
        <v>45270</v>
      </c>
      <c r="T1003" s="15">
        <f>Table5[[#This Row],[Cost of Sales]]-Table5[[#This Row],[Standard cost]]</f>
        <v>3621.5999999999985</v>
      </c>
      <c r="U1003" s="15">
        <f>Table5[[#This Row],[Net Sales Revenue]]-Table5[[#This Row],[Cost of Sales]]</f>
        <v>23781.840000000004</v>
      </c>
      <c r="V1003" s="17">
        <f>Table5[[#This Row],[GrossProfit]]/Table5[[#This Row],[Net Sales Revenue]]</f>
        <v>0.32724252491694356</v>
      </c>
    </row>
    <row r="1004" spans="1:22" ht="14.25" customHeight="1" x14ac:dyDescent="0.25">
      <c r="A1004" s="1" t="s">
        <v>1092</v>
      </c>
      <c r="B1004" s="1" t="s">
        <v>1080</v>
      </c>
      <c r="C1004" s="1" t="s">
        <v>44</v>
      </c>
      <c r="D1004" s="1" t="s">
        <v>17</v>
      </c>
      <c r="E1004" s="1" t="s">
        <v>15</v>
      </c>
      <c r="F1004" s="1">
        <v>2789</v>
      </c>
      <c r="G1004" s="14">
        <v>35</v>
      </c>
      <c r="H1004" s="1">
        <v>0.13</v>
      </c>
      <c r="I1004" s="14">
        <v>84925.05</v>
      </c>
      <c r="J1004" s="14">
        <v>54218.16</v>
      </c>
      <c r="K1004" s="15">
        <f>Table5[[#This Row],[Selling Price]]*Table5[[#This Row],[Units Sold]]</f>
        <v>97615</v>
      </c>
      <c r="L1004" t="str">
        <f t="shared" si="15"/>
        <v>2024-11</v>
      </c>
      <c r="M1004" t="str">
        <f>VLOOKUP(Table5[[#This Row],[Store ID]],Table4[[Store ID]:[Store Location]],2)</f>
        <v>Birmingham</v>
      </c>
      <c r="N1004" t="str">
        <f>VLOOKUP(Table5[[#This Row],[Store ID]],Table4[[Store ID]:[Region]],3)</f>
        <v>Midlands</v>
      </c>
      <c r="O1004" t="str">
        <f>VLOOKUP(Table5[[#This Row],[Product ID]],'Product Master'!$A$2:$D$10,4)</f>
        <v>Supplier C</v>
      </c>
      <c r="P1004" s="15">
        <f>Table5[[#This Row],[Total Revenue]]-Table5[[#This Row],[Net Sales Revenue]]</f>
        <v>12689.949999999997</v>
      </c>
      <c r="Q1004" s="15">
        <f>Table5[[#This Row],[Net Sales Revenue]]/Table5[[#This Row],[Units Sold]]</f>
        <v>30.45</v>
      </c>
      <c r="R1004">
        <f>VLOOKUP(Table5[[#This Row],[Product ID]],'Product Master'!$A$1:$E$10,5,FALSE)</f>
        <v>18</v>
      </c>
      <c r="S1004" s="15">
        <f>Table5[[#This Row],[standard product cost per unit]]*Table5[[#This Row],[Units Sold]]</f>
        <v>50202</v>
      </c>
      <c r="T1004" s="15">
        <f>Table5[[#This Row],[Cost of Sales]]-Table5[[#This Row],[Standard cost]]</f>
        <v>4016.1600000000035</v>
      </c>
      <c r="U1004" s="15">
        <f>Table5[[#This Row],[Net Sales Revenue]]-Table5[[#This Row],[Cost of Sales]]</f>
        <v>30706.89</v>
      </c>
      <c r="V1004" s="17">
        <f>Table5[[#This Row],[GrossProfit]]/Table5[[#This Row],[Net Sales Revenue]]</f>
        <v>0.36157635467980292</v>
      </c>
    </row>
    <row r="1005" spans="1:22" ht="14.25" customHeight="1" x14ac:dyDescent="0.25">
      <c r="A1005" s="1" t="s">
        <v>1093</v>
      </c>
      <c r="B1005" s="1" t="s">
        <v>1080</v>
      </c>
      <c r="C1005" s="1" t="s">
        <v>44</v>
      </c>
      <c r="D1005" s="1" t="s">
        <v>19</v>
      </c>
      <c r="E1005" s="1" t="s">
        <v>21</v>
      </c>
      <c r="F1005" s="1">
        <v>3058</v>
      </c>
      <c r="G1005" s="14">
        <v>18</v>
      </c>
      <c r="H1005" s="1">
        <v>0.17</v>
      </c>
      <c r="I1005" s="14">
        <v>45686.52</v>
      </c>
      <c r="J1005" s="14">
        <v>29723.759999999998</v>
      </c>
      <c r="K1005" s="15">
        <f>Table5[[#This Row],[Selling Price]]*Table5[[#This Row],[Units Sold]]</f>
        <v>55044</v>
      </c>
      <c r="L1005" t="str">
        <f t="shared" si="15"/>
        <v>2024-11</v>
      </c>
      <c r="M1005" t="str">
        <f>VLOOKUP(Table5[[#This Row],[Store ID]],Table4[[Store ID]:[Store Location]],2)</f>
        <v>Birmingham</v>
      </c>
      <c r="N1005" t="str">
        <f>VLOOKUP(Table5[[#This Row],[Store ID]],Table4[[Store ID]:[Region]],3)</f>
        <v>Midlands</v>
      </c>
      <c r="O1005" t="str">
        <f>VLOOKUP(Table5[[#This Row],[Product ID]],'Product Master'!$A$2:$D$10,4)</f>
        <v>Supplier D</v>
      </c>
      <c r="P1005" s="15">
        <f>Table5[[#This Row],[Total Revenue]]-Table5[[#This Row],[Net Sales Revenue]]</f>
        <v>9357.4800000000032</v>
      </c>
      <c r="Q1005" s="15">
        <f>Table5[[#This Row],[Net Sales Revenue]]/Table5[[#This Row],[Units Sold]]</f>
        <v>14.94</v>
      </c>
      <c r="R1005">
        <f>VLOOKUP(Table5[[#This Row],[Product ID]],'Product Master'!$A$1:$E$10,5,FALSE)</f>
        <v>9</v>
      </c>
      <c r="S1005" s="15">
        <f>Table5[[#This Row],[standard product cost per unit]]*Table5[[#This Row],[Units Sold]]</f>
        <v>27522</v>
      </c>
      <c r="T1005" s="15">
        <f>Table5[[#This Row],[Cost of Sales]]-Table5[[#This Row],[Standard cost]]</f>
        <v>2201.7599999999984</v>
      </c>
      <c r="U1005" s="15">
        <f>Table5[[#This Row],[Net Sales Revenue]]-Table5[[#This Row],[Cost of Sales]]</f>
        <v>15962.759999999998</v>
      </c>
      <c r="V1005" s="17">
        <f>Table5[[#This Row],[GrossProfit]]/Table5[[#This Row],[Net Sales Revenue]]</f>
        <v>0.3493975903614458</v>
      </c>
    </row>
    <row r="1006" spans="1:22" ht="14.25" customHeight="1" x14ac:dyDescent="0.25">
      <c r="A1006" s="1" t="s">
        <v>1094</v>
      </c>
      <c r="B1006" s="1" t="s">
        <v>1080</v>
      </c>
      <c r="C1006" s="1" t="s">
        <v>44</v>
      </c>
      <c r="D1006" s="1" t="s">
        <v>23</v>
      </c>
      <c r="E1006" s="1" t="s">
        <v>21</v>
      </c>
      <c r="F1006" s="1">
        <v>1826</v>
      </c>
      <c r="G1006" s="14">
        <v>30</v>
      </c>
      <c r="H1006" s="1">
        <v>0.17</v>
      </c>
      <c r="I1006" s="14">
        <v>45467.4</v>
      </c>
      <c r="J1006" s="14">
        <v>27609.119999999999</v>
      </c>
      <c r="K1006" s="15">
        <f>Table5[[#This Row],[Selling Price]]*Table5[[#This Row],[Units Sold]]</f>
        <v>54780</v>
      </c>
      <c r="L1006" t="str">
        <f t="shared" si="15"/>
        <v>2024-11</v>
      </c>
      <c r="M1006" t="str">
        <f>VLOOKUP(Table5[[#This Row],[Store ID]],Table4[[Store ID]:[Store Location]],2)</f>
        <v>Birmingham</v>
      </c>
      <c r="N1006" t="str">
        <f>VLOOKUP(Table5[[#This Row],[Store ID]],Table4[[Store ID]:[Region]],3)</f>
        <v>Midlands</v>
      </c>
      <c r="O1006" t="str">
        <f>VLOOKUP(Table5[[#This Row],[Product ID]],'Product Master'!$A$2:$D$10,4)</f>
        <v>Supplier D</v>
      </c>
      <c r="P1006" s="15">
        <f>Table5[[#This Row],[Total Revenue]]-Table5[[#This Row],[Net Sales Revenue]]</f>
        <v>9312.5999999999985</v>
      </c>
      <c r="Q1006" s="15">
        <f>Table5[[#This Row],[Net Sales Revenue]]/Table5[[#This Row],[Units Sold]]</f>
        <v>24.900000000000002</v>
      </c>
      <c r="R1006">
        <f>VLOOKUP(Table5[[#This Row],[Product ID]],'Product Master'!$A$1:$E$10,5,FALSE)</f>
        <v>14</v>
      </c>
      <c r="S1006" s="15">
        <f>Table5[[#This Row],[standard product cost per unit]]*Table5[[#This Row],[Units Sold]]</f>
        <v>25564</v>
      </c>
      <c r="T1006" s="15">
        <f>Table5[[#This Row],[Cost of Sales]]-Table5[[#This Row],[Standard cost]]</f>
        <v>2045.119999999999</v>
      </c>
      <c r="U1006" s="15">
        <f>Table5[[#This Row],[Net Sales Revenue]]-Table5[[#This Row],[Cost of Sales]]</f>
        <v>17858.280000000002</v>
      </c>
      <c r="V1006" s="17">
        <f>Table5[[#This Row],[GrossProfit]]/Table5[[#This Row],[Net Sales Revenue]]</f>
        <v>0.39277108433734942</v>
      </c>
    </row>
    <row r="1007" spans="1:22" ht="14.25" customHeight="1" x14ac:dyDescent="0.25">
      <c r="A1007" s="1" t="s">
        <v>1095</v>
      </c>
      <c r="B1007" s="1" t="s">
        <v>1080</v>
      </c>
      <c r="C1007" s="1" t="s">
        <v>44</v>
      </c>
      <c r="D1007" s="1" t="s">
        <v>25</v>
      </c>
      <c r="E1007" s="1" t="s">
        <v>27</v>
      </c>
      <c r="F1007" s="1">
        <v>1350</v>
      </c>
      <c r="G1007" s="14">
        <v>40</v>
      </c>
      <c r="H1007" s="1">
        <v>0.13</v>
      </c>
      <c r="I1007" s="14">
        <v>46980</v>
      </c>
      <c r="J1007" s="14">
        <v>29160</v>
      </c>
      <c r="K1007" s="15">
        <f>Table5[[#This Row],[Selling Price]]*Table5[[#This Row],[Units Sold]]</f>
        <v>54000</v>
      </c>
      <c r="L1007" t="str">
        <f t="shared" si="15"/>
        <v>2024-11</v>
      </c>
      <c r="M1007" t="str">
        <f>VLOOKUP(Table5[[#This Row],[Store ID]],Table4[[Store ID]:[Store Location]],2)</f>
        <v>Birmingham</v>
      </c>
      <c r="N1007" t="str">
        <f>VLOOKUP(Table5[[#This Row],[Store ID]],Table4[[Store ID]:[Region]],3)</f>
        <v>Midlands</v>
      </c>
      <c r="O1007" t="str">
        <f>VLOOKUP(Table5[[#This Row],[Product ID]],'Product Master'!$A$2:$D$10,4)</f>
        <v>Supplier E</v>
      </c>
      <c r="P1007" s="15">
        <f>Table5[[#This Row],[Total Revenue]]-Table5[[#This Row],[Net Sales Revenue]]</f>
        <v>7020</v>
      </c>
      <c r="Q1007" s="15">
        <f>Table5[[#This Row],[Net Sales Revenue]]/Table5[[#This Row],[Units Sold]]</f>
        <v>34.799999999999997</v>
      </c>
      <c r="R1007">
        <f>VLOOKUP(Table5[[#This Row],[Product ID]],'Product Master'!$A$1:$E$10,5,FALSE)</f>
        <v>20</v>
      </c>
      <c r="S1007" s="15">
        <f>Table5[[#This Row],[standard product cost per unit]]*Table5[[#This Row],[Units Sold]]</f>
        <v>27000</v>
      </c>
      <c r="T1007" s="15">
        <f>Table5[[#This Row],[Cost of Sales]]-Table5[[#This Row],[Standard cost]]</f>
        <v>2160</v>
      </c>
      <c r="U1007" s="15">
        <f>Table5[[#This Row],[Net Sales Revenue]]-Table5[[#This Row],[Cost of Sales]]</f>
        <v>17820</v>
      </c>
      <c r="V1007" s="17">
        <f>Table5[[#This Row],[GrossProfit]]/Table5[[#This Row],[Net Sales Revenue]]</f>
        <v>0.37931034482758619</v>
      </c>
    </row>
    <row r="1008" spans="1:22" ht="14.25" customHeight="1" x14ac:dyDescent="0.25">
      <c r="A1008" s="1" t="s">
        <v>1096</v>
      </c>
      <c r="B1008" s="1" t="s">
        <v>1080</v>
      </c>
      <c r="C1008" s="1" t="s">
        <v>44</v>
      </c>
      <c r="D1008" s="1" t="s">
        <v>29</v>
      </c>
      <c r="E1008" s="1" t="s">
        <v>31</v>
      </c>
      <c r="F1008" s="1">
        <v>2173</v>
      </c>
      <c r="G1008" s="14">
        <v>10</v>
      </c>
      <c r="H1008" s="1">
        <v>0.14000000000000001</v>
      </c>
      <c r="I1008" s="14">
        <v>18687.8</v>
      </c>
      <c r="J1008" s="14">
        <v>9387.36</v>
      </c>
      <c r="K1008" s="15">
        <f>Table5[[#This Row],[Selling Price]]*Table5[[#This Row],[Units Sold]]</f>
        <v>21730</v>
      </c>
      <c r="L1008" t="str">
        <f t="shared" si="15"/>
        <v>2024-11</v>
      </c>
      <c r="M1008" t="str">
        <f>VLOOKUP(Table5[[#This Row],[Store ID]],Table4[[Store ID]:[Store Location]],2)</f>
        <v>Birmingham</v>
      </c>
      <c r="N1008" t="str">
        <f>VLOOKUP(Table5[[#This Row],[Store ID]],Table4[[Store ID]:[Region]],3)</f>
        <v>Midlands</v>
      </c>
      <c r="O1008" t="str">
        <f>VLOOKUP(Table5[[#This Row],[Product ID]],'Product Master'!$A$2:$D$10,4)</f>
        <v>Supplier F</v>
      </c>
      <c r="P1008" s="15">
        <f>Table5[[#This Row],[Total Revenue]]-Table5[[#This Row],[Net Sales Revenue]]</f>
        <v>3042.2000000000007</v>
      </c>
      <c r="Q1008" s="15">
        <f>Table5[[#This Row],[Net Sales Revenue]]/Table5[[#This Row],[Units Sold]]</f>
        <v>8.6</v>
      </c>
      <c r="R1008">
        <f>VLOOKUP(Table5[[#This Row],[Product ID]],'Product Master'!$A$1:$E$10,5,FALSE)</f>
        <v>4</v>
      </c>
      <c r="S1008" s="15">
        <f>Table5[[#This Row],[standard product cost per unit]]*Table5[[#This Row],[Units Sold]]</f>
        <v>8692</v>
      </c>
      <c r="T1008" s="15">
        <f>Table5[[#This Row],[Cost of Sales]]-Table5[[#This Row],[Standard cost]]</f>
        <v>695.36000000000058</v>
      </c>
      <c r="U1008" s="15">
        <f>Table5[[#This Row],[Net Sales Revenue]]-Table5[[#This Row],[Cost of Sales]]</f>
        <v>9300.4399999999987</v>
      </c>
      <c r="V1008" s="17">
        <f>Table5[[#This Row],[GrossProfit]]/Table5[[#This Row],[Net Sales Revenue]]</f>
        <v>0.49767441860465111</v>
      </c>
    </row>
    <row r="1009" spans="1:22" ht="14.25" customHeight="1" x14ac:dyDescent="0.25">
      <c r="A1009" s="1" t="s">
        <v>1097</v>
      </c>
      <c r="B1009" s="1" t="s">
        <v>1080</v>
      </c>
      <c r="C1009" s="1" t="s">
        <v>44</v>
      </c>
      <c r="D1009" s="1" t="s">
        <v>33</v>
      </c>
      <c r="E1009" s="1" t="s">
        <v>31</v>
      </c>
      <c r="F1009" s="1">
        <v>1658</v>
      </c>
      <c r="G1009" s="14">
        <v>22</v>
      </c>
      <c r="H1009" s="1">
        <v>0.15</v>
      </c>
      <c r="I1009" s="14">
        <v>31004.6</v>
      </c>
      <c r="J1009" s="14">
        <v>17906.400000000001</v>
      </c>
      <c r="K1009" s="15">
        <f>Table5[[#This Row],[Selling Price]]*Table5[[#This Row],[Units Sold]]</f>
        <v>36476</v>
      </c>
      <c r="L1009" t="str">
        <f t="shared" si="15"/>
        <v>2024-11</v>
      </c>
      <c r="M1009" t="str">
        <f>VLOOKUP(Table5[[#This Row],[Store ID]],Table4[[Store ID]:[Store Location]],2)</f>
        <v>Birmingham</v>
      </c>
      <c r="N1009" t="str">
        <f>VLOOKUP(Table5[[#This Row],[Store ID]],Table4[[Store ID]:[Region]],3)</f>
        <v>Midlands</v>
      </c>
      <c r="O1009" t="str">
        <f>VLOOKUP(Table5[[#This Row],[Product ID]],'Product Master'!$A$2:$D$10,4)</f>
        <v>Supplier F</v>
      </c>
      <c r="P1009" s="15">
        <f>Table5[[#This Row],[Total Revenue]]-Table5[[#This Row],[Net Sales Revenue]]</f>
        <v>5471.4000000000015</v>
      </c>
      <c r="Q1009" s="15">
        <f>Table5[[#This Row],[Net Sales Revenue]]/Table5[[#This Row],[Units Sold]]</f>
        <v>18.7</v>
      </c>
      <c r="R1009">
        <f>VLOOKUP(Table5[[#This Row],[Product ID]],'Product Master'!$A$1:$E$10,5,FALSE)</f>
        <v>10</v>
      </c>
      <c r="S1009" s="15">
        <f>Table5[[#This Row],[standard product cost per unit]]*Table5[[#This Row],[Units Sold]]</f>
        <v>16580</v>
      </c>
      <c r="T1009" s="15">
        <f>Table5[[#This Row],[Cost of Sales]]-Table5[[#This Row],[Standard cost]]</f>
        <v>1326.4000000000015</v>
      </c>
      <c r="U1009" s="15">
        <f>Table5[[#This Row],[Net Sales Revenue]]-Table5[[#This Row],[Cost of Sales]]</f>
        <v>13098.199999999997</v>
      </c>
      <c r="V1009" s="17">
        <f>Table5[[#This Row],[GrossProfit]]/Table5[[#This Row],[Net Sales Revenue]]</f>
        <v>0.42245989304812825</v>
      </c>
    </row>
    <row r="1010" spans="1:22" ht="14.25" customHeight="1" x14ac:dyDescent="0.25">
      <c r="A1010" s="1" t="s">
        <v>1098</v>
      </c>
      <c r="B1010" s="1" t="s">
        <v>1080</v>
      </c>
      <c r="C1010" s="1" t="s">
        <v>48</v>
      </c>
      <c r="D1010" s="1" t="s">
        <v>6</v>
      </c>
      <c r="E1010" s="1" t="s">
        <v>8</v>
      </c>
      <c r="F1010" s="1">
        <v>2934</v>
      </c>
      <c r="G1010" s="14">
        <v>24</v>
      </c>
      <c r="H1010" s="1">
        <v>0.15</v>
      </c>
      <c r="I1010" s="14">
        <v>59853.599999999999</v>
      </c>
      <c r="J1010" s="14">
        <v>38024.639999999999</v>
      </c>
      <c r="K1010" s="15">
        <f>Table5[[#This Row],[Selling Price]]*Table5[[#This Row],[Units Sold]]</f>
        <v>70416</v>
      </c>
      <c r="L1010" t="str">
        <f t="shared" si="15"/>
        <v>2024-11</v>
      </c>
      <c r="M1010" t="str">
        <f>VLOOKUP(Table5[[#This Row],[Store ID]],Table4[[Store ID]:[Store Location]],2)</f>
        <v>London Stratford</v>
      </c>
      <c r="N1010" t="str">
        <f>VLOOKUP(Table5[[#This Row],[Store ID]],Table4[[Store ID]:[Region]],3)</f>
        <v>South</v>
      </c>
      <c r="O1010" t="str">
        <f>VLOOKUP(Table5[[#This Row],[Product ID]],'Product Master'!$A$2:$D$10,4)</f>
        <v>Supplier A</v>
      </c>
      <c r="P1010" s="15">
        <f>Table5[[#This Row],[Total Revenue]]-Table5[[#This Row],[Net Sales Revenue]]</f>
        <v>10562.400000000001</v>
      </c>
      <c r="Q1010" s="15">
        <f>Table5[[#This Row],[Net Sales Revenue]]/Table5[[#This Row],[Units Sold]]</f>
        <v>20.399999999999999</v>
      </c>
      <c r="R1010">
        <f>VLOOKUP(Table5[[#This Row],[Product ID]],'Product Master'!$A$1:$E$10,5,FALSE)</f>
        <v>12</v>
      </c>
      <c r="S1010" s="15">
        <f>Table5[[#This Row],[standard product cost per unit]]*Table5[[#This Row],[Units Sold]]</f>
        <v>35208</v>
      </c>
      <c r="T1010" s="15">
        <f>Table5[[#This Row],[Cost of Sales]]-Table5[[#This Row],[Standard cost]]</f>
        <v>2816.6399999999994</v>
      </c>
      <c r="U1010" s="15">
        <f>Table5[[#This Row],[Net Sales Revenue]]-Table5[[#This Row],[Cost of Sales]]</f>
        <v>21828.959999999999</v>
      </c>
      <c r="V1010" s="17">
        <f>Table5[[#This Row],[GrossProfit]]/Table5[[#This Row],[Net Sales Revenue]]</f>
        <v>0.36470588235294116</v>
      </c>
    </row>
    <row r="1011" spans="1:22" ht="14.25" customHeight="1" x14ac:dyDescent="0.25">
      <c r="A1011" s="1" t="s">
        <v>1099</v>
      </c>
      <c r="B1011" s="1" t="s">
        <v>1080</v>
      </c>
      <c r="C1011" s="1" t="s">
        <v>48</v>
      </c>
      <c r="D1011" s="1" t="s">
        <v>10</v>
      </c>
      <c r="E1011" s="1" t="s">
        <v>8</v>
      </c>
      <c r="F1011" s="1">
        <v>3053</v>
      </c>
      <c r="G1011" s="14">
        <v>50</v>
      </c>
      <c r="H1011" s="1">
        <v>0.12</v>
      </c>
      <c r="I1011" s="14">
        <v>134332</v>
      </c>
      <c r="J1011" s="14">
        <v>92322.72</v>
      </c>
      <c r="K1011" s="15">
        <f>Table5[[#This Row],[Selling Price]]*Table5[[#This Row],[Units Sold]]</f>
        <v>152650</v>
      </c>
      <c r="L1011" t="str">
        <f t="shared" si="15"/>
        <v>2024-11</v>
      </c>
      <c r="M1011" t="str">
        <f>VLOOKUP(Table5[[#This Row],[Store ID]],Table4[[Store ID]:[Store Location]],2)</f>
        <v>London Stratford</v>
      </c>
      <c r="N1011" t="str">
        <f>VLOOKUP(Table5[[#This Row],[Store ID]],Table4[[Store ID]:[Region]],3)</f>
        <v>South</v>
      </c>
      <c r="O1011" t="str">
        <f>VLOOKUP(Table5[[#This Row],[Product ID]],'Product Master'!$A$2:$D$10,4)</f>
        <v>Supplier B</v>
      </c>
      <c r="P1011" s="15">
        <f>Table5[[#This Row],[Total Revenue]]-Table5[[#This Row],[Net Sales Revenue]]</f>
        <v>18318</v>
      </c>
      <c r="Q1011" s="15">
        <f>Table5[[#This Row],[Net Sales Revenue]]/Table5[[#This Row],[Units Sold]]</f>
        <v>44</v>
      </c>
      <c r="R1011">
        <f>VLOOKUP(Table5[[#This Row],[Product ID]],'Product Master'!$A$1:$E$10,5,FALSE)</f>
        <v>28</v>
      </c>
      <c r="S1011" s="15">
        <f>Table5[[#This Row],[standard product cost per unit]]*Table5[[#This Row],[Units Sold]]</f>
        <v>85484</v>
      </c>
      <c r="T1011" s="15">
        <f>Table5[[#This Row],[Cost of Sales]]-Table5[[#This Row],[Standard cost]]</f>
        <v>6838.7200000000012</v>
      </c>
      <c r="U1011" s="15">
        <f>Table5[[#This Row],[Net Sales Revenue]]-Table5[[#This Row],[Cost of Sales]]</f>
        <v>42009.279999999999</v>
      </c>
      <c r="V1011" s="17">
        <f>Table5[[#This Row],[GrossProfit]]/Table5[[#This Row],[Net Sales Revenue]]</f>
        <v>0.31272727272727274</v>
      </c>
    </row>
    <row r="1012" spans="1:22" ht="14.25" customHeight="1" x14ac:dyDescent="0.25">
      <c r="A1012" s="1" t="s">
        <v>1100</v>
      </c>
      <c r="B1012" s="1" t="s">
        <v>1080</v>
      </c>
      <c r="C1012" s="1" t="s">
        <v>48</v>
      </c>
      <c r="D1012" s="1" t="s">
        <v>13</v>
      </c>
      <c r="E1012" s="1" t="s">
        <v>15</v>
      </c>
      <c r="F1012" s="1">
        <v>2094</v>
      </c>
      <c r="G1012" s="14">
        <v>28</v>
      </c>
      <c r="H1012" s="1">
        <v>0.16</v>
      </c>
      <c r="I1012" s="14">
        <v>49250.879999999997</v>
      </c>
      <c r="J1012" s="14">
        <v>33922.800000000003</v>
      </c>
      <c r="K1012" s="15">
        <f>Table5[[#This Row],[Selling Price]]*Table5[[#This Row],[Units Sold]]</f>
        <v>58632</v>
      </c>
      <c r="L1012" t="str">
        <f t="shared" si="15"/>
        <v>2024-11</v>
      </c>
      <c r="M1012" t="str">
        <f>VLOOKUP(Table5[[#This Row],[Store ID]],Table4[[Store ID]:[Store Location]],2)</f>
        <v>London Stratford</v>
      </c>
      <c r="N1012" t="str">
        <f>VLOOKUP(Table5[[#This Row],[Store ID]],Table4[[Store ID]:[Region]],3)</f>
        <v>South</v>
      </c>
      <c r="O1012" t="str">
        <f>VLOOKUP(Table5[[#This Row],[Product ID]],'Product Master'!$A$2:$D$10,4)</f>
        <v>Supplier C</v>
      </c>
      <c r="P1012" s="15">
        <f>Table5[[#This Row],[Total Revenue]]-Table5[[#This Row],[Net Sales Revenue]]</f>
        <v>9381.1200000000026</v>
      </c>
      <c r="Q1012" s="15">
        <f>Table5[[#This Row],[Net Sales Revenue]]/Table5[[#This Row],[Units Sold]]</f>
        <v>23.52</v>
      </c>
      <c r="R1012">
        <f>VLOOKUP(Table5[[#This Row],[Product ID]],'Product Master'!$A$1:$E$10,5,FALSE)</f>
        <v>15</v>
      </c>
      <c r="S1012" s="15">
        <f>Table5[[#This Row],[standard product cost per unit]]*Table5[[#This Row],[Units Sold]]</f>
        <v>31410</v>
      </c>
      <c r="T1012" s="15">
        <f>Table5[[#This Row],[Cost of Sales]]-Table5[[#This Row],[Standard cost]]</f>
        <v>2512.8000000000029</v>
      </c>
      <c r="U1012" s="15">
        <f>Table5[[#This Row],[Net Sales Revenue]]-Table5[[#This Row],[Cost of Sales]]</f>
        <v>15328.079999999994</v>
      </c>
      <c r="V1012" s="17">
        <f>Table5[[#This Row],[GrossProfit]]/Table5[[#This Row],[Net Sales Revenue]]</f>
        <v>0.31122448979591827</v>
      </c>
    </row>
    <row r="1013" spans="1:22" ht="14.25" customHeight="1" x14ac:dyDescent="0.25">
      <c r="A1013" s="1" t="s">
        <v>1101</v>
      </c>
      <c r="B1013" s="1" t="s">
        <v>1080</v>
      </c>
      <c r="C1013" s="1" t="s">
        <v>48</v>
      </c>
      <c r="D1013" s="1" t="s">
        <v>17</v>
      </c>
      <c r="E1013" s="1" t="s">
        <v>15</v>
      </c>
      <c r="F1013" s="1">
        <v>3062</v>
      </c>
      <c r="G1013" s="14">
        <v>35</v>
      </c>
      <c r="H1013" s="1">
        <v>0.16</v>
      </c>
      <c r="I1013" s="14">
        <v>90022.8</v>
      </c>
      <c r="J1013" s="14">
        <v>59525.279999999999</v>
      </c>
      <c r="K1013" s="15">
        <f>Table5[[#This Row],[Selling Price]]*Table5[[#This Row],[Units Sold]]</f>
        <v>107170</v>
      </c>
      <c r="L1013" t="str">
        <f t="shared" si="15"/>
        <v>2024-11</v>
      </c>
      <c r="M1013" t="str">
        <f>VLOOKUP(Table5[[#This Row],[Store ID]],Table4[[Store ID]:[Store Location]],2)</f>
        <v>London Stratford</v>
      </c>
      <c r="N1013" t="str">
        <f>VLOOKUP(Table5[[#This Row],[Store ID]],Table4[[Store ID]:[Region]],3)</f>
        <v>South</v>
      </c>
      <c r="O1013" t="str">
        <f>VLOOKUP(Table5[[#This Row],[Product ID]],'Product Master'!$A$2:$D$10,4)</f>
        <v>Supplier C</v>
      </c>
      <c r="P1013" s="15">
        <f>Table5[[#This Row],[Total Revenue]]-Table5[[#This Row],[Net Sales Revenue]]</f>
        <v>17147.199999999997</v>
      </c>
      <c r="Q1013" s="15">
        <f>Table5[[#This Row],[Net Sales Revenue]]/Table5[[#This Row],[Units Sold]]</f>
        <v>29.400000000000002</v>
      </c>
      <c r="R1013">
        <f>VLOOKUP(Table5[[#This Row],[Product ID]],'Product Master'!$A$1:$E$10,5,FALSE)</f>
        <v>18</v>
      </c>
      <c r="S1013" s="15">
        <f>Table5[[#This Row],[standard product cost per unit]]*Table5[[#This Row],[Units Sold]]</f>
        <v>55116</v>
      </c>
      <c r="T1013" s="15">
        <f>Table5[[#This Row],[Cost of Sales]]-Table5[[#This Row],[Standard cost]]</f>
        <v>4409.2799999999988</v>
      </c>
      <c r="U1013" s="15">
        <f>Table5[[#This Row],[Net Sales Revenue]]-Table5[[#This Row],[Cost of Sales]]</f>
        <v>30497.520000000004</v>
      </c>
      <c r="V1013" s="17">
        <f>Table5[[#This Row],[GrossProfit]]/Table5[[#This Row],[Net Sales Revenue]]</f>
        <v>0.33877551020408164</v>
      </c>
    </row>
    <row r="1014" spans="1:22" ht="14.25" customHeight="1" x14ac:dyDescent="0.25">
      <c r="A1014" s="1" t="s">
        <v>1102</v>
      </c>
      <c r="B1014" s="1" t="s">
        <v>1080</v>
      </c>
      <c r="C1014" s="1" t="s">
        <v>48</v>
      </c>
      <c r="D1014" s="1" t="s">
        <v>19</v>
      </c>
      <c r="E1014" s="1" t="s">
        <v>21</v>
      </c>
      <c r="F1014" s="1">
        <v>1531</v>
      </c>
      <c r="G1014" s="14">
        <v>18</v>
      </c>
      <c r="H1014" s="1">
        <v>0.15</v>
      </c>
      <c r="I1014" s="14">
        <v>23424.3</v>
      </c>
      <c r="J1014" s="14">
        <v>14881.32</v>
      </c>
      <c r="K1014" s="15">
        <f>Table5[[#This Row],[Selling Price]]*Table5[[#This Row],[Units Sold]]</f>
        <v>27558</v>
      </c>
      <c r="L1014" t="str">
        <f t="shared" si="15"/>
        <v>2024-11</v>
      </c>
      <c r="M1014" t="str">
        <f>VLOOKUP(Table5[[#This Row],[Store ID]],Table4[[Store ID]:[Store Location]],2)</f>
        <v>London Stratford</v>
      </c>
      <c r="N1014" t="str">
        <f>VLOOKUP(Table5[[#This Row],[Store ID]],Table4[[Store ID]:[Region]],3)</f>
        <v>South</v>
      </c>
      <c r="O1014" t="str">
        <f>VLOOKUP(Table5[[#This Row],[Product ID]],'Product Master'!$A$2:$D$10,4)</f>
        <v>Supplier D</v>
      </c>
      <c r="P1014" s="15">
        <f>Table5[[#This Row],[Total Revenue]]-Table5[[#This Row],[Net Sales Revenue]]</f>
        <v>4133.7000000000007</v>
      </c>
      <c r="Q1014" s="15">
        <f>Table5[[#This Row],[Net Sales Revenue]]/Table5[[#This Row],[Units Sold]]</f>
        <v>15.299999999999999</v>
      </c>
      <c r="R1014">
        <f>VLOOKUP(Table5[[#This Row],[Product ID]],'Product Master'!$A$1:$E$10,5,FALSE)</f>
        <v>9</v>
      </c>
      <c r="S1014" s="15">
        <f>Table5[[#This Row],[standard product cost per unit]]*Table5[[#This Row],[Units Sold]]</f>
        <v>13779</v>
      </c>
      <c r="T1014" s="15">
        <f>Table5[[#This Row],[Cost of Sales]]-Table5[[#This Row],[Standard cost]]</f>
        <v>1102.3199999999997</v>
      </c>
      <c r="U1014" s="15">
        <f>Table5[[#This Row],[Net Sales Revenue]]-Table5[[#This Row],[Cost of Sales]]</f>
        <v>8542.98</v>
      </c>
      <c r="V1014" s="17">
        <f>Table5[[#This Row],[GrossProfit]]/Table5[[#This Row],[Net Sales Revenue]]</f>
        <v>0.36470588235294116</v>
      </c>
    </row>
    <row r="1015" spans="1:22" ht="14.25" customHeight="1" x14ac:dyDescent="0.25">
      <c r="A1015" s="1" t="s">
        <v>1103</v>
      </c>
      <c r="B1015" s="1" t="s">
        <v>1080</v>
      </c>
      <c r="C1015" s="1" t="s">
        <v>48</v>
      </c>
      <c r="D1015" s="1" t="s">
        <v>23</v>
      </c>
      <c r="E1015" s="1" t="s">
        <v>21</v>
      </c>
      <c r="F1015" s="1">
        <v>1579</v>
      </c>
      <c r="G1015" s="14">
        <v>30</v>
      </c>
      <c r="H1015" s="1">
        <v>0.13</v>
      </c>
      <c r="I1015" s="14">
        <v>41211.9</v>
      </c>
      <c r="J1015" s="14">
        <v>23874.48</v>
      </c>
      <c r="K1015" s="15">
        <f>Table5[[#This Row],[Selling Price]]*Table5[[#This Row],[Units Sold]]</f>
        <v>47370</v>
      </c>
      <c r="L1015" t="str">
        <f t="shared" si="15"/>
        <v>2024-11</v>
      </c>
      <c r="M1015" t="str">
        <f>VLOOKUP(Table5[[#This Row],[Store ID]],Table4[[Store ID]:[Store Location]],2)</f>
        <v>London Stratford</v>
      </c>
      <c r="N1015" t="str">
        <f>VLOOKUP(Table5[[#This Row],[Store ID]],Table4[[Store ID]:[Region]],3)</f>
        <v>South</v>
      </c>
      <c r="O1015" t="str">
        <f>VLOOKUP(Table5[[#This Row],[Product ID]],'Product Master'!$A$2:$D$10,4)</f>
        <v>Supplier D</v>
      </c>
      <c r="P1015" s="15">
        <f>Table5[[#This Row],[Total Revenue]]-Table5[[#This Row],[Net Sales Revenue]]</f>
        <v>6158.0999999999985</v>
      </c>
      <c r="Q1015" s="15">
        <f>Table5[[#This Row],[Net Sales Revenue]]/Table5[[#This Row],[Units Sold]]</f>
        <v>26.1</v>
      </c>
      <c r="R1015">
        <f>VLOOKUP(Table5[[#This Row],[Product ID]],'Product Master'!$A$1:$E$10,5,FALSE)</f>
        <v>14</v>
      </c>
      <c r="S1015" s="15">
        <f>Table5[[#This Row],[standard product cost per unit]]*Table5[[#This Row],[Units Sold]]</f>
        <v>22106</v>
      </c>
      <c r="T1015" s="15">
        <f>Table5[[#This Row],[Cost of Sales]]-Table5[[#This Row],[Standard cost]]</f>
        <v>1768.4799999999996</v>
      </c>
      <c r="U1015" s="15">
        <f>Table5[[#This Row],[Net Sales Revenue]]-Table5[[#This Row],[Cost of Sales]]</f>
        <v>17337.420000000002</v>
      </c>
      <c r="V1015" s="17">
        <f>Table5[[#This Row],[GrossProfit]]/Table5[[#This Row],[Net Sales Revenue]]</f>
        <v>0.4206896551724138</v>
      </c>
    </row>
    <row r="1016" spans="1:22" ht="14.25" customHeight="1" x14ac:dyDescent="0.25">
      <c r="A1016" s="1" t="s">
        <v>1104</v>
      </c>
      <c r="B1016" s="1" t="s">
        <v>1080</v>
      </c>
      <c r="C1016" s="1" t="s">
        <v>48</v>
      </c>
      <c r="D1016" s="1" t="s">
        <v>25</v>
      </c>
      <c r="E1016" s="1" t="s">
        <v>27</v>
      </c>
      <c r="F1016" s="1">
        <v>2222</v>
      </c>
      <c r="G1016" s="14">
        <v>40</v>
      </c>
      <c r="H1016" s="1">
        <v>0.14000000000000001</v>
      </c>
      <c r="I1016" s="14">
        <v>76436.800000000003</v>
      </c>
      <c r="J1016" s="14">
        <v>47995.199999999997</v>
      </c>
      <c r="K1016" s="15">
        <f>Table5[[#This Row],[Selling Price]]*Table5[[#This Row],[Units Sold]]</f>
        <v>88880</v>
      </c>
      <c r="L1016" t="str">
        <f t="shared" si="15"/>
        <v>2024-11</v>
      </c>
      <c r="M1016" t="str">
        <f>VLOOKUP(Table5[[#This Row],[Store ID]],Table4[[Store ID]:[Store Location]],2)</f>
        <v>London Stratford</v>
      </c>
      <c r="N1016" t="str">
        <f>VLOOKUP(Table5[[#This Row],[Store ID]],Table4[[Store ID]:[Region]],3)</f>
        <v>South</v>
      </c>
      <c r="O1016" t="str">
        <f>VLOOKUP(Table5[[#This Row],[Product ID]],'Product Master'!$A$2:$D$10,4)</f>
        <v>Supplier E</v>
      </c>
      <c r="P1016" s="15">
        <f>Table5[[#This Row],[Total Revenue]]-Table5[[#This Row],[Net Sales Revenue]]</f>
        <v>12443.199999999997</v>
      </c>
      <c r="Q1016" s="15">
        <f>Table5[[#This Row],[Net Sales Revenue]]/Table5[[#This Row],[Units Sold]]</f>
        <v>34.4</v>
      </c>
      <c r="R1016">
        <f>VLOOKUP(Table5[[#This Row],[Product ID]],'Product Master'!$A$1:$E$10,5,FALSE)</f>
        <v>20</v>
      </c>
      <c r="S1016" s="15">
        <f>Table5[[#This Row],[standard product cost per unit]]*Table5[[#This Row],[Units Sold]]</f>
        <v>44440</v>
      </c>
      <c r="T1016" s="15">
        <f>Table5[[#This Row],[Cost of Sales]]-Table5[[#This Row],[Standard cost]]</f>
        <v>3555.1999999999971</v>
      </c>
      <c r="U1016" s="15">
        <f>Table5[[#This Row],[Net Sales Revenue]]-Table5[[#This Row],[Cost of Sales]]</f>
        <v>28441.600000000006</v>
      </c>
      <c r="V1016" s="17">
        <f>Table5[[#This Row],[GrossProfit]]/Table5[[#This Row],[Net Sales Revenue]]</f>
        <v>0.372093023255814</v>
      </c>
    </row>
    <row r="1017" spans="1:22" ht="14.25" customHeight="1" x14ac:dyDescent="0.25">
      <c r="A1017" s="1" t="s">
        <v>1105</v>
      </c>
      <c r="B1017" s="1" t="s">
        <v>1080</v>
      </c>
      <c r="C1017" s="1" t="s">
        <v>48</v>
      </c>
      <c r="D1017" s="1" t="s">
        <v>29</v>
      </c>
      <c r="E1017" s="1" t="s">
        <v>31</v>
      </c>
      <c r="F1017" s="1">
        <v>1526</v>
      </c>
      <c r="G1017" s="14">
        <v>10</v>
      </c>
      <c r="H1017" s="1">
        <v>0.15</v>
      </c>
      <c r="I1017" s="14">
        <v>12971</v>
      </c>
      <c r="J1017" s="14">
        <v>6592.32</v>
      </c>
      <c r="K1017" s="15">
        <f>Table5[[#This Row],[Selling Price]]*Table5[[#This Row],[Units Sold]]</f>
        <v>15260</v>
      </c>
      <c r="L1017" t="str">
        <f t="shared" si="15"/>
        <v>2024-11</v>
      </c>
      <c r="M1017" t="str">
        <f>VLOOKUP(Table5[[#This Row],[Store ID]],Table4[[Store ID]:[Store Location]],2)</f>
        <v>London Stratford</v>
      </c>
      <c r="N1017" t="str">
        <f>VLOOKUP(Table5[[#This Row],[Store ID]],Table4[[Store ID]:[Region]],3)</f>
        <v>South</v>
      </c>
      <c r="O1017" t="str">
        <f>VLOOKUP(Table5[[#This Row],[Product ID]],'Product Master'!$A$2:$D$10,4)</f>
        <v>Supplier F</v>
      </c>
      <c r="P1017" s="15">
        <f>Table5[[#This Row],[Total Revenue]]-Table5[[#This Row],[Net Sales Revenue]]</f>
        <v>2289</v>
      </c>
      <c r="Q1017" s="15">
        <f>Table5[[#This Row],[Net Sales Revenue]]/Table5[[#This Row],[Units Sold]]</f>
        <v>8.5</v>
      </c>
      <c r="R1017">
        <f>VLOOKUP(Table5[[#This Row],[Product ID]],'Product Master'!$A$1:$E$10,5,FALSE)</f>
        <v>4</v>
      </c>
      <c r="S1017" s="15">
        <f>Table5[[#This Row],[standard product cost per unit]]*Table5[[#This Row],[Units Sold]]</f>
        <v>6104</v>
      </c>
      <c r="T1017" s="15">
        <f>Table5[[#This Row],[Cost of Sales]]-Table5[[#This Row],[Standard cost]]</f>
        <v>488.31999999999971</v>
      </c>
      <c r="U1017" s="15">
        <f>Table5[[#This Row],[Net Sales Revenue]]-Table5[[#This Row],[Cost of Sales]]</f>
        <v>6378.68</v>
      </c>
      <c r="V1017" s="17">
        <f>Table5[[#This Row],[GrossProfit]]/Table5[[#This Row],[Net Sales Revenue]]</f>
        <v>0.49176470588235294</v>
      </c>
    </row>
    <row r="1018" spans="1:22" ht="14.25" customHeight="1" x14ac:dyDescent="0.25">
      <c r="A1018" s="1" t="s">
        <v>1106</v>
      </c>
      <c r="B1018" s="1" t="s">
        <v>1080</v>
      </c>
      <c r="C1018" s="1" t="s">
        <v>48</v>
      </c>
      <c r="D1018" s="1" t="s">
        <v>33</v>
      </c>
      <c r="E1018" s="1" t="s">
        <v>31</v>
      </c>
      <c r="F1018" s="1">
        <v>1993</v>
      </c>
      <c r="G1018" s="14">
        <v>22</v>
      </c>
      <c r="H1018" s="1">
        <v>0.14000000000000001</v>
      </c>
      <c r="I1018" s="14">
        <v>37707.56</v>
      </c>
      <c r="J1018" s="14">
        <v>21524.400000000001</v>
      </c>
      <c r="K1018" s="15">
        <f>Table5[[#This Row],[Selling Price]]*Table5[[#This Row],[Units Sold]]</f>
        <v>43846</v>
      </c>
      <c r="L1018" t="str">
        <f t="shared" si="15"/>
        <v>2024-11</v>
      </c>
      <c r="M1018" t="str">
        <f>VLOOKUP(Table5[[#This Row],[Store ID]],Table4[[Store ID]:[Store Location]],2)</f>
        <v>London Stratford</v>
      </c>
      <c r="N1018" t="str">
        <f>VLOOKUP(Table5[[#This Row],[Store ID]],Table4[[Store ID]:[Region]],3)</f>
        <v>South</v>
      </c>
      <c r="O1018" t="str">
        <f>VLOOKUP(Table5[[#This Row],[Product ID]],'Product Master'!$A$2:$D$10,4)</f>
        <v>Supplier F</v>
      </c>
      <c r="P1018" s="15">
        <f>Table5[[#This Row],[Total Revenue]]-Table5[[#This Row],[Net Sales Revenue]]</f>
        <v>6138.4400000000023</v>
      </c>
      <c r="Q1018" s="15">
        <f>Table5[[#This Row],[Net Sales Revenue]]/Table5[[#This Row],[Units Sold]]</f>
        <v>18.919999999999998</v>
      </c>
      <c r="R1018">
        <f>VLOOKUP(Table5[[#This Row],[Product ID]],'Product Master'!$A$1:$E$10,5,FALSE)</f>
        <v>10</v>
      </c>
      <c r="S1018" s="15">
        <f>Table5[[#This Row],[standard product cost per unit]]*Table5[[#This Row],[Units Sold]]</f>
        <v>19930</v>
      </c>
      <c r="T1018" s="15">
        <f>Table5[[#This Row],[Cost of Sales]]-Table5[[#This Row],[Standard cost]]</f>
        <v>1594.4000000000015</v>
      </c>
      <c r="U1018" s="15">
        <f>Table5[[#This Row],[Net Sales Revenue]]-Table5[[#This Row],[Cost of Sales]]</f>
        <v>16183.159999999996</v>
      </c>
      <c r="V1018" s="17">
        <f>Table5[[#This Row],[GrossProfit]]/Table5[[#This Row],[Net Sales Revenue]]</f>
        <v>0.42917547568710351</v>
      </c>
    </row>
    <row r="1019" spans="1:22" ht="14.25" customHeight="1" x14ac:dyDescent="0.25">
      <c r="A1019" s="1" t="s">
        <v>1107</v>
      </c>
      <c r="B1019" s="1" t="s">
        <v>1080</v>
      </c>
      <c r="C1019" s="1" t="s">
        <v>52</v>
      </c>
      <c r="D1019" s="1" t="s">
        <v>6</v>
      </c>
      <c r="E1019" s="1" t="s">
        <v>8</v>
      </c>
      <c r="F1019" s="1">
        <v>1795</v>
      </c>
      <c r="G1019" s="14">
        <v>24</v>
      </c>
      <c r="H1019" s="1">
        <v>0.12</v>
      </c>
      <c r="I1019" s="14">
        <v>37910.400000000001</v>
      </c>
      <c r="J1019" s="14">
        <v>23263.200000000001</v>
      </c>
      <c r="K1019" s="15">
        <f>Table5[[#This Row],[Selling Price]]*Table5[[#This Row],[Units Sold]]</f>
        <v>43080</v>
      </c>
      <c r="L1019" t="str">
        <f t="shared" si="15"/>
        <v>2024-11</v>
      </c>
      <c r="M1019" t="str">
        <f>VLOOKUP(Table5[[#This Row],[Store ID]],Table4[[Store ID]:[Store Location]],2)</f>
        <v>Glasgow</v>
      </c>
      <c r="N1019" t="str">
        <f>VLOOKUP(Table5[[#This Row],[Store ID]],Table4[[Store ID]:[Region]],3)</f>
        <v>Scotland</v>
      </c>
      <c r="O1019" t="str">
        <f>VLOOKUP(Table5[[#This Row],[Product ID]],'Product Master'!$A$2:$D$10,4)</f>
        <v>Supplier A</v>
      </c>
      <c r="P1019" s="15">
        <f>Table5[[#This Row],[Total Revenue]]-Table5[[#This Row],[Net Sales Revenue]]</f>
        <v>5169.5999999999985</v>
      </c>
      <c r="Q1019" s="15">
        <f>Table5[[#This Row],[Net Sales Revenue]]/Table5[[#This Row],[Units Sold]]</f>
        <v>21.12</v>
      </c>
      <c r="R1019">
        <f>VLOOKUP(Table5[[#This Row],[Product ID]],'Product Master'!$A$1:$E$10,5,FALSE)</f>
        <v>12</v>
      </c>
      <c r="S1019" s="15">
        <f>Table5[[#This Row],[standard product cost per unit]]*Table5[[#This Row],[Units Sold]]</f>
        <v>21540</v>
      </c>
      <c r="T1019" s="15">
        <f>Table5[[#This Row],[Cost of Sales]]-Table5[[#This Row],[Standard cost]]</f>
        <v>1723.2000000000007</v>
      </c>
      <c r="U1019" s="15">
        <f>Table5[[#This Row],[Net Sales Revenue]]-Table5[[#This Row],[Cost of Sales]]</f>
        <v>14647.2</v>
      </c>
      <c r="V1019" s="17">
        <f>Table5[[#This Row],[GrossProfit]]/Table5[[#This Row],[Net Sales Revenue]]</f>
        <v>0.38636363636363635</v>
      </c>
    </row>
    <row r="1020" spans="1:22" ht="14.25" customHeight="1" x14ac:dyDescent="0.25">
      <c r="A1020" s="1" t="s">
        <v>1108</v>
      </c>
      <c r="B1020" s="1" t="s">
        <v>1080</v>
      </c>
      <c r="C1020" s="1" t="s">
        <v>52</v>
      </c>
      <c r="D1020" s="1" t="s">
        <v>10</v>
      </c>
      <c r="E1020" s="1" t="s">
        <v>8</v>
      </c>
      <c r="F1020" s="1">
        <v>2886</v>
      </c>
      <c r="G1020" s="14">
        <v>50</v>
      </c>
      <c r="H1020" s="1">
        <v>0.13</v>
      </c>
      <c r="I1020" s="14">
        <v>125541</v>
      </c>
      <c r="J1020" s="14">
        <v>87272.639999999999</v>
      </c>
      <c r="K1020" s="15">
        <f>Table5[[#This Row],[Selling Price]]*Table5[[#This Row],[Units Sold]]</f>
        <v>144300</v>
      </c>
      <c r="L1020" t="str">
        <f t="shared" si="15"/>
        <v>2024-11</v>
      </c>
      <c r="M1020" t="str">
        <f>VLOOKUP(Table5[[#This Row],[Store ID]],Table4[[Store ID]:[Store Location]],2)</f>
        <v>Glasgow</v>
      </c>
      <c r="N1020" t="str">
        <f>VLOOKUP(Table5[[#This Row],[Store ID]],Table4[[Store ID]:[Region]],3)</f>
        <v>Scotland</v>
      </c>
      <c r="O1020" t="str">
        <f>VLOOKUP(Table5[[#This Row],[Product ID]],'Product Master'!$A$2:$D$10,4)</f>
        <v>Supplier B</v>
      </c>
      <c r="P1020" s="15">
        <f>Table5[[#This Row],[Total Revenue]]-Table5[[#This Row],[Net Sales Revenue]]</f>
        <v>18759</v>
      </c>
      <c r="Q1020" s="15">
        <f>Table5[[#This Row],[Net Sales Revenue]]/Table5[[#This Row],[Units Sold]]</f>
        <v>43.5</v>
      </c>
      <c r="R1020">
        <f>VLOOKUP(Table5[[#This Row],[Product ID]],'Product Master'!$A$1:$E$10,5,FALSE)</f>
        <v>28</v>
      </c>
      <c r="S1020" s="15">
        <f>Table5[[#This Row],[standard product cost per unit]]*Table5[[#This Row],[Units Sold]]</f>
        <v>80808</v>
      </c>
      <c r="T1020" s="15">
        <f>Table5[[#This Row],[Cost of Sales]]-Table5[[#This Row],[Standard cost]]</f>
        <v>6464.6399999999994</v>
      </c>
      <c r="U1020" s="15">
        <f>Table5[[#This Row],[Net Sales Revenue]]-Table5[[#This Row],[Cost of Sales]]</f>
        <v>38268.36</v>
      </c>
      <c r="V1020" s="17">
        <f>Table5[[#This Row],[GrossProfit]]/Table5[[#This Row],[Net Sales Revenue]]</f>
        <v>0.30482758620689654</v>
      </c>
    </row>
    <row r="1021" spans="1:22" ht="14.25" customHeight="1" x14ac:dyDescent="0.25">
      <c r="A1021" s="1" t="s">
        <v>1109</v>
      </c>
      <c r="B1021" s="1" t="s">
        <v>1080</v>
      </c>
      <c r="C1021" s="1" t="s">
        <v>52</v>
      </c>
      <c r="D1021" s="1" t="s">
        <v>13</v>
      </c>
      <c r="E1021" s="1" t="s">
        <v>15</v>
      </c>
      <c r="F1021" s="1">
        <v>2468</v>
      </c>
      <c r="G1021" s="14">
        <v>28</v>
      </c>
      <c r="H1021" s="1">
        <v>0.15</v>
      </c>
      <c r="I1021" s="14">
        <v>58738.400000000001</v>
      </c>
      <c r="J1021" s="14">
        <v>39981.599999999999</v>
      </c>
      <c r="K1021" s="15">
        <f>Table5[[#This Row],[Selling Price]]*Table5[[#This Row],[Units Sold]]</f>
        <v>69104</v>
      </c>
      <c r="L1021" t="str">
        <f t="shared" si="15"/>
        <v>2024-11</v>
      </c>
      <c r="M1021" t="str">
        <f>VLOOKUP(Table5[[#This Row],[Store ID]],Table4[[Store ID]:[Store Location]],2)</f>
        <v>Glasgow</v>
      </c>
      <c r="N1021" t="str">
        <f>VLOOKUP(Table5[[#This Row],[Store ID]],Table4[[Store ID]:[Region]],3)</f>
        <v>Scotland</v>
      </c>
      <c r="O1021" t="str">
        <f>VLOOKUP(Table5[[#This Row],[Product ID]],'Product Master'!$A$2:$D$10,4)</f>
        <v>Supplier C</v>
      </c>
      <c r="P1021" s="15">
        <f>Table5[[#This Row],[Total Revenue]]-Table5[[#This Row],[Net Sales Revenue]]</f>
        <v>10365.599999999999</v>
      </c>
      <c r="Q1021" s="15">
        <f>Table5[[#This Row],[Net Sales Revenue]]/Table5[[#This Row],[Units Sold]]</f>
        <v>23.8</v>
      </c>
      <c r="R1021">
        <f>VLOOKUP(Table5[[#This Row],[Product ID]],'Product Master'!$A$1:$E$10,5,FALSE)</f>
        <v>15</v>
      </c>
      <c r="S1021" s="15">
        <f>Table5[[#This Row],[standard product cost per unit]]*Table5[[#This Row],[Units Sold]]</f>
        <v>37020</v>
      </c>
      <c r="T1021" s="15">
        <f>Table5[[#This Row],[Cost of Sales]]-Table5[[#This Row],[Standard cost]]</f>
        <v>2961.5999999999985</v>
      </c>
      <c r="U1021" s="15">
        <f>Table5[[#This Row],[Net Sales Revenue]]-Table5[[#This Row],[Cost of Sales]]</f>
        <v>18756.800000000003</v>
      </c>
      <c r="V1021" s="17">
        <f>Table5[[#This Row],[GrossProfit]]/Table5[[#This Row],[Net Sales Revenue]]</f>
        <v>0.31932773109243701</v>
      </c>
    </row>
    <row r="1022" spans="1:22" ht="14.25" customHeight="1" x14ac:dyDescent="0.25">
      <c r="A1022" s="1" t="s">
        <v>1110</v>
      </c>
      <c r="B1022" s="1" t="s">
        <v>1080</v>
      </c>
      <c r="C1022" s="1" t="s">
        <v>52</v>
      </c>
      <c r="D1022" s="1" t="s">
        <v>17</v>
      </c>
      <c r="E1022" s="1" t="s">
        <v>15</v>
      </c>
      <c r="F1022" s="1">
        <v>1518</v>
      </c>
      <c r="G1022" s="14">
        <v>35</v>
      </c>
      <c r="H1022" s="1">
        <v>0.15</v>
      </c>
      <c r="I1022" s="14">
        <v>45160.5</v>
      </c>
      <c r="J1022" s="14">
        <v>29509.919999999998</v>
      </c>
      <c r="K1022" s="15">
        <f>Table5[[#This Row],[Selling Price]]*Table5[[#This Row],[Units Sold]]</f>
        <v>53130</v>
      </c>
      <c r="L1022" t="str">
        <f t="shared" si="15"/>
        <v>2024-11</v>
      </c>
      <c r="M1022" t="str">
        <f>VLOOKUP(Table5[[#This Row],[Store ID]],Table4[[Store ID]:[Store Location]],2)</f>
        <v>Glasgow</v>
      </c>
      <c r="N1022" t="str">
        <f>VLOOKUP(Table5[[#This Row],[Store ID]],Table4[[Store ID]:[Region]],3)</f>
        <v>Scotland</v>
      </c>
      <c r="O1022" t="str">
        <f>VLOOKUP(Table5[[#This Row],[Product ID]],'Product Master'!$A$2:$D$10,4)</f>
        <v>Supplier C</v>
      </c>
      <c r="P1022" s="15">
        <f>Table5[[#This Row],[Total Revenue]]-Table5[[#This Row],[Net Sales Revenue]]</f>
        <v>7969.5</v>
      </c>
      <c r="Q1022" s="15">
        <f>Table5[[#This Row],[Net Sales Revenue]]/Table5[[#This Row],[Units Sold]]</f>
        <v>29.75</v>
      </c>
      <c r="R1022">
        <f>VLOOKUP(Table5[[#This Row],[Product ID]],'Product Master'!$A$1:$E$10,5,FALSE)</f>
        <v>18</v>
      </c>
      <c r="S1022" s="15">
        <f>Table5[[#This Row],[standard product cost per unit]]*Table5[[#This Row],[Units Sold]]</f>
        <v>27324</v>
      </c>
      <c r="T1022" s="15">
        <f>Table5[[#This Row],[Cost of Sales]]-Table5[[#This Row],[Standard cost]]</f>
        <v>2185.9199999999983</v>
      </c>
      <c r="U1022" s="15">
        <f>Table5[[#This Row],[Net Sales Revenue]]-Table5[[#This Row],[Cost of Sales]]</f>
        <v>15650.580000000002</v>
      </c>
      <c r="V1022" s="17">
        <f>Table5[[#This Row],[GrossProfit]]/Table5[[#This Row],[Net Sales Revenue]]</f>
        <v>0.34655462184873953</v>
      </c>
    </row>
    <row r="1023" spans="1:22" ht="14.25" customHeight="1" x14ac:dyDescent="0.25">
      <c r="A1023" s="1" t="s">
        <v>1111</v>
      </c>
      <c r="B1023" s="1" t="s">
        <v>1080</v>
      </c>
      <c r="C1023" s="1" t="s">
        <v>52</v>
      </c>
      <c r="D1023" s="1" t="s">
        <v>19</v>
      </c>
      <c r="E1023" s="1" t="s">
        <v>21</v>
      </c>
      <c r="F1023" s="1">
        <v>3071</v>
      </c>
      <c r="G1023" s="14">
        <v>18</v>
      </c>
      <c r="H1023" s="1">
        <v>0.14000000000000001</v>
      </c>
      <c r="I1023" s="14">
        <v>47539.08</v>
      </c>
      <c r="J1023" s="14">
        <v>29850.12</v>
      </c>
      <c r="K1023" s="15">
        <f>Table5[[#This Row],[Selling Price]]*Table5[[#This Row],[Units Sold]]</f>
        <v>55278</v>
      </c>
      <c r="L1023" t="str">
        <f t="shared" si="15"/>
        <v>2024-11</v>
      </c>
      <c r="M1023" t="str">
        <f>VLOOKUP(Table5[[#This Row],[Store ID]],Table4[[Store ID]:[Store Location]],2)</f>
        <v>Glasgow</v>
      </c>
      <c r="N1023" t="str">
        <f>VLOOKUP(Table5[[#This Row],[Store ID]],Table4[[Store ID]:[Region]],3)</f>
        <v>Scotland</v>
      </c>
      <c r="O1023" t="str">
        <f>VLOOKUP(Table5[[#This Row],[Product ID]],'Product Master'!$A$2:$D$10,4)</f>
        <v>Supplier D</v>
      </c>
      <c r="P1023" s="15">
        <f>Table5[[#This Row],[Total Revenue]]-Table5[[#This Row],[Net Sales Revenue]]</f>
        <v>7738.9199999999983</v>
      </c>
      <c r="Q1023" s="15">
        <f>Table5[[#This Row],[Net Sales Revenue]]/Table5[[#This Row],[Units Sold]]</f>
        <v>15.48</v>
      </c>
      <c r="R1023">
        <f>VLOOKUP(Table5[[#This Row],[Product ID]],'Product Master'!$A$1:$E$10,5,FALSE)</f>
        <v>9</v>
      </c>
      <c r="S1023" s="15">
        <f>Table5[[#This Row],[standard product cost per unit]]*Table5[[#This Row],[Units Sold]]</f>
        <v>27639</v>
      </c>
      <c r="T1023" s="15">
        <f>Table5[[#This Row],[Cost of Sales]]-Table5[[#This Row],[Standard cost]]</f>
        <v>2211.119999999999</v>
      </c>
      <c r="U1023" s="15">
        <f>Table5[[#This Row],[Net Sales Revenue]]-Table5[[#This Row],[Cost of Sales]]</f>
        <v>17688.960000000003</v>
      </c>
      <c r="V1023" s="17">
        <f>Table5[[#This Row],[GrossProfit]]/Table5[[#This Row],[Net Sales Revenue]]</f>
        <v>0.372093023255814</v>
      </c>
    </row>
    <row r="1024" spans="1:22" ht="14.25" customHeight="1" x14ac:dyDescent="0.25">
      <c r="A1024" s="1" t="s">
        <v>1112</v>
      </c>
      <c r="B1024" s="1" t="s">
        <v>1080</v>
      </c>
      <c r="C1024" s="1" t="s">
        <v>52</v>
      </c>
      <c r="D1024" s="1" t="s">
        <v>23</v>
      </c>
      <c r="E1024" s="1" t="s">
        <v>21</v>
      </c>
      <c r="F1024" s="1">
        <v>1755</v>
      </c>
      <c r="G1024" s="14">
        <v>30</v>
      </c>
      <c r="H1024" s="1">
        <v>0.16</v>
      </c>
      <c r="I1024" s="14">
        <v>44226</v>
      </c>
      <c r="J1024" s="14">
        <v>26535.599999999999</v>
      </c>
      <c r="K1024" s="15">
        <f>Table5[[#This Row],[Selling Price]]*Table5[[#This Row],[Units Sold]]</f>
        <v>52650</v>
      </c>
      <c r="L1024" t="str">
        <f t="shared" si="15"/>
        <v>2024-11</v>
      </c>
      <c r="M1024" t="str">
        <f>VLOOKUP(Table5[[#This Row],[Store ID]],Table4[[Store ID]:[Store Location]],2)</f>
        <v>Glasgow</v>
      </c>
      <c r="N1024" t="str">
        <f>VLOOKUP(Table5[[#This Row],[Store ID]],Table4[[Store ID]:[Region]],3)</f>
        <v>Scotland</v>
      </c>
      <c r="O1024" t="str">
        <f>VLOOKUP(Table5[[#This Row],[Product ID]],'Product Master'!$A$2:$D$10,4)</f>
        <v>Supplier D</v>
      </c>
      <c r="P1024" s="15">
        <f>Table5[[#This Row],[Total Revenue]]-Table5[[#This Row],[Net Sales Revenue]]</f>
        <v>8424</v>
      </c>
      <c r="Q1024" s="15">
        <f>Table5[[#This Row],[Net Sales Revenue]]/Table5[[#This Row],[Units Sold]]</f>
        <v>25.2</v>
      </c>
      <c r="R1024">
        <f>VLOOKUP(Table5[[#This Row],[Product ID]],'Product Master'!$A$1:$E$10,5,FALSE)</f>
        <v>14</v>
      </c>
      <c r="S1024" s="15">
        <f>Table5[[#This Row],[standard product cost per unit]]*Table5[[#This Row],[Units Sold]]</f>
        <v>24570</v>
      </c>
      <c r="T1024" s="15">
        <f>Table5[[#This Row],[Cost of Sales]]-Table5[[#This Row],[Standard cost]]</f>
        <v>1965.5999999999985</v>
      </c>
      <c r="U1024" s="15">
        <f>Table5[[#This Row],[Net Sales Revenue]]-Table5[[#This Row],[Cost of Sales]]</f>
        <v>17690.400000000001</v>
      </c>
      <c r="V1024" s="17">
        <f>Table5[[#This Row],[GrossProfit]]/Table5[[#This Row],[Net Sales Revenue]]</f>
        <v>0.4</v>
      </c>
    </row>
    <row r="1025" spans="1:22" ht="14.25" customHeight="1" x14ac:dyDescent="0.25">
      <c r="A1025" s="1" t="s">
        <v>1113</v>
      </c>
      <c r="B1025" s="1" t="s">
        <v>1080</v>
      </c>
      <c r="C1025" s="1" t="s">
        <v>52</v>
      </c>
      <c r="D1025" s="1" t="s">
        <v>25</v>
      </c>
      <c r="E1025" s="1" t="s">
        <v>27</v>
      </c>
      <c r="F1025" s="1">
        <v>2112</v>
      </c>
      <c r="G1025" s="14">
        <v>40</v>
      </c>
      <c r="H1025" s="1">
        <v>0.14000000000000001</v>
      </c>
      <c r="I1025" s="14">
        <v>72652.800000000003</v>
      </c>
      <c r="J1025" s="14">
        <v>45619.199999999997</v>
      </c>
      <c r="K1025" s="15">
        <f>Table5[[#This Row],[Selling Price]]*Table5[[#This Row],[Units Sold]]</f>
        <v>84480</v>
      </c>
      <c r="L1025" t="str">
        <f t="shared" si="15"/>
        <v>2024-11</v>
      </c>
      <c r="M1025" t="str">
        <f>VLOOKUP(Table5[[#This Row],[Store ID]],Table4[[Store ID]:[Store Location]],2)</f>
        <v>Glasgow</v>
      </c>
      <c r="N1025" t="str">
        <f>VLOOKUP(Table5[[#This Row],[Store ID]],Table4[[Store ID]:[Region]],3)</f>
        <v>Scotland</v>
      </c>
      <c r="O1025" t="str">
        <f>VLOOKUP(Table5[[#This Row],[Product ID]],'Product Master'!$A$2:$D$10,4)</f>
        <v>Supplier E</v>
      </c>
      <c r="P1025" s="15">
        <f>Table5[[#This Row],[Total Revenue]]-Table5[[#This Row],[Net Sales Revenue]]</f>
        <v>11827.199999999997</v>
      </c>
      <c r="Q1025" s="15">
        <f>Table5[[#This Row],[Net Sales Revenue]]/Table5[[#This Row],[Units Sold]]</f>
        <v>34.4</v>
      </c>
      <c r="R1025">
        <f>VLOOKUP(Table5[[#This Row],[Product ID]],'Product Master'!$A$1:$E$10,5,FALSE)</f>
        <v>20</v>
      </c>
      <c r="S1025" s="15">
        <f>Table5[[#This Row],[standard product cost per unit]]*Table5[[#This Row],[Units Sold]]</f>
        <v>42240</v>
      </c>
      <c r="T1025" s="15">
        <f>Table5[[#This Row],[Cost of Sales]]-Table5[[#This Row],[Standard cost]]</f>
        <v>3379.1999999999971</v>
      </c>
      <c r="U1025" s="15">
        <f>Table5[[#This Row],[Net Sales Revenue]]-Table5[[#This Row],[Cost of Sales]]</f>
        <v>27033.600000000006</v>
      </c>
      <c r="V1025" s="17">
        <f>Table5[[#This Row],[GrossProfit]]/Table5[[#This Row],[Net Sales Revenue]]</f>
        <v>0.372093023255814</v>
      </c>
    </row>
    <row r="1026" spans="1:22" ht="14.25" customHeight="1" x14ac:dyDescent="0.25">
      <c r="A1026" s="1" t="s">
        <v>1114</v>
      </c>
      <c r="B1026" s="1" t="s">
        <v>1080</v>
      </c>
      <c r="C1026" s="1" t="s">
        <v>52</v>
      </c>
      <c r="D1026" s="1" t="s">
        <v>29</v>
      </c>
      <c r="E1026" s="1" t="s">
        <v>31</v>
      </c>
      <c r="F1026" s="1">
        <v>1474</v>
      </c>
      <c r="G1026" s="14">
        <v>10</v>
      </c>
      <c r="H1026" s="1">
        <v>0.14000000000000001</v>
      </c>
      <c r="I1026" s="14">
        <v>12676.4</v>
      </c>
      <c r="J1026" s="14">
        <v>6367.68</v>
      </c>
      <c r="K1026" s="15">
        <f>Table5[[#This Row],[Selling Price]]*Table5[[#This Row],[Units Sold]]</f>
        <v>14740</v>
      </c>
      <c r="L1026" t="str">
        <f t="shared" ref="L1026:L1081" si="16">TEXT(B1026,"yyyy-mm")</f>
        <v>2024-11</v>
      </c>
      <c r="M1026" t="str">
        <f>VLOOKUP(Table5[[#This Row],[Store ID]],Table4[[Store ID]:[Store Location]],2)</f>
        <v>Glasgow</v>
      </c>
      <c r="N1026" t="str">
        <f>VLOOKUP(Table5[[#This Row],[Store ID]],Table4[[Store ID]:[Region]],3)</f>
        <v>Scotland</v>
      </c>
      <c r="O1026" t="str">
        <f>VLOOKUP(Table5[[#This Row],[Product ID]],'Product Master'!$A$2:$D$10,4)</f>
        <v>Supplier F</v>
      </c>
      <c r="P1026" s="15">
        <f>Table5[[#This Row],[Total Revenue]]-Table5[[#This Row],[Net Sales Revenue]]</f>
        <v>2063.6000000000004</v>
      </c>
      <c r="Q1026" s="15">
        <f>Table5[[#This Row],[Net Sales Revenue]]/Table5[[#This Row],[Units Sold]]</f>
        <v>8.6</v>
      </c>
      <c r="R1026">
        <f>VLOOKUP(Table5[[#This Row],[Product ID]],'Product Master'!$A$1:$E$10,5,FALSE)</f>
        <v>4</v>
      </c>
      <c r="S1026" s="15">
        <f>Table5[[#This Row],[standard product cost per unit]]*Table5[[#This Row],[Units Sold]]</f>
        <v>5896</v>
      </c>
      <c r="T1026" s="15">
        <f>Table5[[#This Row],[Cost of Sales]]-Table5[[#This Row],[Standard cost]]</f>
        <v>471.68000000000029</v>
      </c>
      <c r="U1026" s="15">
        <f>Table5[[#This Row],[Net Sales Revenue]]-Table5[[#This Row],[Cost of Sales]]</f>
        <v>6308.7199999999993</v>
      </c>
      <c r="V1026" s="17">
        <f>Table5[[#This Row],[GrossProfit]]/Table5[[#This Row],[Net Sales Revenue]]</f>
        <v>0.49767441860465111</v>
      </c>
    </row>
    <row r="1027" spans="1:22" ht="14.25" customHeight="1" x14ac:dyDescent="0.25">
      <c r="A1027" s="1" t="s">
        <v>1115</v>
      </c>
      <c r="B1027" s="1" t="s">
        <v>1080</v>
      </c>
      <c r="C1027" s="1" t="s">
        <v>52</v>
      </c>
      <c r="D1027" s="1" t="s">
        <v>33</v>
      </c>
      <c r="E1027" s="1" t="s">
        <v>31</v>
      </c>
      <c r="F1027" s="1">
        <v>2978</v>
      </c>
      <c r="G1027" s="14">
        <v>22</v>
      </c>
      <c r="H1027" s="1">
        <v>0.13</v>
      </c>
      <c r="I1027" s="14">
        <v>56998.92</v>
      </c>
      <c r="J1027" s="14">
        <v>32162.400000000001</v>
      </c>
      <c r="K1027" s="15">
        <f>Table5[[#This Row],[Selling Price]]*Table5[[#This Row],[Units Sold]]</f>
        <v>65516</v>
      </c>
      <c r="L1027" t="str">
        <f t="shared" si="16"/>
        <v>2024-11</v>
      </c>
      <c r="M1027" t="str">
        <f>VLOOKUP(Table5[[#This Row],[Store ID]],Table4[[Store ID]:[Store Location]],2)</f>
        <v>Glasgow</v>
      </c>
      <c r="N1027" t="str">
        <f>VLOOKUP(Table5[[#This Row],[Store ID]],Table4[[Store ID]:[Region]],3)</f>
        <v>Scotland</v>
      </c>
      <c r="O1027" t="str">
        <f>VLOOKUP(Table5[[#This Row],[Product ID]],'Product Master'!$A$2:$D$10,4)</f>
        <v>Supplier F</v>
      </c>
      <c r="P1027" s="15">
        <f>Table5[[#This Row],[Total Revenue]]-Table5[[#This Row],[Net Sales Revenue]]</f>
        <v>8517.0800000000017</v>
      </c>
      <c r="Q1027" s="15">
        <f>Table5[[#This Row],[Net Sales Revenue]]/Table5[[#This Row],[Units Sold]]</f>
        <v>19.14</v>
      </c>
      <c r="R1027">
        <f>VLOOKUP(Table5[[#This Row],[Product ID]],'Product Master'!$A$1:$E$10,5,FALSE)</f>
        <v>10</v>
      </c>
      <c r="S1027" s="15">
        <f>Table5[[#This Row],[standard product cost per unit]]*Table5[[#This Row],[Units Sold]]</f>
        <v>29780</v>
      </c>
      <c r="T1027" s="15">
        <f>Table5[[#This Row],[Cost of Sales]]-Table5[[#This Row],[Standard cost]]</f>
        <v>2382.4000000000015</v>
      </c>
      <c r="U1027" s="15">
        <f>Table5[[#This Row],[Net Sales Revenue]]-Table5[[#This Row],[Cost of Sales]]</f>
        <v>24836.519999999997</v>
      </c>
      <c r="V1027" s="17">
        <f>Table5[[#This Row],[GrossProfit]]/Table5[[#This Row],[Net Sales Revenue]]</f>
        <v>0.4357366771159874</v>
      </c>
    </row>
    <row r="1028" spans="1:22" ht="14.25" customHeight="1" x14ac:dyDescent="0.25">
      <c r="A1028" s="1" t="s">
        <v>1116</v>
      </c>
      <c r="B1028" s="1" t="s">
        <v>1080</v>
      </c>
      <c r="C1028" s="1" t="s">
        <v>56</v>
      </c>
      <c r="D1028" s="1" t="s">
        <v>6</v>
      </c>
      <c r="E1028" s="1" t="s">
        <v>8</v>
      </c>
      <c r="F1028" s="1">
        <v>2992</v>
      </c>
      <c r="G1028" s="14">
        <v>24</v>
      </c>
      <c r="H1028" s="1">
        <v>0.14000000000000001</v>
      </c>
      <c r="I1028" s="14">
        <v>61754.879999999997</v>
      </c>
      <c r="J1028" s="14">
        <v>38776.32</v>
      </c>
      <c r="K1028" s="15">
        <f>Table5[[#This Row],[Selling Price]]*Table5[[#This Row],[Units Sold]]</f>
        <v>71808</v>
      </c>
      <c r="L1028" t="str">
        <f t="shared" si="16"/>
        <v>2024-11</v>
      </c>
      <c r="M1028" t="str">
        <f>VLOOKUP(Table5[[#This Row],[Store ID]],Table4[[Store ID]:[Store Location]],2)</f>
        <v>Leeds</v>
      </c>
      <c r="N1028" t="str">
        <f>VLOOKUP(Table5[[#This Row],[Store ID]],Table4[[Store ID]:[Region]],3)</f>
        <v>North</v>
      </c>
      <c r="O1028" t="str">
        <f>VLOOKUP(Table5[[#This Row],[Product ID]],'Product Master'!$A$2:$D$10,4)</f>
        <v>Supplier A</v>
      </c>
      <c r="P1028" s="15">
        <f>Table5[[#This Row],[Total Revenue]]-Table5[[#This Row],[Net Sales Revenue]]</f>
        <v>10053.120000000003</v>
      </c>
      <c r="Q1028" s="15">
        <f>Table5[[#This Row],[Net Sales Revenue]]/Table5[[#This Row],[Units Sold]]</f>
        <v>20.64</v>
      </c>
      <c r="R1028">
        <f>VLOOKUP(Table5[[#This Row],[Product ID]],'Product Master'!$A$1:$E$10,5,FALSE)</f>
        <v>12</v>
      </c>
      <c r="S1028" s="15">
        <f>Table5[[#This Row],[standard product cost per unit]]*Table5[[#This Row],[Units Sold]]</f>
        <v>35904</v>
      </c>
      <c r="T1028" s="15">
        <f>Table5[[#This Row],[Cost of Sales]]-Table5[[#This Row],[Standard cost]]</f>
        <v>2872.3199999999997</v>
      </c>
      <c r="U1028" s="15">
        <f>Table5[[#This Row],[Net Sales Revenue]]-Table5[[#This Row],[Cost of Sales]]</f>
        <v>22978.559999999998</v>
      </c>
      <c r="V1028" s="17">
        <f>Table5[[#This Row],[GrossProfit]]/Table5[[#This Row],[Net Sales Revenue]]</f>
        <v>0.37209302325581395</v>
      </c>
    </row>
    <row r="1029" spans="1:22" ht="14.25" customHeight="1" x14ac:dyDescent="0.25">
      <c r="A1029" s="1" t="s">
        <v>1117</v>
      </c>
      <c r="B1029" s="1" t="s">
        <v>1080</v>
      </c>
      <c r="C1029" s="1" t="s">
        <v>56</v>
      </c>
      <c r="D1029" s="1" t="s">
        <v>10</v>
      </c>
      <c r="E1029" s="1" t="s">
        <v>8</v>
      </c>
      <c r="F1029" s="1">
        <v>2604</v>
      </c>
      <c r="G1029" s="14">
        <v>50</v>
      </c>
      <c r="H1029" s="1">
        <v>0.14000000000000001</v>
      </c>
      <c r="I1029" s="14">
        <v>111972</v>
      </c>
      <c r="J1029" s="14">
        <v>78744.960000000006</v>
      </c>
      <c r="K1029" s="15">
        <f>Table5[[#This Row],[Selling Price]]*Table5[[#This Row],[Units Sold]]</f>
        <v>130200</v>
      </c>
      <c r="L1029" t="str">
        <f t="shared" si="16"/>
        <v>2024-11</v>
      </c>
      <c r="M1029" t="str">
        <f>VLOOKUP(Table5[[#This Row],[Store ID]],Table4[[Store ID]:[Store Location]],2)</f>
        <v>Leeds</v>
      </c>
      <c r="N1029" t="str">
        <f>VLOOKUP(Table5[[#This Row],[Store ID]],Table4[[Store ID]:[Region]],3)</f>
        <v>North</v>
      </c>
      <c r="O1029" t="str">
        <f>VLOOKUP(Table5[[#This Row],[Product ID]],'Product Master'!$A$2:$D$10,4)</f>
        <v>Supplier B</v>
      </c>
      <c r="P1029" s="15">
        <f>Table5[[#This Row],[Total Revenue]]-Table5[[#This Row],[Net Sales Revenue]]</f>
        <v>18228</v>
      </c>
      <c r="Q1029" s="15">
        <f>Table5[[#This Row],[Net Sales Revenue]]/Table5[[#This Row],[Units Sold]]</f>
        <v>43</v>
      </c>
      <c r="R1029">
        <f>VLOOKUP(Table5[[#This Row],[Product ID]],'Product Master'!$A$1:$E$10,5,FALSE)</f>
        <v>28</v>
      </c>
      <c r="S1029" s="15">
        <f>Table5[[#This Row],[standard product cost per unit]]*Table5[[#This Row],[Units Sold]]</f>
        <v>72912</v>
      </c>
      <c r="T1029" s="15">
        <f>Table5[[#This Row],[Cost of Sales]]-Table5[[#This Row],[Standard cost]]</f>
        <v>5832.9600000000064</v>
      </c>
      <c r="U1029" s="15">
        <f>Table5[[#This Row],[Net Sales Revenue]]-Table5[[#This Row],[Cost of Sales]]</f>
        <v>33227.039999999994</v>
      </c>
      <c r="V1029" s="17">
        <f>Table5[[#This Row],[GrossProfit]]/Table5[[#This Row],[Net Sales Revenue]]</f>
        <v>0.29674418604651159</v>
      </c>
    </row>
    <row r="1030" spans="1:22" ht="14.25" customHeight="1" x14ac:dyDescent="0.25">
      <c r="A1030" s="1" t="s">
        <v>1118</v>
      </c>
      <c r="B1030" s="1" t="s">
        <v>1080</v>
      </c>
      <c r="C1030" s="1" t="s">
        <v>56</v>
      </c>
      <c r="D1030" s="1" t="s">
        <v>13</v>
      </c>
      <c r="E1030" s="1" t="s">
        <v>15</v>
      </c>
      <c r="F1030" s="1">
        <v>2050</v>
      </c>
      <c r="G1030" s="14">
        <v>28</v>
      </c>
      <c r="H1030" s="1">
        <v>0.12</v>
      </c>
      <c r="I1030" s="14">
        <v>50512</v>
      </c>
      <c r="J1030" s="14">
        <v>33210</v>
      </c>
      <c r="K1030" s="15">
        <f>Table5[[#This Row],[Selling Price]]*Table5[[#This Row],[Units Sold]]</f>
        <v>57400</v>
      </c>
      <c r="L1030" t="str">
        <f t="shared" si="16"/>
        <v>2024-11</v>
      </c>
      <c r="M1030" t="str">
        <f>VLOOKUP(Table5[[#This Row],[Store ID]],Table4[[Store ID]:[Store Location]],2)</f>
        <v>Leeds</v>
      </c>
      <c r="N1030" t="str">
        <f>VLOOKUP(Table5[[#This Row],[Store ID]],Table4[[Store ID]:[Region]],3)</f>
        <v>North</v>
      </c>
      <c r="O1030" t="str">
        <f>VLOOKUP(Table5[[#This Row],[Product ID]],'Product Master'!$A$2:$D$10,4)</f>
        <v>Supplier C</v>
      </c>
      <c r="P1030" s="15">
        <f>Table5[[#This Row],[Total Revenue]]-Table5[[#This Row],[Net Sales Revenue]]</f>
        <v>6888</v>
      </c>
      <c r="Q1030" s="15">
        <f>Table5[[#This Row],[Net Sales Revenue]]/Table5[[#This Row],[Units Sold]]</f>
        <v>24.64</v>
      </c>
      <c r="R1030">
        <f>VLOOKUP(Table5[[#This Row],[Product ID]],'Product Master'!$A$1:$E$10,5,FALSE)</f>
        <v>15</v>
      </c>
      <c r="S1030" s="15">
        <f>Table5[[#This Row],[standard product cost per unit]]*Table5[[#This Row],[Units Sold]]</f>
        <v>30750</v>
      </c>
      <c r="T1030" s="15">
        <f>Table5[[#This Row],[Cost of Sales]]-Table5[[#This Row],[Standard cost]]</f>
        <v>2460</v>
      </c>
      <c r="U1030" s="15">
        <f>Table5[[#This Row],[Net Sales Revenue]]-Table5[[#This Row],[Cost of Sales]]</f>
        <v>17302</v>
      </c>
      <c r="V1030" s="17">
        <f>Table5[[#This Row],[GrossProfit]]/Table5[[#This Row],[Net Sales Revenue]]</f>
        <v>0.34253246753246752</v>
      </c>
    </row>
    <row r="1031" spans="1:22" ht="14.25" customHeight="1" x14ac:dyDescent="0.25">
      <c r="A1031" s="1" t="s">
        <v>1119</v>
      </c>
      <c r="B1031" s="1" t="s">
        <v>1080</v>
      </c>
      <c r="C1031" s="1" t="s">
        <v>56</v>
      </c>
      <c r="D1031" s="1" t="s">
        <v>17</v>
      </c>
      <c r="E1031" s="1" t="s">
        <v>15</v>
      </c>
      <c r="F1031" s="1">
        <v>2252</v>
      </c>
      <c r="G1031" s="14">
        <v>35</v>
      </c>
      <c r="H1031" s="1">
        <v>0.15</v>
      </c>
      <c r="I1031" s="14">
        <v>66997</v>
      </c>
      <c r="J1031" s="14">
        <v>43778.879999999997</v>
      </c>
      <c r="K1031" s="15">
        <f>Table5[[#This Row],[Selling Price]]*Table5[[#This Row],[Units Sold]]</f>
        <v>78820</v>
      </c>
      <c r="L1031" t="str">
        <f t="shared" si="16"/>
        <v>2024-11</v>
      </c>
      <c r="M1031" t="str">
        <f>VLOOKUP(Table5[[#This Row],[Store ID]],Table4[[Store ID]:[Store Location]],2)</f>
        <v>Leeds</v>
      </c>
      <c r="N1031" t="str">
        <f>VLOOKUP(Table5[[#This Row],[Store ID]],Table4[[Store ID]:[Region]],3)</f>
        <v>North</v>
      </c>
      <c r="O1031" t="str">
        <f>VLOOKUP(Table5[[#This Row],[Product ID]],'Product Master'!$A$2:$D$10,4)</f>
        <v>Supplier C</v>
      </c>
      <c r="P1031" s="15">
        <f>Table5[[#This Row],[Total Revenue]]-Table5[[#This Row],[Net Sales Revenue]]</f>
        <v>11823</v>
      </c>
      <c r="Q1031" s="15">
        <f>Table5[[#This Row],[Net Sales Revenue]]/Table5[[#This Row],[Units Sold]]</f>
        <v>29.75</v>
      </c>
      <c r="R1031">
        <f>VLOOKUP(Table5[[#This Row],[Product ID]],'Product Master'!$A$1:$E$10,5,FALSE)</f>
        <v>18</v>
      </c>
      <c r="S1031" s="15">
        <f>Table5[[#This Row],[standard product cost per unit]]*Table5[[#This Row],[Units Sold]]</f>
        <v>40536</v>
      </c>
      <c r="T1031" s="15">
        <f>Table5[[#This Row],[Cost of Sales]]-Table5[[#This Row],[Standard cost]]</f>
        <v>3242.8799999999974</v>
      </c>
      <c r="U1031" s="15">
        <f>Table5[[#This Row],[Net Sales Revenue]]-Table5[[#This Row],[Cost of Sales]]</f>
        <v>23218.120000000003</v>
      </c>
      <c r="V1031" s="17">
        <f>Table5[[#This Row],[GrossProfit]]/Table5[[#This Row],[Net Sales Revenue]]</f>
        <v>0.34655462184873953</v>
      </c>
    </row>
    <row r="1032" spans="1:22" ht="14.25" customHeight="1" x14ac:dyDescent="0.25">
      <c r="A1032" s="1" t="s">
        <v>1120</v>
      </c>
      <c r="B1032" s="1" t="s">
        <v>1080</v>
      </c>
      <c r="C1032" s="1" t="s">
        <v>56</v>
      </c>
      <c r="D1032" s="1" t="s">
        <v>19</v>
      </c>
      <c r="E1032" s="1" t="s">
        <v>21</v>
      </c>
      <c r="F1032" s="1">
        <v>2090</v>
      </c>
      <c r="G1032" s="14">
        <v>18</v>
      </c>
      <c r="H1032" s="1">
        <v>0.16</v>
      </c>
      <c r="I1032" s="14">
        <v>31600.799999999999</v>
      </c>
      <c r="J1032" s="14">
        <v>20314.8</v>
      </c>
      <c r="K1032" s="15">
        <f>Table5[[#This Row],[Selling Price]]*Table5[[#This Row],[Units Sold]]</f>
        <v>37620</v>
      </c>
      <c r="L1032" t="str">
        <f t="shared" si="16"/>
        <v>2024-11</v>
      </c>
      <c r="M1032" t="str">
        <f>VLOOKUP(Table5[[#This Row],[Store ID]],Table4[[Store ID]:[Store Location]],2)</f>
        <v>Leeds</v>
      </c>
      <c r="N1032" t="str">
        <f>VLOOKUP(Table5[[#This Row],[Store ID]],Table4[[Store ID]:[Region]],3)</f>
        <v>North</v>
      </c>
      <c r="O1032" t="str">
        <f>VLOOKUP(Table5[[#This Row],[Product ID]],'Product Master'!$A$2:$D$10,4)</f>
        <v>Supplier D</v>
      </c>
      <c r="P1032" s="15">
        <f>Table5[[#This Row],[Total Revenue]]-Table5[[#This Row],[Net Sales Revenue]]</f>
        <v>6019.2000000000007</v>
      </c>
      <c r="Q1032" s="15">
        <f>Table5[[#This Row],[Net Sales Revenue]]/Table5[[#This Row],[Units Sold]]</f>
        <v>15.12</v>
      </c>
      <c r="R1032">
        <f>VLOOKUP(Table5[[#This Row],[Product ID]],'Product Master'!$A$1:$E$10,5,FALSE)</f>
        <v>9</v>
      </c>
      <c r="S1032" s="15">
        <f>Table5[[#This Row],[standard product cost per unit]]*Table5[[#This Row],[Units Sold]]</f>
        <v>18810</v>
      </c>
      <c r="T1032" s="15">
        <f>Table5[[#This Row],[Cost of Sales]]-Table5[[#This Row],[Standard cost]]</f>
        <v>1504.7999999999993</v>
      </c>
      <c r="U1032" s="15">
        <f>Table5[[#This Row],[Net Sales Revenue]]-Table5[[#This Row],[Cost of Sales]]</f>
        <v>11286</v>
      </c>
      <c r="V1032" s="17">
        <f>Table5[[#This Row],[GrossProfit]]/Table5[[#This Row],[Net Sales Revenue]]</f>
        <v>0.35714285714285715</v>
      </c>
    </row>
    <row r="1033" spans="1:22" ht="14.25" customHeight="1" x14ac:dyDescent="0.25">
      <c r="A1033" s="1" t="s">
        <v>1121</v>
      </c>
      <c r="B1033" s="1" t="s">
        <v>1080</v>
      </c>
      <c r="C1033" s="1" t="s">
        <v>56</v>
      </c>
      <c r="D1033" s="1" t="s">
        <v>23</v>
      </c>
      <c r="E1033" s="1" t="s">
        <v>21</v>
      </c>
      <c r="F1033" s="1">
        <v>1421</v>
      </c>
      <c r="G1033" s="14">
        <v>30</v>
      </c>
      <c r="H1033" s="1">
        <v>0.15</v>
      </c>
      <c r="I1033" s="14">
        <v>36235.5</v>
      </c>
      <c r="J1033" s="14">
        <v>21485.52</v>
      </c>
      <c r="K1033" s="15">
        <f>Table5[[#This Row],[Selling Price]]*Table5[[#This Row],[Units Sold]]</f>
        <v>42630</v>
      </c>
      <c r="L1033" t="str">
        <f t="shared" si="16"/>
        <v>2024-11</v>
      </c>
      <c r="M1033" t="str">
        <f>VLOOKUP(Table5[[#This Row],[Store ID]],Table4[[Store ID]:[Store Location]],2)</f>
        <v>Leeds</v>
      </c>
      <c r="N1033" t="str">
        <f>VLOOKUP(Table5[[#This Row],[Store ID]],Table4[[Store ID]:[Region]],3)</f>
        <v>North</v>
      </c>
      <c r="O1033" t="str">
        <f>VLOOKUP(Table5[[#This Row],[Product ID]],'Product Master'!$A$2:$D$10,4)</f>
        <v>Supplier D</v>
      </c>
      <c r="P1033" s="15">
        <f>Table5[[#This Row],[Total Revenue]]-Table5[[#This Row],[Net Sales Revenue]]</f>
        <v>6394.5</v>
      </c>
      <c r="Q1033" s="15">
        <f>Table5[[#This Row],[Net Sales Revenue]]/Table5[[#This Row],[Units Sold]]</f>
        <v>25.5</v>
      </c>
      <c r="R1033">
        <f>VLOOKUP(Table5[[#This Row],[Product ID]],'Product Master'!$A$1:$E$10,5,FALSE)</f>
        <v>14</v>
      </c>
      <c r="S1033" s="15">
        <f>Table5[[#This Row],[standard product cost per unit]]*Table5[[#This Row],[Units Sold]]</f>
        <v>19894</v>
      </c>
      <c r="T1033" s="15">
        <f>Table5[[#This Row],[Cost of Sales]]-Table5[[#This Row],[Standard cost]]</f>
        <v>1591.5200000000004</v>
      </c>
      <c r="U1033" s="15">
        <f>Table5[[#This Row],[Net Sales Revenue]]-Table5[[#This Row],[Cost of Sales]]</f>
        <v>14749.98</v>
      </c>
      <c r="V1033" s="17">
        <f>Table5[[#This Row],[GrossProfit]]/Table5[[#This Row],[Net Sales Revenue]]</f>
        <v>0.40705882352941175</v>
      </c>
    </row>
    <row r="1034" spans="1:22" ht="14.25" customHeight="1" x14ac:dyDescent="0.25">
      <c r="A1034" s="1" t="s">
        <v>1122</v>
      </c>
      <c r="B1034" s="1" t="s">
        <v>1080</v>
      </c>
      <c r="C1034" s="1" t="s">
        <v>56</v>
      </c>
      <c r="D1034" s="1" t="s">
        <v>25</v>
      </c>
      <c r="E1034" s="1" t="s">
        <v>27</v>
      </c>
      <c r="F1034" s="1">
        <v>2864</v>
      </c>
      <c r="G1034" s="14">
        <v>40</v>
      </c>
      <c r="H1034" s="1">
        <v>0.16</v>
      </c>
      <c r="I1034" s="14">
        <v>96230.399999999994</v>
      </c>
      <c r="J1034" s="14">
        <v>61862.400000000001</v>
      </c>
      <c r="K1034" s="15">
        <f>Table5[[#This Row],[Selling Price]]*Table5[[#This Row],[Units Sold]]</f>
        <v>114560</v>
      </c>
      <c r="L1034" t="str">
        <f t="shared" si="16"/>
        <v>2024-11</v>
      </c>
      <c r="M1034" t="str">
        <f>VLOOKUP(Table5[[#This Row],[Store ID]],Table4[[Store ID]:[Store Location]],2)</f>
        <v>Leeds</v>
      </c>
      <c r="N1034" t="str">
        <f>VLOOKUP(Table5[[#This Row],[Store ID]],Table4[[Store ID]:[Region]],3)</f>
        <v>North</v>
      </c>
      <c r="O1034" t="str">
        <f>VLOOKUP(Table5[[#This Row],[Product ID]],'Product Master'!$A$2:$D$10,4)</f>
        <v>Supplier E</v>
      </c>
      <c r="P1034" s="15">
        <f>Table5[[#This Row],[Total Revenue]]-Table5[[#This Row],[Net Sales Revenue]]</f>
        <v>18329.600000000006</v>
      </c>
      <c r="Q1034" s="15">
        <f>Table5[[#This Row],[Net Sales Revenue]]/Table5[[#This Row],[Units Sold]]</f>
        <v>33.6</v>
      </c>
      <c r="R1034">
        <f>VLOOKUP(Table5[[#This Row],[Product ID]],'Product Master'!$A$1:$E$10,5,FALSE)</f>
        <v>20</v>
      </c>
      <c r="S1034" s="15">
        <f>Table5[[#This Row],[standard product cost per unit]]*Table5[[#This Row],[Units Sold]]</f>
        <v>57280</v>
      </c>
      <c r="T1034" s="15">
        <f>Table5[[#This Row],[Cost of Sales]]-Table5[[#This Row],[Standard cost]]</f>
        <v>4582.4000000000015</v>
      </c>
      <c r="U1034" s="15">
        <f>Table5[[#This Row],[Net Sales Revenue]]-Table5[[#This Row],[Cost of Sales]]</f>
        <v>34367.999999999993</v>
      </c>
      <c r="V1034" s="17">
        <f>Table5[[#This Row],[GrossProfit]]/Table5[[#This Row],[Net Sales Revenue]]</f>
        <v>0.3571428571428571</v>
      </c>
    </row>
    <row r="1035" spans="1:22" ht="14.25" customHeight="1" x14ac:dyDescent="0.25">
      <c r="A1035" s="1" t="s">
        <v>1123</v>
      </c>
      <c r="B1035" s="1" t="s">
        <v>1080</v>
      </c>
      <c r="C1035" s="1" t="s">
        <v>56</v>
      </c>
      <c r="D1035" s="1" t="s">
        <v>29</v>
      </c>
      <c r="E1035" s="1" t="s">
        <v>31</v>
      </c>
      <c r="F1035" s="1">
        <v>1579</v>
      </c>
      <c r="G1035" s="14">
        <v>10</v>
      </c>
      <c r="H1035" s="1">
        <v>0.13</v>
      </c>
      <c r="I1035" s="14">
        <v>13737.3</v>
      </c>
      <c r="J1035" s="14">
        <v>6821.28</v>
      </c>
      <c r="K1035" s="15">
        <f>Table5[[#This Row],[Selling Price]]*Table5[[#This Row],[Units Sold]]</f>
        <v>15790</v>
      </c>
      <c r="L1035" t="str">
        <f t="shared" si="16"/>
        <v>2024-11</v>
      </c>
      <c r="M1035" t="str">
        <f>VLOOKUP(Table5[[#This Row],[Store ID]],Table4[[Store ID]:[Store Location]],2)</f>
        <v>Leeds</v>
      </c>
      <c r="N1035" t="str">
        <f>VLOOKUP(Table5[[#This Row],[Store ID]],Table4[[Store ID]:[Region]],3)</f>
        <v>North</v>
      </c>
      <c r="O1035" t="str">
        <f>VLOOKUP(Table5[[#This Row],[Product ID]],'Product Master'!$A$2:$D$10,4)</f>
        <v>Supplier F</v>
      </c>
      <c r="P1035" s="15">
        <f>Table5[[#This Row],[Total Revenue]]-Table5[[#This Row],[Net Sales Revenue]]</f>
        <v>2052.7000000000007</v>
      </c>
      <c r="Q1035" s="15">
        <f>Table5[[#This Row],[Net Sales Revenue]]/Table5[[#This Row],[Units Sold]]</f>
        <v>8.6999999999999993</v>
      </c>
      <c r="R1035">
        <f>VLOOKUP(Table5[[#This Row],[Product ID]],'Product Master'!$A$1:$E$10,5,FALSE)</f>
        <v>4</v>
      </c>
      <c r="S1035" s="15">
        <f>Table5[[#This Row],[standard product cost per unit]]*Table5[[#This Row],[Units Sold]]</f>
        <v>6316</v>
      </c>
      <c r="T1035" s="15">
        <f>Table5[[#This Row],[Cost of Sales]]-Table5[[#This Row],[Standard cost]]</f>
        <v>505.27999999999975</v>
      </c>
      <c r="U1035" s="15">
        <f>Table5[[#This Row],[Net Sales Revenue]]-Table5[[#This Row],[Cost of Sales]]</f>
        <v>6916.0199999999995</v>
      </c>
      <c r="V1035" s="17">
        <f>Table5[[#This Row],[GrossProfit]]/Table5[[#This Row],[Net Sales Revenue]]</f>
        <v>0.50344827586206897</v>
      </c>
    </row>
    <row r="1036" spans="1:22" ht="14.25" customHeight="1" x14ac:dyDescent="0.25">
      <c r="A1036" s="1" t="s">
        <v>1124</v>
      </c>
      <c r="B1036" s="1" t="s">
        <v>1080</v>
      </c>
      <c r="C1036" s="1" t="s">
        <v>56</v>
      </c>
      <c r="D1036" s="1" t="s">
        <v>33</v>
      </c>
      <c r="E1036" s="1" t="s">
        <v>31</v>
      </c>
      <c r="F1036" s="1">
        <v>2402</v>
      </c>
      <c r="G1036" s="14">
        <v>22</v>
      </c>
      <c r="H1036" s="1">
        <v>0.16</v>
      </c>
      <c r="I1036" s="14">
        <v>44388.959999999999</v>
      </c>
      <c r="J1036" s="14">
        <v>25941.599999999999</v>
      </c>
      <c r="K1036" s="15">
        <f>Table5[[#This Row],[Selling Price]]*Table5[[#This Row],[Units Sold]]</f>
        <v>52844</v>
      </c>
      <c r="L1036" t="str">
        <f t="shared" si="16"/>
        <v>2024-11</v>
      </c>
      <c r="M1036" t="str">
        <f>VLOOKUP(Table5[[#This Row],[Store ID]],Table4[[Store ID]:[Store Location]],2)</f>
        <v>Leeds</v>
      </c>
      <c r="N1036" t="str">
        <f>VLOOKUP(Table5[[#This Row],[Store ID]],Table4[[Store ID]:[Region]],3)</f>
        <v>North</v>
      </c>
      <c r="O1036" t="str">
        <f>VLOOKUP(Table5[[#This Row],[Product ID]],'Product Master'!$A$2:$D$10,4)</f>
        <v>Supplier F</v>
      </c>
      <c r="P1036" s="15">
        <f>Table5[[#This Row],[Total Revenue]]-Table5[[#This Row],[Net Sales Revenue]]</f>
        <v>8455.0400000000009</v>
      </c>
      <c r="Q1036" s="15">
        <f>Table5[[#This Row],[Net Sales Revenue]]/Table5[[#This Row],[Units Sold]]</f>
        <v>18.48</v>
      </c>
      <c r="R1036">
        <f>VLOOKUP(Table5[[#This Row],[Product ID]],'Product Master'!$A$1:$E$10,5,FALSE)</f>
        <v>10</v>
      </c>
      <c r="S1036" s="15">
        <f>Table5[[#This Row],[standard product cost per unit]]*Table5[[#This Row],[Units Sold]]</f>
        <v>24020</v>
      </c>
      <c r="T1036" s="15">
        <f>Table5[[#This Row],[Cost of Sales]]-Table5[[#This Row],[Standard cost]]</f>
        <v>1921.5999999999985</v>
      </c>
      <c r="U1036" s="15">
        <f>Table5[[#This Row],[Net Sales Revenue]]-Table5[[#This Row],[Cost of Sales]]</f>
        <v>18447.36</v>
      </c>
      <c r="V1036" s="17">
        <f>Table5[[#This Row],[GrossProfit]]/Table5[[#This Row],[Net Sales Revenue]]</f>
        <v>0.41558441558441561</v>
      </c>
    </row>
    <row r="1037" spans="1:22" ht="14.25" customHeight="1" x14ac:dyDescent="0.25">
      <c r="A1037" s="1" t="s">
        <v>1125</v>
      </c>
      <c r="B1037" s="1" t="s">
        <v>1126</v>
      </c>
      <c r="C1037" s="1" t="s">
        <v>40</v>
      </c>
      <c r="D1037" s="1" t="s">
        <v>6</v>
      </c>
      <c r="E1037" s="1" t="s">
        <v>8</v>
      </c>
      <c r="F1037" s="1">
        <v>2820</v>
      </c>
      <c r="G1037" s="14">
        <v>24</v>
      </c>
      <c r="H1037" s="1">
        <v>0.15</v>
      </c>
      <c r="I1037" s="14">
        <v>57528</v>
      </c>
      <c r="J1037" s="14">
        <v>36547.199999999997</v>
      </c>
      <c r="K1037" s="15">
        <f>Table5[[#This Row],[Selling Price]]*Table5[[#This Row],[Units Sold]]</f>
        <v>67680</v>
      </c>
      <c r="L1037" t="str">
        <f t="shared" si="16"/>
        <v>2024-12</v>
      </c>
      <c r="M1037" t="str">
        <f>VLOOKUP(Table5[[#This Row],[Store ID]],Table4[[Store ID]:[Store Location]],2)</f>
        <v>Manchester</v>
      </c>
      <c r="N1037" t="str">
        <f>VLOOKUP(Table5[[#This Row],[Store ID]],Table4[[Store ID]:[Region]],3)</f>
        <v>North</v>
      </c>
      <c r="O1037" t="str">
        <f>VLOOKUP(Table5[[#This Row],[Product ID]],'Product Master'!$A$2:$D$10,4)</f>
        <v>Supplier A</v>
      </c>
      <c r="P1037" s="15">
        <f>Table5[[#This Row],[Total Revenue]]-Table5[[#This Row],[Net Sales Revenue]]</f>
        <v>10152</v>
      </c>
      <c r="Q1037" s="15">
        <f>Table5[[#This Row],[Net Sales Revenue]]/Table5[[#This Row],[Units Sold]]</f>
        <v>20.399999999999999</v>
      </c>
      <c r="R1037">
        <f>VLOOKUP(Table5[[#This Row],[Product ID]],'Product Master'!$A$1:$E$10,5,FALSE)</f>
        <v>12</v>
      </c>
      <c r="S1037" s="15">
        <f>Table5[[#This Row],[standard product cost per unit]]*Table5[[#This Row],[Units Sold]]</f>
        <v>33840</v>
      </c>
      <c r="T1037" s="15">
        <f>Table5[[#This Row],[Cost of Sales]]-Table5[[#This Row],[Standard cost]]</f>
        <v>2707.1999999999971</v>
      </c>
      <c r="U1037" s="15">
        <f>Table5[[#This Row],[Net Sales Revenue]]-Table5[[#This Row],[Cost of Sales]]</f>
        <v>20980.800000000003</v>
      </c>
      <c r="V1037" s="17">
        <f>Table5[[#This Row],[GrossProfit]]/Table5[[#This Row],[Net Sales Revenue]]</f>
        <v>0.36470588235294121</v>
      </c>
    </row>
    <row r="1038" spans="1:22" ht="14.25" customHeight="1" x14ac:dyDescent="0.25">
      <c r="A1038" s="1" t="s">
        <v>1127</v>
      </c>
      <c r="B1038" s="1" t="s">
        <v>1126</v>
      </c>
      <c r="C1038" s="1" t="s">
        <v>40</v>
      </c>
      <c r="D1038" s="1" t="s">
        <v>10</v>
      </c>
      <c r="E1038" s="1" t="s">
        <v>8</v>
      </c>
      <c r="F1038" s="1">
        <v>2204</v>
      </c>
      <c r="G1038" s="14">
        <v>50</v>
      </c>
      <c r="H1038" s="1">
        <v>0.16</v>
      </c>
      <c r="I1038" s="14">
        <v>92568</v>
      </c>
      <c r="J1038" s="14">
        <v>66648.960000000006</v>
      </c>
      <c r="K1038" s="15">
        <f>Table5[[#This Row],[Selling Price]]*Table5[[#This Row],[Units Sold]]</f>
        <v>110200</v>
      </c>
      <c r="L1038" t="str">
        <f t="shared" si="16"/>
        <v>2024-12</v>
      </c>
      <c r="M1038" t="str">
        <f>VLOOKUP(Table5[[#This Row],[Store ID]],Table4[[Store ID]:[Store Location]],2)</f>
        <v>Manchester</v>
      </c>
      <c r="N1038" t="str">
        <f>VLOOKUP(Table5[[#This Row],[Store ID]],Table4[[Store ID]:[Region]],3)</f>
        <v>North</v>
      </c>
      <c r="O1038" t="str">
        <f>VLOOKUP(Table5[[#This Row],[Product ID]],'Product Master'!$A$2:$D$10,4)</f>
        <v>Supplier B</v>
      </c>
      <c r="P1038" s="15">
        <f>Table5[[#This Row],[Total Revenue]]-Table5[[#This Row],[Net Sales Revenue]]</f>
        <v>17632</v>
      </c>
      <c r="Q1038" s="15">
        <f>Table5[[#This Row],[Net Sales Revenue]]/Table5[[#This Row],[Units Sold]]</f>
        <v>42</v>
      </c>
      <c r="R1038">
        <f>VLOOKUP(Table5[[#This Row],[Product ID]],'Product Master'!$A$1:$E$10,5,FALSE)</f>
        <v>28</v>
      </c>
      <c r="S1038" s="15">
        <f>Table5[[#This Row],[standard product cost per unit]]*Table5[[#This Row],[Units Sold]]</f>
        <v>61712</v>
      </c>
      <c r="T1038" s="15">
        <f>Table5[[#This Row],[Cost of Sales]]-Table5[[#This Row],[Standard cost]]</f>
        <v>4936.9600000000064</v>
      </c>
      <c r="U1038" s="15">
        <f>Table5[[#This Row],[Net Sales Revenue]]-Table5[[#This Row],[Cost of Sales]]</f>
        <v>25919.039999999994</v>
      </c>
      <c r="V1038" s="17">
        <f>Table5[[#This Row],[GrossProfit]]/Table5[[#This Row],[Net Sales Revenue]]</f>
        <v>0.27999999999999992</v>
      </c>
    </row>
    <row r="1039" spans="1:22" ht="14.25" customHeight="1" x14ac:dyDescent="0.25">
      <c r="A1039" s="1" t="s">
        <v>1128</v>
      </c>
      <c r="B1039" s="1" t="s">
        <v>1126</v>
      </c>
      <c r="C1039" s="1" t="s">
        <v>40</v>
      </c>
      <c r="D1039" s="1" t="s">
        <v>13</v>
      </c>
      <c r="E1039" s="1" t="s">
        <v>15</v>
      </c>
      <c r="F1039" s="1">
        <v>2802</v>
      </c>
      <c r="G1039" s="14">
        <v>28</v>
      </c>
      <c r="H1039" s="1">
        <v>0.16</v>
      </c>
      <c r="I1039" s="14">
        <v>65903.039999999994</v>
      </c>
      <c r="J1039" s="14">
        <v>45392.4</v>
      </c>
      <c r="K1039" s="15">
        <f>Table5[[#This Row],[Selling Price]]*Table5[[#This Row],[Units Sold]]</f>
        <v>78456</v>
      </c>
      <c r="L1039" t="str">
        <f t="shared" si="16"/>
        <v>2024-12</v>
      </c>
      <c r="M1039" t="str">
        <f>VLOOKUP(Table5[[#This Row],[Store ID]],Table4[[Store ID]:[Store Location]],2)</f>
        <v>Manchester</v>
      </c>
      <c r="N1039" t="str">
        <f>VLOOKUP(Table5[[#This Row],[Store ID]],Table4[[Store ID]:[Region]],3)</f>
        <v>North</v>
      </c>
      <c r="O1039" t="str">
        <f>VLOOKUP(Table5[[#This Row],[Product ID]],'Product Master'!$A$2:$D$10,4)</f>
        <v>Supplier C</v>
      </c>
      <c r="P1039" s="15">
        <f>Table5[[#This Row],[Total Revenue]]-Table5[[#This Row],[Net Sales Revenue]]</f>
        <v>12552.960000000006</v>
      </c>
      <c r="Q1039" s="15">
        <f>Table5[[#This Row],[Net Sales Revenue]]/Table5[[#This Row],[Units Sold]]</f>
        <v>23.519999999999996</v>
      </c>
      <c r="R1039">
        <f>VLOOKUP(Table5[[#This Row],[Product ID]],'Product Master'!$A$1:$E$10,5,FALSE)</f>
        <v>15</v>
      </c>
      <c r="S1039" s="15">
        <f>Table5[[#This Row],[standard product cost per unit]]*Table5[[#This Row],[Units Sold]]</f>
        <v>42030</v>
      </c>
      <c r="T1039" s="15">
        <f>Table5[[#This Row],[Cost of Sales]]-Table5[[#This Row],[Standard cost]]</f>
        <v>3362.4000000000015</v>
      </c>
      <c r="U1039" s="15">
        <f>Table5[[#This Row],[Net Sales Revenue]]-Table5[[#This Row],[Cost of Sales]]</f>
        <v>20510.639999999992</v>
      </c>
      <c r="V1039" s="17">
        <f>Table5[[#This Row],[GrossProfit]]/Table5[[#This Row],[Net Sales Revenue]]</f>
        <v>0.31122448979591827</v>
      </c>
    </row>
    <row r="1040" spans="1:22" ht="14.25" customHeight="1" x14ac:dyDescent="0.25">
      <c r="A1040" s="1" t="s">
        <v>1129</v>
      </c>
      <c r="B1040" s="1" t="s">
        <v>1126</v>
      </c>
      <c r="C1040" s="1" t="s">
        <v>40</v>
      </c>
      <c r="D1040" s="1" t="s">
        <v>17</v>
      </c>
      <c r="E1040" s="1" t="s">
        <v>15</v>
      </c>
      <c r="F1040" s="1">
        <v>2371</v>
      </c>
      <c r="G1040" s="14">
        <v>35</v>
      </c>
      <c r="H1040" s="1">
        <v>0.17</v>
      </c>
      <c r="I1040" s="14">
        <v>68877.55</v>
      </c>
      <c r="J1040" s="14">
        <v>46092.24</v>
      </c>
      <c r="K1040" s="15">
        <f>Table5[[#This Row],[Selling Price]]*Table5[[#This Row],[Units Sold]]</f>
        <v>82985</v>
      </c>
      <c r="L1040" t="str">
        <f t="shared" si="16"/>
        <v>2024-12</v>
      </c>
      <c r="M1040" t="str">
        <f>VLOOKUP(Table5[[#This Row],[Store ID]],Table4[[Store ID]:[Store Location]],2)</f>
        <v>Manchester</v>
      </c>
      <c r="N1040" t="str">
        <f>VLOOKUP(Table5[[#This Row],[Store ID]],Table4[[Store ID]:[Region]],3)</f>
        <v>North</v>
      </c>
      <c r="O1040" t="str">
        <f>VLOOKUP(Table5[[#This Row],[Product ID]],'Product Master'!$A$2:$D$10,4)</f>
        <v>Supplier C</v>
      </c>
      <c r="P1040" s="15">
        <f>Table5[[#This Row],[Total Revenue]]-Table5[[#This Row],[Net Sales Revenue]]</f>
        <v>14107.449999999997</v>
      </c>
      <c r="Q1040" s="15">
        <f>Table5[[#This Row],[Net Sales Revenue]]/Table5[[#This Row],[Units Sold]]</f>
        <v>29.05</v>
      </c>
      <c r="R1040">
        <f>VLOOKUP(Table5[[#This Row],[Product ID]],'Product Master'!$A$1:$E$10,5,FALSE)</f>
        <v>18</v>
      </c>
      <c r="S1040" s="15">
        <f>Table5[[#This Row],[standard product cost per unit]]*Table5[[#This Row],[Units Sold]]</f>
        <v>42678</v>
      </c>
      <c r="T1040" s="15">
        <f>Table5[[#This Row],[Cost of Sales]]-Table5[[#This Row],[Standard cost]]</f>
        <v>3414.239999999998</v>
      </c>
      <c r="U1040" s="15">
        <f>Table5[[#This Row],[Net Sales Revenue]]-Table5[[#This Row],[Cost of Sales]]</f>
        <v>22785.310000000005</v>
      </c>
      <c r="V1040" s="17">
        <f>Table5[[#This Row],[GrossProfit]]/Table5[[#This Row],[Net Sales Revenue]]</f>
        <v>0.3308089500860586</v>
      </c>
    </row>
    <row r="1041" spans="1:22" ht="14.25" customHeight="1" x14ac:dyDescent="0.25">
      <c r="A1041" s="1" t="s">
        <v>1130</v>
      </c>
      <c r="B1041" s="1" t="s">
        <v>1126</v>
      </c>
      <c r="C1041" s="1" t="s">
        <v>40</v>
      </c>
      <c r="D1041" s="1" t="s">
        <v>19</v>
      </c>
      <c r="E1041" s="1" t="s">
        <v>21</v>
      </c>
      <c r="F1041" s="1">
        <v>1628</v>
      </c>
      <c r="G1041" s="14">
        <v>18</v>
      </c>
      <c r="H1041" s="1">
        <v>0.15</v>
      </c>
      <c r="I1041" s="14">
        <v>24908.400000000001</v>
      </c>
      <c r="J1041" s="14">
        <v>15824.16</v>
      </c>
      <c r="K1041" s="15">
        <f>Table5[[#This Row],[Selling Price]]*Table5[[#This Row],[Units Sold]]</f>
        <v>29304</v>
      </c>
      <c r="L1041" t="str">
        <f t="shared" si="16"/>
        <v>2024-12</v>
      </c>
      <c r="M1041" t="str">
        <f>VLOOKUP(Table5[[#This Row],[Store ID]],Table4[[Store ID]:[Store Location]],2)</f>
        <v>Manchester</v>
      </c>
      <c r="N1041" t="str">
        <f>VLOOKUP(Table5[[#This Row],[Store ID]],Table4[[Store ID]:[Region]],3)</f>
        <v>North</v>
      </c>
      <c r="O1041" t="str">
        <f>VLOOKUP(Table5[[#This Row],[Product ID]],'Product Master'!$A$2:$D$10,4)</f>
        <v>Supplier D</v>
      </c>
      <c r="P1041" s="15">
        <f>Table5[[#This Row],[Total Revenue]]-Table5[[#This Row],[Net Sales Revenue]]</f>
        <v>4395.5999999999985</v>
      </c>
      <c r="Q1041" s="15">
        <f>Table5[[#This Row],[Net Sales Revenue]]/Table5[[#This Row],[Units Sold]]</f>
        <v>15.3</v>
      </c>
      <c r="R1041">
        <f>VLOOKUP(Table5[[#This Row],[Product ID]],'Product Master'!$A$1:$E$10,5,FALSE)</f>
        <v>9</v>
      </c>
      <c r="S1041" s="15">
        <f>Table5[[#This Row],[standard product cost per unit]]*Table5[[#This Row],[Units Sold]]</f>
        <v>14652</v>
      </c>
      <c r="T1041" s="15">
        <f>Table5[[#This Row],[Cost of Sales]]-Table5[[#This Row],[Standard cost]]</f>
        <v>1172.1599999999999</v>
      </c>
      <c r="U1041" s="15">
        <f>Table5[[#This Row],[Net Sales Revenue]]-Table5[[#This Row],[Cost of Sales]]</f>
        <v>9084.2400000000016</v>
      </c>
      <c r="V1041" s="17">
        <f>Table5[[#This Row],[GrossProfit]]/Table5[[#This Row],[Net Sales Revenue]]</f>
        <v>0.36470588235294121</v>
      </c>
    </row>
    <row r="1042" spans="1:22" ht="14.25" customHeight="1" x14ac:dyDescent="0.25">
      <c r="A1042" s="1" t="s">
        <v>1131</v>
      </c>
      <c r="B1042" s="1" t="s">
        <v>1126</v>
      </c>
      <c r="C1042" s="1" t="s">
        <v>40</v>
      </c>
      <c r="D1042" s="1" t="s">
        <v>23</v>
      </c>
      <c r="E1042" s="1" t="s">
        <v>21</v>
      </c>
      <c r="F1042" s="1">
        <v>1874</v>
      </c>
      <c r="G1042" s="14">
        <v>30</v>
      </c>
      <c r="H1042" s="1">
        <v>0.12</v>
      </c>
      <c r="I1042" s="14">
        <v>49473.599999999999</v>
      </c>
      <c r="J1042" s="14">
        <v>28334.880000000001</v>
      </c>
      <c r="K1042" s="15">
        <f>Table5[[#This Row],[Selling Price]]*Table5[[#This Row],[Units Sold]]</f>
        <v>56220</v>
      </c>
      <c r="L1042" t="str">
        <f t="shared" si="16"/>
        <v>2024-12</v>
      </c>
      <c r="M1042" t="str">
        <f>VLOOKUP(Table5[[#This Row],[Store ID]],Table4[[Store ID]:[Store Location]],2)</f>
        <v>Manchester</v>
      </c>
      <c r="N1042" t="str">
        <f>VLOOKUP(Table5[[#This Row],[Store ID]],Table4[[Store ID]:[Region]],3)</f>
        <v>North</v>
      </c>
      <c r="O1042" t="str">
        <f>VLOOKUP(Table5[[#This Row],[Product ID]],'Product Master'!$A$2:$D$10,4)</f>
        <v>Supplier D</v>
      </c>
      <c r="P1042" s="15">
        <f>Table5[[#This Row],[Total Revenue]]-Table5[[#This Row],[Net Sales Revenue]]</f>
        <v>6746.4000000000015</v>
      </c>
      <c r="Q1042" s="15">
        <f>Table5[[#This Row],[Net Sales Revenue]]/Table5[[#This Row],[Units Sold]]</f>
        <v>26.4</v>
      </c>
      <c r="R1042">
        <f>VLOOKUP(Table5[[#This Row],[Product ID]],'Product Master'!$A$1:$E$10,5,FALSE)</f>
        <v>14</v>
      </c>
      <c r="S1042" s="15">
        <f>Table5[[#This Row],[standard product cost per unit]]*Table5[[#This Row],[Units Sold]]</f>
        <v>26236</v>
      </c>
      <c r="T1042" s="15">
        <f>Table5[[#This Row],[Cost of Sales]]-Table5[[#This Row],[Standard cost]]</f>
        <v>2098.880000000001</v>
      </c>
      <c r="U1042" s="15">
        <f>Table5[[#This Row],[Net Sales Revenue]]-Table5[[#This Row],[Cost of Sales]]</f>
        <v>21138.719999999998</v>
      </c>
      <c r="V1042" s="17">
        <f>Table5[[#This Row],[GrossProfit]]/Table5[[#This Row],[Net Sales Revenue]]</f>
        <v>0.42727272727272725</v>
      </c>
    </row>
    <row r="1043" spans="1:22" ht="14.25" customHeight="1" x14ac:dyDescent="0.25">
      <c r="A1043" s="1" t="s">
        <v>1132</v>
      </c>
      <c r="B1043" s="1" t="s">
        <v>1126</v>
      </c>
      <c r="C1043" s="1" t="s">
        <v>40</v>
      </c>
      <c r="D1043" s="1" t="s">
        <v>25</v>
      </c>
      <c r="E1043" s="1" t="s">
        <v>27</v>
      </c>
      <c r="F1043" s="1">
        <v>3036</v>
      </c>
      <c r="G1043" s="14">
        <v>40</v>
      </c>
      <c r="H1043" s="1">
        <v>0.14000000000000001</v>
      </c>
      <c r="I1043" s="14">
        <v>104438.39999999999</v>
      </c>
      <c r="J1043" s="14">
        <v>65577.600000000006</v>
      </c>
      <c r="K1043" s="15">
        <f>Table5[[#This Row],[Selling Price]]*Table5[[#This Row],[Units Sold]]</f>
        <v>121440</v>
      </c>
      <c r="L1043" t="str">
        <f t="shared" si="16"/>
        <v>2024-12</v>
      </c>
      <c r="M1043" t="str">
        <f>VLOOKUP(Table5[[#This Row],[Store ID]],Table4[[Store ID]:[Store Location]],2)</f>
        <v>Manchester</v>
      </c>
      <c r="N1043" t="str">
        <f>VLOOKUP(Table5[[#This Row],[Store ID]],Table4[[Store ID]:[Region]],3)</f>
        <v>North</v>
      </c>
      <c r="O1043" t="str">
        <f>VLOOKUP(Table5[[#This Row],[Product ID]],'Product Master'!$A$2:$D$10,4)</f>
        <v>Supplier E</v>
      </c>
      <c r="P1043" s="15">
        <f>Table5[[#This Row],[Total Revenue]]-Table5[[#This Row],[Net Sales Revenue]]</f>
        <v>17001.600000000006</v>
      </c>
      <c r="Q1043" s="15">
        <f>Table5[[#This Row],[Net Sales Revenue]]/Table5[[#This Row],[Units Sold]]</f>
        <v>34.4</v>
      </c>
      <c r="R1043">
        <f>VLOOKUP(Table5[[#This Row],[Product ID]],'Product Master'!$A$1:$E$10,5,FALSE)</f>
        <v>20</v>
      </c>
      <c r="S1043" s="15">
        <f>Table5[[#This Row],[standard product cost per unit]]*Table5[[#This Row],[Units Sold]]</f>
        <v>60720</v>
      </c>
      <c r="T1043" s="15">
        <f>Table5[[#This Row],[Cost of Sales]]-Table5[[#This Row],[Standard cost]]</f>
        <v>4857.6000000000058</v>
      </c>
      <c r="U1043" s="15">
        <f>Table5[[#This Row],[Net Sales Revenue]]-Table5[[#This Row],[Cost of Sales]]</f>
        <v>38860.799999999988</v>
      </c>
      <c r="V1043" s="17">
        <f>Table5[[#This Row],[GrossProfit]]/Table5[[#This Row],[Net Sales Revenue]]</f>
        <v>0.37209302325581384</v>
      </c>
    </row>
    <row r="1044" spans="1:22" ht="14.25" customHeight="1" x14ac:dyDescent="0.25">
      <c r="A1044" s="1" t="s">
        <v>1133</v>
      </c>
      <c r="B1044" s="1" t="s">
        <v>1126</v>
      </c>
      <c r="C1044" s="1" t="s">
        <v>40</v>
      </c>
      <c r="D1044" s="1" t="s">
        <v>29</v>
      </c>
      <c r="E1044" s="1" t="s">
        <v>31</v>
      </c>
      <c r="F1044" s="1">
        <v>1328</v>
      </c>
      <c r="G1044" s="14">
        <v>10</v>
      </c>
      <c r="H1044" s="1">
        <v>0.13</v>
      </c>
      <c r="I1044" s="14">
        <v>11553.6</v>
      </c>
      <c r="J1044" s="14">
        <v>5736.96</v>
      </c>
      <c r="K1044" s="15">
        <f>Table5[[#This Row],[Selling Price]]*Table5[[#This Row],[Units Sold]]</f>
        <v>13280</v>
      </c>
      <c r="L1044" t="str">
        <f t="shared" si="16"/>
        <v>2024-12</v>
      </c>
      <c r="M1044" t="str">
        <f>VLOOKUP(Table5[[#This Row],[Store ID]],Table4[[Store ID]:[Store Location]],2)</f>
        <v>Manchester</v>
      </c>
      <c r="N1044" t="str">
        <f>VLOOKUP(Table5[[#This Row],[Store ID]],Table4[[Store ID]:[Region]],3)</f>
        <v>North</v>
      </c>
      <c r="O1044" t="str">
        <f>VLOOKUP(Table5[[#This Row],[Product ID]],'Product Master'!$A$2:$D$10,4)</f>
        <v>Supplier F</v>
      </c>
      <c r="P1044" s="15">
        <f>Table5[[#This Row],[Total Revenue]]-Table5[[#This Row],[Net Sales Revenue]]</f>
        <v>1726.3999999999996</v>
      </c>
      <c r="Q1044" s="15">
        <f>Table5[[#This Row],[Net Sales Revenue]]/Table5[[#This Row],[Units Sold]]</f>
        <v>8.7000000000000011</v>
      </c>
      <c r="R1044">
        <f>VLOOKUP(Table5[[#This Row],[Product ID]],'Product Master'!$A$1:$E$10,5,FALSE)</f>
        <v>4</v>
      </c>
      <c r="S1044" s="15">
        <f>Table5[[#This Row],[standard product cost per unit]]*Table5[[#This Row],[Units Sold]]</f>
        <v>5312</v>
      </c>
      <c r="T1044" s="15">
        <f>Table5[[#This Row],[Cost of Sales]]-Table5[[#This Row],[Standard cost]]</f>
        <v>424.96000000000004</v>
      </c>
      <c r="U1044" s="15">
        <f>Table5[[#This Row],[Net Sales Revenue]]-Table5[[#This Row],[Cost of Sales]]</f>
        <v>5816.64</v>
      </c>
      <c r="V1044" s="17">
        <f>Table5[[#This Row],[GrossProfit]]/Table5[[#This Row],[Net Sales Revenue]]</f>
        <v>0.50344827586206897</v>
      </c>
    </row>
    <row r="1045" spans="1:22" ht="14.25" customHeight="1" x14ac:dyDescent="0.25">
      <c r="A1045" s="1" t="s">
        <v>1134</v>
      </c>
      <c r="B1045" s="1" t="s">
        <v>1126</v>
      </c>
      <c r="C1045" s="1" t="s">
        <v>40</v>
      </c>
      <c r="D1045" s="1" t="s">
        <v>33</v>
      </c>
      <c r="E1045" s="1" t="s">
        <v>31</v>
      </c>
      <c r="F1045" s="1">
        <v>2138</v>
      </c>
      <c r="G1045" s="14">
        <v>22</v>
      </c>
      <c r="H1045" s="1">
        <v>0.15</v>
      </c>
      <c r="I1045" s="14">
        <v>39980.6</v>
      </c>
      <c r="J1045" s="14">
        <v>23090.400000000001</v>
      </c>
      <c r="K1045" s="15">
        <f>Table5[[#This Row],[Selling Price]]*Table5[[#This Row],[Units Sold]]</f>
        <v>47036</v>
      </c>
      <c r="L1045" t="str">
        <f t="shared" si="16"/>
        <v>2024-12</v>
      </c>
      <c r="M1045" t="str">
        <f>VLOOKUP(Table5[[#This Row],[Store ID]],Table4[[Store ID]:[Store Location]],2)</f>
        <v>Manchester</v>
      </c>
      <c r="N1045" t="str">
        <f>VLOOKUP(Table5[[#This Row],[Store ID]],Table4[[Store ID]:[Region]],3)</f>
        <v>North</v>
      </c>
      <c r="O1045" t="str">
        <f>VLOOKUP(Table5[[#This Row],[Product ID]],'Product Master'!$A$2:$D$10,4)</f>
        <v>Supplier F</v>
      </c>
      <c r="P1045" s="15">
        <f>Table5[[#This Row],[Total Revenue]]-Table5[[#This Row],[Net Sales Revenue]]</f>
        <v>7055.4000000000015</v>
      </c>
      <c r="Q1045" s="15">
        <f>Table5[[#This Row],[Net Sales Revenue]]/Table5[[#This Row],[Units Sold]]</f>
        <v>18.7</v>
      </c>
      <c r="R1045">
        <f>VLOOKUP(Table5[[#This Row],[Product ID]],'Product Master'!$A$1:$E$10,5,FALSE)</f>
        <v>10</v>
      </c>
      <c r="S1045" s="15">
        <f>Table5[[#This Row],[standard product cost per unit]]*Table5[[#This Row],[Units Sold]]</f>
        <v>21380</v>
      </c>
      <c r="T1045" s="15">
        <f>Table5[[#This Row],[Cost of Sales]]-Table5[[#This Row],[Standard cost]]</f>
        <v>1710.4000000000015</v>
      </c>
      <c r="U1045" s="15">
        <f>Table5[[#This Row],[Net Sales Revenue]]-Table5[[#This Row],[Cost of Sales]]</f>
        <v>16890.199999999997</v>
      </c>
      <c r="V1045" s="17">
        <f>Table5[[#This Row],[GrossProfit]]/Table5[[#This Row],[Net Sales Revenue]]</f>
        <v>0.42245989304812831</v>
      </c>
    </row>
    <row r="1046" spans="1:22" ht="14.25" customHeight="1" x14ac:dyDescent="0.25">
      <c r="A1046" s="1" t="s">
        <v>1135</v>
      </c>
      <c r="B1046" s="1" t="s">
        <v>1126</v>
      </c>
      <c r="C1046" s="1" t="s">
        <v>44</v>
      </c>
      <c r="D1046" s="1" t="s">
        <v>6</v>
      </c>
      <c r="E1046" s="1" t="s">
        <v>8</v>
      </c>
      <c r="F1046" s="1">
        <v>2631</v>
      </c>
      <c r="G1046" s="14">
        <v>24</v>
      </c>
      <c r="H1046" s="1">
        <v>0.15</v>
      </c>
      <c r="I1046" s="14">
        <v>53672.4</v>
      </c>
      <c r="J1046" s="14">
        <v>34097.760000000002</v>
      </c>
      <c r="K1046" s="15">
        <f>Table5[[#This Row],[Selling Price]]*Table5[[#This Row],[Units Sold]]</f>
        <v>63144</v>
      </c>
      <c r="L1046" t="str">
        <f t="shared" si="16"/>
        <v>2024-12</v>
      </c>
      <c r="M1046" t="str">
        <f>VLOOKUP(Table5[[#This Row],[Store ID]],Table4[[Store ID]:[Store Location]],2)</f>
        <v>Birmingham</v>
      </c>
      <c r="N1046" t="str">
        <f>VLOOKUP(Table5[[#This Row],[Store ID]],Table4[[Store ID]:[Region]],3)</f>
        <v>Midlands</v>
      </c>
      <c r="O1046" t="str">
        <f>VLOOKUP(Table5[[#This Row],[Product ID]],'Product Master'!$A$2:$D$10,4)</f>
        <v>Supplier A</v>
      </c>
      <c r="P1046" s="15">
        <f>Table5[[#This Row],[Total Revenue]]-Table5[[#This Row],[Net Sales Revenue]]</f>
        <v>9471.5999999999985</v>
      </c>
      <c r="Q1046" s="15">
        <f>Table5[[#This Row],[Net Sales Revenue]]/Table5[[#This Row],[Units Sold]]</f>
        <v>20.400000000000002</v>
      </c>
      <c r="R1046">
        <f>VLOOKUP(Table5[[#This Row],[Product ID]],'Product Master'!$A$1:$E$10,5,FALSE)</f>
        <v>12</v>
      </c>
      <c r="S1046" s="15">
        <f>Table5[[#This Row],[standard product cost per unit]]*Table5[[#This Row],[Units Sold]]</f>
        <v>31572</v>
      </c>
      <c r="T1046" s="15">
        <f>Table5[[#This Row],[Cost of Sales]]-Table5[[#This Row],[Standard cost]]</f>
        <v>2525.760000000002</v>
      </c>
      <c r="U1046" s="15">
        <f>Table5[[#This Row],[Net Sales Revenue]]-Table5[[#This Row],[Cost of Sales]]</f>
        <v>19574.64</v>
      </c>
      <c r="V1046" s="17">
        <f>Table5[[#This Row],[GrossProfit]]/Table5[[#This Row],[Net Sales Revenue]]</f>
        <v>0.36470588235294116</v>
      </c>
    </row>
    <row r="1047" spans="1:22" ht="14.25" customHeight="1" x14ac:dyDescent="0.25">
      <c r="A1047" s="1" t="s">
        <v>1136</v>
      </c>
      <c r="B1047" s="1" t="s">
        <v>1126</v>
      </c>
      <c r="C1047" s="1" t="s">
        <v>44</v>
      </c>
      <c r="D1047" s="1" t="s">
        <v>10</v>
      </c>
      <c r="E1047" s="1" t="s">
        <v>8</v>
      </c>
      <c r="F1047" s="1">
        <v>1377</v>
      </c>
      <c r="G1047" s="14">
        <v>50</v>
      </c>
      <c r="H1047" s="1">
        <v>0.15</v>
      </c>
      <c r="I1047" s="14">
        <v>58522.5</v>
      </c>
      <c r="J1047" s="14">
        <v>41640.480000000003</v>
      </c>
      <c r="K1047" s="15">
        <f>Table5[[#This Row],[Selling Price]]*Table5[[#This Row],[Units Sold]]</f>
        <v>68850</v>
      </c>
      <c r="L1047" t="str">
        <f t="shared" si="16"/>
        <v>2024-12</v>
      </c>
      <c r="M1047" t="str">
        <f>VLOOKUP(Table5[[#This Row],[Store ID]],Table4[[Store ID]:[Store Location]],2)</f>
        <v>Birmingham</v>
      </c>
      <c r="N1047" t="str">
        <f>VLOOKUP(Table5[[#This Row],[Store ID]],Table4[[Store ID]:[Region]],3)</f>
        <v>Midlands</v>
      </c>
      <c r="O1047" t="str">
        <f>VLOOKUP(Table5[[#This Row],[Product ID]],'Product Master'!$A$2:$D$10,4)</f>
        <v>Supplier B</v>
      </c>
      <c r="P1047" s="15">
        <f>Table5[[#This Row],[Total Revenue]]-Table5[[#This Row],[Net Sales Revenue]]</f>
        <v>10327.5</v>
      </c>
      <c r="Q1047" s="15">
        <f>Table5[[#This Row],[Net Sales Revenue]]/Table5[[#This Row],[Units Sold]]</f>
        <v>42.5</v>
      </c>
      <c r="R1047">
        <f>VLOOKUP(Table5[[#This Row],[Product ID]],'Product Master'!$A$1:$E$10,5,FALSE)</f>
        <v>28</v>
      </c>
      <c r="S1047" s="15">
        <f>Table5[[#This Row],[standard product cost per unit]]*Table5[[#This Row],[Units Sold]]</f>
        <v>38556</v>
      </c>
      <c r="T1047" s="15">
        <f>Table5[[#This Row],[Cost of Sales]]-Table5[[#This Row],[Standard cost]]</f>
        <v>3084.4800000000032</v>
      </c>
      <c r="U1047" s="15">
        <f>Table5[[#This Row],[Net Sales Revenue]]-Table5[[#This Row],[Cost of Sales]]</f>
        <v>16882.019999999997</v>
      </c>
      <c r="V1047" s="17">
        <f>Table5[[#This Row],[GrossProfit]]/Table5[[#This Row],[Net Sales Revenue]]</f>
        <v>0.28847058823529409</v>
      </c>
    </row>
    <row r="1048" spans="1:22" ht="14.25" customHeight="1" x14ac:dyDescent="0.25">
      <c r="A1048" s="1" t="s">
        <v>1137</v>
      </c>
      <c r="B1048" s="1" t="s">
        <v>1126</v>
      </c>
      <c r="C1048" s="1" t="s">
        <v>44</v>
      </c>
      <c r="D1048" s="1" t="s">
        <v>13</v>
      </c>
      <c r="E1048" s="1" t="s">
        <v>15</v>
      </c>
      <c r="F1048" s="1">
        <v>1716</v>
      </c>
      <c r="G1048" s="14">
        <v>28</v>
      </c>
      <c r="H1048" s="1">
        <v>0.13</v>
      </c>
      <c r="I1048" s="14">
        <v>41801.760000000002</v>
      </c>
      <c r="J1048" s="14">
        <v>27799.200000000001</v>
      </c>
      <c r="K1048" s="15">
        <f>Table5[[#This Row],[Selling Price]]*Table5[[#This Row],[Units Sold]]</f>
        <v>48048</v>
      </c>
      <c r="L1048" t="str">
        <f t="shared" si="16"/>
        <v>2024-12</v>
      </c>
      <c r="M1048" t="str">
        <f>VLOOKUP(Table5[[#This Row],[Store ID]],Table4[[Store ID]:[Store Location]],2)</f>
        <v>Birmingham</v>
      </c>
      <c r="N1048" t="str">
        <f>VLOOKUP(Table5[[#This Row],[Store ID]],Table4[[Store ID]:[Region]],3)</f>
        <v>Midlands</v>
      </c>
      <c r="O1048" t="str">
        <f>VLOOKUP(Table5[[#This Row],[Product ID]],'Product Master'!$A$2:$D$10,4)</f>
        <v>Supplier C</v>
      </c>
      <c r="P1048" s="15">
        <f>Table5[[#This Row],[Total Revenue]]-Table5[[#This Row],[Net Sales Revenue]]</f>
        <v>6246.239999999998</v>
      </c>
      <c r="Q1048" s="15">
        <f>Table5[[#This Row],[Net Sales Revenue]]/Table5[[#This Row],[Units Sold]]</f>
        <v>24.36</v>
      </c>
      <c r="R1048">
        <f>VLOOKUP(Table5[[#This Row],[Product ID]],'Product Master'!$A$1:$E$10,5,FALSE)</f>
        <v>15</v>
      </c>
      <c r="S1048" s="15">
        <f>Table5[[#This Row],[standard product cost per unit]]*Table5[[#This Row],[Units Sold]]</f>
        <v>25740</v>
      </c>
      <c r="T1048" s="15">
        <f>Table5[[#This Row],[Cost of Sales]]-Table5[[#This Row],[Standard cost]]</f>
        <v>2059.2000000000007</v>
      </c>
      <c r="U1048" s="15">
        <f>Table5[[#This Row],[Net Sales Revenue]]-Table5[[#This Row],[Cost of Sales]]</f>
        <v>14002.560000000001</v>
      </c>
      <c r="V1048" s="17">
        <f>Table5[[#This Row],[GrossProfit]]/Table5[[#This Row],[Net Sales Revenue]]</f>
        <v>0.33497536945812811</v>
      </c>
    </row>
    <row r="1049" spans="1:22" ht="14.25" customHeight="1" x14ac:dyDescent="0.25">
      <c r="A1049" s="1" t="s">
        <v>1138</v>
      </c>
      <c r="B1049" s="1" t="s">
        <v>1126</v>
      </c>
      <c r="C1049" s="1" t="s">
        <v>44</v>
      </c>
      <c r="D1049" s="1" t="s">
        <v>17</v>
      </c>
      <c r="E1049" s="1" t="s">
        <v>15</v>
      </c>
      <c r="F1049" s="1">
        <v>3014</v>
      </c>
      <c r="G1049" s="14">
        <v>35</v>
      </c>
      <c r="H1049" s="1">
        <v>0.17</v>
      </c>
      <c r="I1049" s="14">
        <v>87556.7</v>
      </c>
      <c r="J1049" s="14">
        <v>58592.160000000003</v>
      </c>
      <c r="K1049" s="15">
        <f>Table5[[#This Row],[Selling Price]]*Table5[[#This Row],[Units Sold]]</f>
        <v>105490</v>
      </c>
      <c r="L1049" t="str">
        <f t="shared" si="16"/>
        <v>2024-12</v>
      </c>
      <c r="M1049" t="str">
        <f>VLOOKUP(Table5[[#This Row],[Store ID]],Table4[[Store ID]:[Store Location]],2)</f>
        <v>Birmingham</v>
      </c>
      <c r="N1049" t="str">
        <f>VLOOKUP(Table5[[#This Row],[Store ID]],Table4[[Store ID]:[Region]],3)</f>
        <v>Midlands</v>
      </c>
      <c r="O1049" t="str">
        <f>VLOOKUP(Table5[[#This Row],[Product ID]],'Product Master'!$A$2:$D$10,4)</f>
        <v>Supplier C</v>
      </c>
      <c r="P1049" s="15">
        <f>Table5[[#This Row],[Total Revenue]]-Table5[[#This Row],[Net Sales Revenue]]</f>
        <v>17933.300000000003</v>
      </c>
      <c r="Q1049" s="15">
        <f>Table5[[#This Row],[Net Sales Revenue]]/Table5[[#This Row],[Units Sold]]</f>
        <v>29.05</v>
      </c>
      <c r="R1049">
        <f>VLOOKUP(Table5[[#This Row],[Product ID]],'Product Master'!$A$1:$E$10,5,FALSE)</f>
        <v>18</v>
      </c>
      <c r="S1049" s="15">
        <f>Table5[[#This Row],[standard product cost per unit]]*Table5[[#This Row],[Units Sold]]</f>
        <v>54252</v>
      </c>
      <c r="T1049" s="15">
        <f>Table5[[#This Row],[Cost of Sales]]-Table5[[#This Row],[Standard cost]]</f>
        <v>4340.1600000000035</v>
      </c>
      <c r="U1049" s="15">
        <f>Table5[[#This Row],[Net Sales Revenue]]-Table5[[#This Row],[Cost of Sales]]</f>
        <v>28964.539999999994</v>
      </c>
      <c r="V1049" s="17">
        <f>Table5[[#This Row],[GrossProfit]]/Table5[[#This Row],[Net Sales Revenue]]</f>
        <v>0.33080895008605848</v>
      </c>
    </row>
    <row r="1050" spans="1:22" ht="14.25" customHeight="1" x14ac:dyDescent="0.25">
      <c r="A1050" s="1" t="s">
        <v>1139</v>
      </c>
      <c r="B1050" s="1" t="s">
        <v>1126</v>
      </c>
      <c r="C1050" s="1" t="s">
        <v>44</v>
      </c>
      <c r="D1050" s="1" t="s">
        <v>19</v>
      </c>
      <c r="E1050" s="1" t="s">
        <v>21</v>
      </c>
      <c r="F1050" s="1">
        <v>2129</v>
      </c>
      <c r="G1050" s="14">
        <v>18</v>
      </c>
      <c r="H1050" s="1">
        <v>0.14000000000000001</v>
      </c>
      <c r="I1050" s="14">
        <v>32956.92</v>
      </c>
      <c r="J1050" s="14">
        <v>20693.88</v>
      </c>
      <c r="K1050" s="15">
        <f>Table5[[#This Row],[Selling Price]]*Table5[[#This Row],[Units Sold]]</f>
        <v>38322</v>
      </c>
      <c r="L1050" t="str">
        <f t="shared" si="16"/>
        <v>2024-12</v>
      </c>
      <c r="M1050" t="str">
        <f>VLOOKUP(Table5[[#This Row],[Store ID]],Table4[[Store ID]:[Store Location]],2)</f>
        <v>Birmingham</v>
      </c>
      <c r="N1050" t="str">
        <f>VLOOKUP(Table5[[#This Row],[Store ID]],Table4[[Store ID]:[Region]],3)</f>
        <v>Midlands</v>
      </c>
      <c r="O1050" t="str">
        <f>VLOOKUP(Table5[[#This Row],[Product ID]],'Product Master'!$A$2:$D$10,4)</f>
        <v>Supplier D</v>
      </c>
      <c r="P1050" s="15">
        <f>Table5[[#This Row],[Total Revenue]]-Table5[[#This Row],[Net Sales Revenue]]</f>
        <v>5365.0800000000017</v>
      </c>
      <c r="Q1050" s="15">
        <f>Table5[[#This Row],[Net Sales Revenue]]/Table5[[#This Row],[Units Sold]]</f>
        <v>15.479999999999999</v>
      </c>
      <c r="R1050">
        <f>VLOOKUP(Table5[[#This Row],[Product ID]],'Product Master'!$A$1:$E$10,5,FALSE)</f>
        <v>9</v>
      </c>
      <c r="S1050" s="15">
        <f>Table5[[#This Row],[standard product cost per unit]]*Table5[[#This Row],[Units Sold]]</f>
        <v>19161</v>
      </c>
      <c r="T1050" s="15">
        <f>Table5[[#This Row],[Cost of Sales]]-Table5[[#This Row],[Standard cost]]</f>
        <v>1532.880000000001</v>
      </c>
      <c r="U1050" s="15">
        <f>Table5[[#This Row],[Net Sales Revenue]]-Table5[[#This Row],[Cost of Sales]]</f>
        <v>12263.039999999997</v>
      </c>
      <c r="V1050" s="17">
        <f>Table5[[#This Row],[GrossProfit]]/Table5[[#This Row],[Net Sales Revenue]]</f>
        <v>0.37209302325581389</v>
      </c>
    </row>
    <row r="1051" spans="1:22" ht="14.25" customHeight="1" x14ac:dyDescent="0.25">
      <c r="A1051" s="1" t="s">
        <v>1140</v>
      </c>
      <c r="B1051" s="1" t="s">
        <v>1126</v>
      </c>
      <c r="C1051" s="1" t="s">
        <v>44</v>
      </c>
      <c r="D1051" s="1" t="s">
        <v>23</v>
      </c>
      <c r="E1051" s="1" t="s">
        <v>21</v>
      </c>
      <c r="F1051" s="1">
        <v>2046</v>
      </c>
      <c r="G1051" s="14">
        <v>30</v>
      </c>
      <c r="H1051" s="1">
        <v>0.13</v>
      </c>
      <c r="I1051" s="14">
        <v>53400.6</v>
      </c>
      <c r="J1051" s="14">
        <v>30935.52</v>
      </c>
      <c r="K1051" s="15">
        <f>Table5[[#This Row],[Selling Price]]*Table5[[#This Row],[Units Sold]]</f>
        <v>61380</v>
      </c>
      <c r="L1051" t="str">
        <f t="shared" si="16"/>
        <v>2024-12</v>
      </c>
      <c r="M1051" t="str">
        <f>VLOOKUP(Table5[[#This Row],[Store ID]],Table4[[Store ID]:[Store Location]],2)</f>
        <v>Birmingham</v>
      </c>
      <c r="N1051" t="str">
        <f>VLOOKUP(Table5[[#This Row],[Store ID]],Table4[[Store ID]:[Region]],3)</f>
        <v>Midlands</v>
      </c>
      <c r="O1051" t="str">
        <f>VLOOKUP(Table5[[#This Row],[Product ID]],'Product Master'!$A$2:$D$10,4)</f>
        <v>Supplier D</v>
      </c>
      <c r="P1051" s="15">
        <f>Table5[[#This Row],[Total Revenue]]-Table5[[#This Row],[Net Sales Revenue]]</f>
        <v>7979.4000000000015</v>
      </c>
      <c r="Q1051" s="15">
        <f>Table5[[#This Row],[Net Sales Revenue]]/Table5[[#This Row],[Units Sold]]</f>
        <v>26.099999999999998</v>
      </c>
      <c r="R1051">
        <f>VLOOKUP(Table5[[#This Row],[Product ID]],'Product Master'!$A$1:$E$10,5,FALSE)</f>
        <v>14</v>
      </c>
      <c r="S1051" s="15">
        <f>Table5[[#This Row],[standard product cost per unit]]*Table5[[#This Row],[Units Sold]]</f>
        <v>28644</v>
      </c>
      <c r="T1051" s="15">
        <f>Table5[[#This Row],[Cost of Sales]]-Table5[[#This Row],[Standard cost]]</f>
        <v>2291.5200000000004</v>
      </c>
      <c r="U1051" s="15">
        <f>Table5[[#This Row],[Net Sales Revenue]]-Table5[[#This Row],[Cost of Sales]]</f>
        <v>22465.079999999998</v>
      </c>
      <c r="V1051" s="17">
        <f>Table5[[#This Row],[GrossProfit]]/Table5[[#This Row],[Net Sales Revenue]]</f>
        <v>0.42068965517241375</v>
      </c>
    </row>
    <row r="1052" spans="1:22" ht="14.25" customHeight="1" x14ac:dyDescent="0.25">
      <c r="A1052" s="1" t="s">
        <v>1141</v>
      </c>
      <c r="B1052" s="1" t="s">
        <v>1126</v>
      </c>
      <c r="C1052" s="1" t="s">
        <v>44</v>
      </c>
      <c r="D1052" s="1" t="s">
        <v>25</v>
      </c>
      <c r="E1052" s="1" t="s">
        <v>27</v>
      </c>
      <c r="F1052" s="1">
        <v>1751</v>
      </c>
      <c r="G1052" s="14">
        <v>40</v>
      </c>
      <c r="H1052" s="1">
        <v>0.16</v>
      </c>
      <c r="I1052" s="14">
        <v>58833.599999999999</v>
      </c>
      <c r="J1052" s="14">
        <v>37821.599999999999</v>
      </c>
      <c r="K1052" s="15">
        <f>Table5[[#This Row],[Selling Price]]*Table5[[#This Row],[Units Sold]]</f>
        <v>70040</v>
      </c>
      <c r="L1052" t="str">
        <f t="shared" si="16"/>
        <v>2024-12</v>
      </c>
      <c r="M1052" t="str">
        <f>VLOOKUP(Table5[[#This Row],[Store ID]],Table4[[Store ID]:[Store Location]],2)</f>
        <v>Birmingham</v>
      </c>
      <c r="N1052" t="str">
        <f>VLOOKUP(Table5[[#This Row],[Store ID]],Table4[[Store ID]:[Region]],3)</f>
        <v>Midlands</v>
      </c>
      <c r="O1052" t="str">
        <f>VLOOKUP(Table5[[#This Row],[Product ID]],'Product Master'!$A$2:$D$10,4)</f>
        <v>Supplier E</v>
      </c>
      <c r="P1052" s="15">
        <f>Table5[[#This Row],[Total Revenue]]-Table5[[#This Row],[Net Sales Revenue]]</f>
        <v>11206.400000000001</v>
      </c>
      <c r="Q1052" s="15">
        <f>Table5[[#This Row],[Net Sales Revenue]]/Table5[[#This Row],[Units Sold]]</f>
        <v>33.6</v>
      </c>
      <c r="R1052">
        <f>VLOOKUP(Table5[[#This Row],[Product ID]],'Product Master'!$A$1:$E$10,5,FALSE)</f>
        <v>20</v>
      </c>
      <c r="S1052" s="15">
        <f>Table5[[#This Row],[standard product cost per unit]]*Table5[[#This Row],[Units Sold]]</f>
        <v>35020</v>
      </c>
      <c r="T1052" s="15">
        <f>Table5[[#This Row],[Cost of Sales]]-Table5[[#This Row],[Standard cost]]</f>
        <v>2801.5999999999985</v>
      </c>
      <c r="U1052" s="15">
        <f>Table5[[#This Row],[Net Sales Revenue]]-Table5[[#This Row],[Cost of Sales]]</f>
        <v>21012</v>
      </c>
      <c r="V1052" s="17">
        <f>Table5[[#This Row],[GrossProfit]]/Table5[[#This Row],[Net Sales Revenue]]</f>
        <v>0.35714285714285715</v>
      </c>
    </row>
    <row r="1053" spans="1:22" ht="14.25" customHeight="1" x14ac:dyDescent="0.25">
      <c r="A1053" s="1" t="s">
        <v>1142</v>
      </c>
      <c r="B1053" s="1" t="s">
        <v>1126</v>
      </c>
      <c r="C1053" s="1" t="s">
        <v>44</v>
      </c>
      <c r="D1053" s="1" t="s">
        <v>29</v>
      </c>
      <c r="E1053" s="1" t="s">
        <v>31</v>
      </c>
      <c r="F1053" s="1">
        <v>2494</v>
      </c>
      <c r="G1053" s="14">
        <v>10</v>
      </c>
      <c r="H1053" s="1">
        <v>0.13</v>
      </c>
      <c r="I1053" s="14">
        <v>21697.8</v>
      </c>
      <c r="J1053" s="14">
        <v>10774.08</v>
      </c>
      <c r="K1053" s="15">
        <f>Table5[[#This Row],[Selling Price]]*Table5[[#This Row],[Units Sold]]</f>
        <v>24940</v>
      </c>
      <c r="L1053" t="str">
        <f t="shared" si="16"/>
        <v>2024-12</v>
      </c>
      <c r="M1053" t="str">
        <f>VLOOKUP(Table5[[#This Row],[Store ID]],Table4[[Store ID]:[Store Location]],2)</f>
        <v>Birmingham</v>
      </c>
      <c r="N1053" t="str">
        <f>VLOOKUP(Table5[[#This Row],[Store ID]],Table4[[Store ID]:[Region]],3)</f>
        <v>Midlands</v>
      </c>
      <c r="O1053" t="str">
        <f>VLOOKUP(Table5[[#This Row],[Product ID]],'Product Master'!$A$2:$D$10,4)</f>
        <v>Supplier F</v>
      </c>
      <c r="P1053" s="15">
        <f>Table5[[#This Row],[Total Revenue]]-Table5[[#This Row],[Net Sales Revenue]]</f>
        <v>3242.2000000000007</v>
      </c>
      <c r="Q1053" s="15">
        <f>Table5[[#This Row],[Net Sales Revenue]]/Table5[[#This Row],[Units Sold]]</f>
        <v>8.6999999999999993</v>
      </c>
      <c r="R1053">
        <f>VLOOKUP(Table5[[#This Row],[Product ID]],'Product Master'!$A$1:$E$10,5,FALSE)</f>
        <v>4</v>
      </c>
      <c r="S1053" s="15">
        <f>Table5[[#This Row],[standard product cost per unit]]*Table5[[#This Row],[Units Sold]]</f>
        <v>9976</v>
      </c>
      <c r="T1053" s="15">
        <f>Table5[[#This Row],[Cost of Sales]]-Table5[[#This Row],[Standard cost]]</f>
        <v>798.07999999999993</v>
      </c>
      <c r="U1053" s="15">
        <f>Table5[[#This Row],[Net Sales Revenue]]-Table5[[#This Row],[Cost of Sales]]</f>
        <v>10923.72</v>
      </c>
      <c r="V1053" s="17">
        <f>Table5[[#This Row],[GrossProfit]]/Table5[[#This Row],[Net Sales Revenue]]</f>
        <v>0.50344827586206897</v>
      </c>
    </row>
    <row r="1054" spans="1:22" ht="14.25" customHeight="1" x14ac:dyDescent="0.25">
      <c r="A1054" s="1" t="s">
        <v>1143</v>
      </c>
      <c r="B1054" s="1" t="s">
        <v>1126</v>
      </c>
      <c r="C1054" s="1" t="s">
        <v>44</v>
      </c>
      <c r="D1054" s="1" t="s">
        <v>33</v>
      </c>
      <c r="E1054" s="1" t="s">
        <v>31</v>
      </c>
      <c r="F1054" s="1">
        <v>2059</v>
      </c>
      <c r="G1054" s="14">
        <v>22</v>
      </c>
      <c r="H1054" s="1">
        <v>0.17</v>
      </c>
      <c r="I1054" s="14">
        <v>37597.339999999997</v>
      </c>
      <c r="J1054" s="14">
        <v>22237.200000000001</v>
      </c>
      <c r="K1054" s="15">
        <f>Table5[[#This Row],[Selling Price]]*Table5[[#This Row],[Units Sold]]</f>
        <v>45298</v>
      </c>
      <c r="L1054" t="str">
        <f t="shared" si="16"/>
        <v>2024-12</v>
      </c>
      <c r="M1054" t="str">
        <f>VLOOKUP(Table5[[#This Row],[Store ID]],Table4[[Store ID]:[Store Location]],2)</f>
        <v>Birmingham</v>
      </c>
      <c r="N1054" t="str">
        <f>VLOOKUP(Table5[[#This Row],[Store ID]],Table4[[Store ID]:[Region]],3)</f>
        <v>Midlands</v>
      </c>
      <c r="O1054" t="str">
        <f>VLOOKUP(Table5[[#This Row],[Product ID]],'Product Master'!$A$2:$D$10,4)</f>
        <v>Supplier F</v>
      </c>
      <c r="P1054" s="15">
        <f>Table5[[#This Row],[Total Revenue]]-Table5[[#This Row],[Net Sales Revenue]]</f>
        <v>7700.6600000000035</v>
      </c>
      <c r="Q1054" s="15">
        <f>Table5[[#This Row],[Net Sales Revenue]]/Table5[[#This Row],[Units Sold]]</f>
        <v>18.259999999999998</v>
      </c>
      <c r="R1054">
        <f>VLOOKUP(Table5[[#This Row],[Product ID]],'Product Master'!$A$1:$E$10,5,FALSE)</f>
        <v>10</v>
      </c>
      <c r="S1054" s="15">
        <f>Table5[[#This Row],[standard product cost per unit]]*Table5[[#This Row],[Units Sold]]</f>
        <v>20590</v>
      </c>
      <c r="T1054" s="15">
        <f>Table5[[#This Row],[Cost of Sales]]-Table5[[#This Row],[Standard cost]]</f>
        <v>1647.2000000000007</v>
      </c>
      <c r="U1054" s="15">
        <f>Table5[[#This Row],[Net Sales Revenue]]-Table5[[#This Row],[Cost of Sales]]</f>
        <v>15360.139999999996</v>
      </c>
      <c r="V1054" s="17">
        <f>Table5[[#This Row],[GrossProfit]]/Table5[[#This Row],[Net Sales Revenue]]</f>
        <v>0.40854326396495066</v>
      </c>
    </row>
    <row r="1055" spans="1:22" ht="14.25" customHeight="1" x14ac:dyDescent="0.25">
      <c r="A1055" s="1" t="s">
        <v>1144</v>
      </c>
      <c r="B1055" s="1" t="s">
        <v>1126</v>
      </c>
      <c r="C1055" s="1" t="s">
        <v>48</v>
      </c>
      <c r="D1055" s="1" t="s">
        <v>6</v>
      </c>
      <c r="E1055" s="1" t="s">
        <v>8</v>
      </c>
      <c r="F1055" s="1">
        <v>2838</v>
      </c>
      <c r="G1055" s="14">
        <v>24</v>
      </c>
      <c r="H1055" s="1">
        <v>0.12</v>
      </c>
      <c r="I1055" s="14">
        <v>59938.559999999998</v>
      </c>
      <c r="J1055" s="14">
        <v>36780.480000000003</v>
      </c>
      <c r="K1055" s="15">
        <f>Table5[[#This Row],[Selling Price]]*Table5[[#This Row],[Units Sold]]</f>
        <v>68112</v>
      </c>
      <c r="L1055" t="str">
        <f t="shared" si="16"/>
        <v>2024-12</v>
      </c>
      <c r="M1055" t="str">
        <f>VLOOKUP(Table5[[#This Row],[Store ID]],Table4[[Store ID]:[Store Location]],2)</f>
        <v>London Stratford</v>
      </c>
      <c r="N1055" t="str">
        <f>VLOOKUP(Table5[[#This Row],[Store ID]],Table4[[Store ID]:[Region]],3)</f>
        <v>South</v>
      </c>
      <c r="O1055" t="str">
        <f>VLOOKUP(Table5[[#This Row],[Product ID]],'Product Master'!$A$2:$D$10,4)</f>
        <v>Supplier A</v>
      </c>
      <c r="P1055" s="15">
        <f>Table5[[#This Row],[Total Revenue]]-Table5[[#This Row],[Net Sales Revenue]]</f>
        <v>8173.4400000000023</v>
      </c>
      <c r="Q1055" s="15">
        <f>Table5[[#This Row],[Net Sales Revenue]]/Table5[[#This Row],[Units Sold]]</f>
        <v>21.119999999999997</v>
      </c>
      <c r="R1055">
        <f>VLOOKUP(Table5[[#This Row],[Product ID]],'Product Master'!$A$1:$E$10,5,FALSE)</f>
        <v>12</v>
      </c>
      <c r="S1055" s="15">
        <f>Table5[[#This Row],[standard product cost per unit]]*Table5[[#This Row],[Units Sold]]</f>
        <v>34056</v>
      </c>
      <c r="T1055" s="15">
        <f>Table5[[#This Row],[Cost of Sales]]-Table5[[#This Row],[Standard cost]]</f>
        <v>2724.4800000000032</v>
      </c>
      <c r="U1055" s="15">
        <f>Table5[[#This Row],[Net Sales Revenue]]-Table5[[#This Row],[Cost of Sales]]</f>
        <v>23158.079999999994</v>
      </c>
      <c r="V1055" s="17">
        <f>Table5[[#This Row],[GrossProfit]]/Table5[[#This Row],[Net Sales Revenue]]</f>
        <v>0.3863636363636363</v>
      </c>
    </row>
    <row r="1056" spans="1:22" ht="14.25" customHeight="1" x14ac:dyDescent="0.25">
      <c r="A1056" s="1" t="s">
        <v>1145</v>
      </c>
      <c r="B1056" s="1" t="s">
        <v>1126</v>
      </c>
      <c r="C1056" s="1" t="s">
        <v>48</v>
      </c>
      <c r="D1056" s="1" t="s">
        <v>10</v>
      </c>
      <c r="E1056" s="1" t="s">
        <v>8</v>
      </c>
      <c r="F1056" s="1">
        <v>1518</v>
      </c>
      <c r="G1056" s="14">
        <v>50</v>
      </c>
      <c r="H1056" s="1">
        <v>0.15</v>
      </c>
      <c r="I1056" s="14">
        <v>64515</v>
      </c>
      <c r="J1056" s="14">
        <v>45904.32</v>
      </c>
      <c r="K1056" s="15">
        <f>Table5[[#This Row],[Selling Price]]*Table5[[#This Row],[Units Sold]]</f>
        <v>75900</v>
      </c>
      <c r="L1056" t="str">
        <f t="shared" si="16"/>
        <v>2024-12</v>
      </c>
      <c r="M1056" t="str">
        <f>VLOOKUP(Table5[[#This Row],[Store ID]],Table4[[Store ID]:[Store Location]],2)</f>
        <v>London Stratford</v>
      </c>
      <c r="N1056" t="str">
        <f>VLOOKUP(Table5[[#This Row],[Store ID]],Table4[[Store ID]:[Region]],3)</f>
        <v>South</v>
      </c>
      <c r="O1056" t="str">
        <f>VLOOKUP(Table5[[#This Row],[Product ID]],'Product Master'!$A$2:$D$10,4)</f>
        <v>Supplier B</v>
      </c>
      <c r="P1056" s="15">
        <f>Table5[[#This Row],[Total Revenue]]-Table5[[#This Row],[Net Sales Revenue]]</f>
        <v>11385</v>
      </c>
      <c r="Q1056" s="15">
        <f>Table5[[#This Row],[Net Sales Revenue]]/Table5[[#This Row],[Units Sold]]</f>
        <v>42.5</v>
      </c>
      <c r="R1056">
        <f>VLOOKUP(Table5[[#This Row],[Product ID]],'Product Master'!$A$1:$E$10,5,FALSE)</f>
        <v>28</v>
      </c>
      <c r="S1056" s="15">
        <f>Table5[[#This Row],[standard product cost per unit]]*Table5[[#This Row],[Units Sold]]</f>
        <v>42504</v>
      </c>
      <c r="T1056" s="15">
        <f>Table5[[#This Row],[Cost of Sales]]-Table5[[#This Row],[Standard cost]]</f>
        <v>3400.3199999999997</v>
      </c>
      <c r="U1056" s="15">
        <f>Table5[[#This Row],[Net Sales Revenue]]-Table5[[#This Row],[Cost of Sales]]</f>
        <v>18610.68</v>
      </c>
      <c r="V1056" s="17">
        <f>Table5[[#This Row],[GrossProfit]]/Table5[[#This Row],[Net Sales Revenue]]</f>
        <v>0.28847058823529415</v>
      </c>
    </row>
    <row r="1057" spans="1:22" ht="14.25" customHeight="1" x14ac:dyDescent="0.25">
      <c r="A1057" s="1" t="s">
        <v>1146</v>
      </c>
      <c r="B1057" s="1" t="s">
        <v>1126</v>
      </c>
      <c r="C1057" s="1" t="s">
        <v>48</v>
      </c>
      <c r="D1057" s="1" t="s">
        <v>13</v>
      </c>
      <c r="E1057" s="1" t="s">
        <v>15</v>
      </c>
      <c r="F1057" s="1">
        <v>1870</v>
      </c>
      <c r="G1057" s="14">
        <v>28</v>
      </c>
      <c r="H1057" s="1">
        <v>0.16</v>
      </c>
      <c r="I1057" s="14">
        <v>43982.400000000001</v>
      </c>
      <c r="J1057" s="14">
        <v>30294</v>
      </c>
      <c r="K1057" s="15">
        <f>Table5[[#This Row],[Selling Price]]*Table5[[#This Row],[Units Sold]]</f>
        <v>52360</v>
      </c>
      <c r="L1057" t="str">
        <f t="shared" si="16"/>
        <v>2024-12</v>
      </c>
      <c r="M1057" t="str">
        <f>VLOOKUP(Table5[[#This Row],[Store ID]],Table4[[Store ID]:[Store Location]],2)</f>
        <v>London Stratford</v>
      </c>
      <c r="N1057" t="str">
        <f>VLOOKUP(Table5[[#This Row],[Store ID]],Table4[[Store ID]:[Region]],3)</f>
        <v>South</v>
      </c>
      <c r="O1057" t="str">
        <f>VLOOKUP(Table5[[#This Row],[Product ID]],'Product Master'!$A$2:$D$10,4)</f>
        <v>Supplier C</v>
      </c>
      <c r="P1057" s="15">
        <f>Table5[[#This Row],[Total Revenue]]-Table5[[#This Row],[Net Sales Revenue]]</f>
        <v>8377.5999999999985</v>
      </c>
      <c r="Q1057" s="15">
        <f>Table5[[#This Row],[Net Sales Revenue]]/Table5[[#This Row],[Units Sold]]</f>
        <v>23.52</v>
      </c>
      <c r="R1057">
        <f>VLOOKUP(Table5[[#This Row],[Product ID]],'Product Master'!$A$1:$E$10,5,FALSE)</f>
        <v>15</v>
      </c>
      <c r="S1057" s="15">
        <f>Table5[[#This Row],[standard product cost per unit]]*Table5[[#This Row],[Units Sold]]</f>
        <v>28050</v>
      </c>
      <c r="T1057" s="15">
        <f>Table5[[#This Row],[Cost of Sales]]-Table5[[#This Row],[Standard cost]]</f>
        <v>2244</v>
      </c>
      <c r="U1057" s="15">
        <f>Table5[[#This Row],[Net Sales Revenue]]-Table5[[#This Row],[Cost of Sales]]</f>
        <v>13688.400000000001</v>
      </c>
      <c r="V1057" s="17">
        <f>Table5[[#This Row],[GrossProfit]]/Table5[[#This Row],[Net Sales Revenue]]</f>
        <v>0.31122448979591838</v>
      </c>
    </row>
    <row r="1058" spans="1:22" ht="14.25" customHeight="1" x14ac:dyDescent="0.25">
      <c r="A1058" s="1" t="s">
        <v>1147</v>
      </c>
      <c r="B1058" s="1" t="s">
        <v>1126</v>
      </c>
      <c r="C1058" s="1" t="s">
        <v>48</v>
      </c>
      <c r="D1058" s="1" t="s">
        <v>17</v>
      </c>
      <c r="E1058" s="1" t="s">
        <v>15</v>
      </c>
      <c r="F1058" s="1">
        <v>3049</v>
      </c>
      <c r="G1058" s="14">
        <v>35</v>
      </c>
      <c r="H1058" s="1">
        <v>0.13</v>
      </c>
      <c r="I1058" s="14">
        <v>92842.05</v>
      </c>
      <c r="J1058" s="14">
        <v>59272.56</v>
      </c>
      <c r="K1058" s="15">
        <f>Table5[[#This Row],[Selling Price]]*Table5[[#This Row],[Units Sold]]</f>
        <v>106715</v>
      </c>
      <c r="L1058" t="str">
        <f t="shared" si="16"/>
        <v>2024-12</v>
      </c>
      <c r="M1058" t="str">
        <f>VLOOKUP(Table5[[#This Row],[Store ID]],Table4[[Store ID]:[Store Location]],2)</f>
        <v>London Stratford</v>
      </c>
      <c r="N1058" t="str">
        <f>VLOOKUP(Table5[[#This Row],[Store ID]],Table4[[Store ID]:[Region]],3)</f>
        <v>South</v>
      </c>
      <c r="O1058" t="str">
        <f>VLOOKUP(Table5[[#This Row],[Product ID]],'Product Master'!$A$2:$D$10,4)</f>
        <v>Supplier C</v>
      </c>
      <c r="P1058" s="15">
        <f>Table5[[#This Row],[Total Revenue]]-Table5[[#This Row],[Net Sales Revenue]]</f>
        <v>13872.949999999997</v>
      </c>
      <c r="Q1058" s="15">
        <f>Table5[[#This Row],[Net Sales Revenue]]/Table5[[#This Row],[Units Sold]]</f>
        <v>30.45</v>
      </c>
      <c r="R1058">
        <f>VLOOKUP(Table5[[#This Row],[Product ID]],'Product Master'!$A$1:$E$10,5,FALSE)</f>
        <v>18</v>
      </c>
      <c r="S1058" s="15">
        <f>Table5[[#This Row],[standard product cost per unit]]*Table5[[#This Row],[Units Sold]]</f>
        <v>54882</v>
      </c>
      <c r="T1058" s="15">
        <f>Table5[[#This Row],[Cost of Sales]]-Table5[[#This Row],[Standard cost]]</f>
        <v>4390.5599999999977</v>
      </c>
      <c r="U1058" s="15">
        <f>Table5[[#This Row],[Net Sales Revenue]]-Table5[[#This Row],[Cost of Sales]]</f>
        <v>33569.490000000005</v>
      </c>
      <c r="V1058" s="17">
        <f>Table5[[#This Row],[GrossProfit]]/Table5[[#This Row],[Net Sales Revenue]]</f>
        <v>0.36157635467980298</v>
      </c>
    </row>
    <row r="1059" spans="1:22" ht="14.25" customHeight="1" x14ac:dyDescent="0.25">
      <c r="A1059" s="1" t="s">
        <v>1148</v>
      </c>
      <c r="B1059" s="1" t="s">
        <v>1126</v>
      </c>
      <c r="C1059" s="1" t="s">
        <v>48</v>
      </c>
      <c r="D1059" s="1" t="s">
        <v>19</v>
      </c>
      <c r="E1059" s="1" t="s">
        <v>21</v>
      </c>
      <c r="F1059" s="1">
        <v>2635</v>
      </c>
      <c r="G1059" s="14">
        <v>18</v>
      </c>
      <c r="H1059" s="1">
        <v>0.12</v>
      </c>
      <c r="I1059" s="14">
        <v>41738.400000000001</v>
      </c>
      <c r="J1059" s="14">
        <v>25612.2</v>
      </c>
      <c r="K1059" s="15">
        <f>Table5[[#This Row],[Selling Price]]*Table5[[#This Row],[Units Sold]]</f>
        <v>47430</v>
      </c>
      <c r="L1059" t="str">
        <f t="shared" si="16"/>
        <v>2024-12</v>
      </c>
      <c r="M1059" t="str">
        <f>VLOOKUP(Table5[[#This Row],[Store ID]],Table4[[Store ID]:[Store Location]],2)</f>
        <v>London Stratford</v>
      </c>
      <c r="N1059" t="str">
        <f>VLOOKUP(Table5[[#This Row],[Store ID]],Table4[[Store ID]:[Region]],3)</f>
        <v>South</v>
      </c>
      <c r="O1059" t="str">
        <f>VLOOKUP(Table5[[#This Row],[Product ID]],'Product Master'!$A$2:$D$10,4)</f>
        <v>Supplier D</v>
      </c>
      <c r="P1059" s="15">
        <f>Table5[[#This Row],[Total Revenue]]-Table5[[#This Row],[Net Sales Revenue]]</f>
        <v>5691.5999999999985</v>
      </c>
      <c r="Q1059" s="15">
        <f>Table5[[#This Row],[Net Sales Revenue]]/Table5[[#This Row],[Units Sold]]</f>
        <v>15.84</v>
      </c>
      <c r="R1059">
        <f>VLOOKUP(Table5[[#This Row],[Product ID]],'Product Master'!$A$1:$E$10,5,FALSE)</f>
        <v>9</v>
      </c>
      <c r="S1059" s="15">
        <f>Table5[[#This Row],[standard product cost per unit]]*Table5[[#This Row],[Units Sold]]</f>
        <v>23715</v>
      </c>
      <c r="T1059" s="15">
        <f>Table5[[#This Row],[Cost of Sales]]-Table5[[#This Row],[Standard cost]]</f>
        <v>1897.2000000000007</v>
      </c>
      <c r="U1059" s="15">
        <f>Table5[[#This Row],[Net Sales Revenue]]-Table5[[#This Row],[Cost of Sales]]</f>
        <v>16126.2</v>
      </c>
      <c r="V1059" s="17">
        <f>Table5[[#This Row],[GrossProfit]]/Table5[[#This Row],[Net Sales Revenue]]</f>
        <v>0.38636363636363635</v>
      </c>
    </row>
    <row r="1060" spans="1:22" ht="14.25" customHeight="1" x14ac:dyDescent="0.25">
      <c r="A1060" s="1" t="s">
        <v>1149</v>
      </c>
      <c r="B1060" s="1" t="s">
        <v>1126</v>
      </c>
      <c r="C1060" s="1" t="s">
        <v>48</v>
      </c>
      <c r="D1060" s="1" t="s">
        <v>23</v>
      </c>
      <c r="E1060" s="1" t="s">
        <v>21</v>
      </c>
      <c r="F1060" s="1">
        <v>1628</v>
      </c>
      <c r="G1060" s="14">
        <v>30</v>
      </c>
      <c r="H1060" s="1">
        <v>0.16</v>
      </c>
      <c r="I1060" s="14">
        <v>41025.599999999999</v>
      </c>
      <c r="J1060" s="14">
        <v>24615.360000000001</v>
      </c>
      <c r="K1060" s="15">
        <f>Table5[[#This Row],[Selling Price]]*Table5[[#This Row],[Units Sold]]</f>
        <v>48840</v>
      </c>
      <c r="L1060" t="str">
        <f t="shared" si="16"/>
        <v>2024-12</v>
      </c>
      <c r="M1060" t="str">
        <f>VLOOKUP(Table5[[#This Row],[Store ID]],Table4[[Store ID]:[Store Location]],2)</f>
        <v>London Stratford</v>
      </c>
      <c r="N1060" t="str">
        <f>VLOOKUP(Table5[[#This Row],[Store ID]],Table4[[Store ID]:[Region]],3)</f>
        <v>South</v>
      </c>
      <c r="O1060" t="str">
        <f>VLOOKUP(Table5[[#This Row],[Product ID]],'Product Master'!$A$2:$D$10,4)</f>
        <v>Supplier D</v>
      </c>
      <c r="P1060" s="15">
        <f>Table5[[#This Row],[Total Revenue]]-Table5[[#This Row],[Net Sales Revenue]]</f>
        <v>7814.4000000000015</v>
      </c>
      <c r="Q1060" s="15">
        <f>Table5[[#This Row],[Net Sales Revenue]]/Table5[[#This Row],[Units Sold]]</f>
        <v>25.2</v>
      </c>
      <c r="R1060">
        <f>VLOOKUP(Table5[[#This Row],[Product ID]],'Product Master'!$A$1:$E$10,5,FALSE)</f>
        <v>14</v>
      </c>
      <c r="S1060" s="15">
        <f>Table5[[#This Row],[standard product cost per unit]]*Table5[[#This Row],[Units Sold]]</f>
        <v>22792</v>
      </c>
      <c r="T1060" s="15">
        <f>Table5[[#This Row],[Cost of Sales]]-Table5[[#This Row],[Standard cost]]</f>
        <v>1823.3600000000006</v>
      </c>
      <c r="U1060" s="15">
        <f>Table5[[#This Row],[Net Sales Revenue]]-Table5[[#This Row],[Cost of Sales]]</f>
        <v>16410.239999999998</v>
      </c>
      <c r="V1060" s="17">
        <f>Table5[[#This Row],[GrossProfit]]/Table5[[#This Row],[Net Sales Revenue]]</f>
        <v>0.39999999999999997</v>
      </c>
    </row>
    <row r="1061" spans="1:22" ht="14.25" customHeight="1" x14ac:dyDescent="0.25">
      <c r="A1061" s="1" t="s">
        <v>1150</v>
      </c>
      <c r="B1061" s="1" t="s">
        <v>1126</v>
      </c>
      <c r="C1061" s="1" t="s">
        <v>48</v>
      </c>
      <c r="D1061" s="1" t="s">
        <v>25</v>
      </c>
      <c r="E1061" s="1" t="s">
        <v>27</v>
      </c>
      <c r="F1061" s="1">
        <v>1799</v>
      </c>
      <c r="G1061" s="14">
        <v>40</v>
      </c>
      <c r="H1061" s="1">
        <v>0.12</v>
      </c>
      <c r="I1061" s="14">
        <v>63324.800000000003</v>
      </c>
      <c r="J1061" s="14">
        <v>38858.400000000001</v>
      </c>
      <c r="K1061" s="15">
        <f>Table5[[#This Row],[Selling Price]]*Table5[[#This Row],[Units Sold]]</f>
        <v>71960</v>
      </c>
      <c r="L1061" t="str">
        <f t="shared" si="16"/>
        <v>2024-12</v>
      </c>
      <c r="M1061" t="str">
        <f>VLOOKUP(Table5[[#This Row],[Store ID]],Table4[[Store ID]:[Store Location]],2)</f>
        <v>London Stratford</v>
      </c>
      <c r="N1061" t="str">
        <f>VLOOKUP(Table5[[#This Row],[Store ID]],Table4[[Store ID]:[Region]],3)</f>
        <v>South</v>
      </c>
      <c r="O1061" t="str">
        <f>VLOOKUP(Table5[[#This Row],[Product ID]],'Product Master'!$A$2:$D$10,4)</f>
        <v>Supplier E</v>
      </c>
      <c r="P1061" s="15">
        <f>Table5[[#This Row],[Total Revenue]]-Table5[[#This Row],[Net Sales Revenue]]</f>
        <v>8635.1999999999971</v>
      </c>
      <c r="Q1061" s="15">
        <f>Table5[[#This Row],[Net Sales Revenue]]/Table5[[#This Row],[Units Sold]]</f>
        <v>35.200000000000003</v>
      </c>
      <c r="R1061">
        <f>VLOOKUP(Table5[[#This Row],[Product ID]],'Product Master'!$A$1:$E$10,5,FALSE)</f>
        <v>20</v>
      </c>
      <c r="S1061" s="15">
        <f>Table5[[#This Row],[standard product cost per unit]]*Table5[[#This Row],[Units Sold]]</f>
        <v>35980</v>
      </c>
      <c r="T1061" s="15">
        <f>Table5[[#This Row],[Cost of Sales]]-Table5[[#This Row],[Standard cost]]</f>
        <v>2878.4000000000015</v>
      </c>
      <c r="U1061" s="15">
        <f>Table5[[#This Row],[Net Sales Revenue]]-Table5[[#This Row],[Cost of Sales]]</f>
        <v>24466.400000000001</v>
      </c>
      <c r="V1061" s="17">
        <f>Table5[[#This Row],[GrossProfit]]/Table5[[#This Row],[Net Sales Revenue]]</f>
        <v>0.38636363636363635</v>
      </c>
    </row>
    <row r="1062" spans="1:22" ht="14.25" customHeight="1" x14ac:dyDescent="0.25">
      <c r="A1062" s="1" t="s">
        <v>1151</v>
      </c>
      <c r="B1062" s="1" t="s">
        <v>1126</v>
      </c>
      <c r="C1062" s="1" t="s">
        <v>48</v>
      </c>
      <c r="D1062" s="1" t="s">
        <v>29</v>
      </c>
      <c r="E1062" s="1" t="s">
        <v>31</v>
      </c>
      <c r="F1062" s="1">
        <v>1474</v>
      </c>
      <c r="G1062" s="14">
        <v>10</v>
      </c>
      <c r="H1062" s="1">
        <v>0.13</v>
      </c>
      <c r="I1062" s="14">
        <v>12823.8</v>
      </c>
      <c r="J1062" s="14">
        <v>6367.68</v>
      </c>
      <c r="K1062" s="15">
        <f>Table5[[#This Row],[Selling Price]]*Table5[[#This Row],[Units Sold]]</f>
        <v>14740</v>
      </c>
      <c r="L1062" t="str">
        <f t="shared" si="16"/>
        <v>2024-12</v>
      </c>
      <c r="M1062" t="str">
        <f>VLOOKUP(Table5[[#This Row],[Store ID]],Table4[[Store ID]:[Store Location]],2)</f>
        <v>London Stratford</v>
      </c>
      <c r="N1062" t="str">
        <f>VLOOKUP(Table5[[#This Row],[Store ID]],Table4[[Store ID]:[Region]],3)</f>
        <v>South</v>
      </c>
      <c r="O1062" t="str">
        <f>VLOOKUP(Table5[[#This Row],[Product ID]],'Product Master'!$A$2:$D$10,4)</f>
        <v>Supplier F</v>
      </c>
      <c r="P1062" s="15">
        <f>Table5[[#This Row],[Total Revenue]]-Table5[[#This Row],[Net Sales Revenue]]</f>
        <v>1916.2000000000007</v>
      </c>
      <c r="Q1062" s="15">
        <f>Table5[[#This Row],[Net Sales Revenue]]/Table5[[#This Row],[Units Sold]]</f>
        <v>8.6999999999999993</v>
      </c>
      <c r="R1062">
        <f>VLOOKUP(Table5[[#This Row],[Product ID]],'Product Master'!$A$1:$E$10,5,FALSE)</f>
        <v>4</v>
      </c>
      <c r="S1062" s="15">
        <f>Table5[[#This Row],[standard product cost per unit]]*Table5[[#This Row],[Units Sold]]</f>
        <v>5896</v>
      </c>
      <c r="T1062" s="15">
        <f>Table5[[#This Row],[Cost of Sales]]-Table5[[#This Row],[Standard cost]]</f>
        <v>471.68000000000029</v>
      </c>
      <c r="U1062" s="15">
        <f>Table5[[#This Row],[Net Sales Revenue]]-Table5[[#This Row],[Cost of Sales]]</f>
        <v>6456.119999999999</v>
      </c>
      <c r="V1062" s="17">
        <f>Table5[[#This Row],[GrossProfit]]/Table5[[#This Row],[Net Sales Revenue]]</f>
        <v>0.50344827586206886</v>
      </c>
    </row>
    <row r="1063" spans="1:22" ht="14.25" customHeight="1" x14ac:dyDescent="0.25">
      <c r="A1063" s="1" t="s">
        <v>1152</v>
      </c>
      <c r="B1063" s="1" t="s">
        <v>1126</v>
      </c>
      <c r="C1063" s="1" t="s">
        <v>48</v>
      </c>
      <c r="D1063" s="1" t="s">
        <v>33</v>
      </c>
      <c r="E1063" s="1" t="s">
        <v>31</v>
      </c>
      <c r="F1063" s="1">
        <v>2675</v>
      </c>
      <c r="G1063" s="14">
        <v>22</v>
      </c>
      <c r="H1063" s="1">
        <v>0.13</v>
      </c>
      <c r="I1063" s="14">
        <v>51199.5</v>
      </c>
      <c r="J1063" s="14">
        <v>28890</v>
      </c>
      <c r="K1063" s="15">
        <f>Table5[[#This Row],[Selling Price]]*Table5[[#This Row],[Units Sold]]</f>
        <v>58850</v>
      </c>
      <c r="L1063" t="str">
        <f t="shared" si="16"/>
        <v>2024-12</v>
      </c>
      <c r="M1063" t="str">
        <f>VLOOKUP(Table5[[#This Row],[Store ID]],Table4[[Store ID]:[Store Location]],2)</f>
        <v>London Stratford</v>
      </c>
      <c r="N1063" t="str">
        <f>VLOOKUP(Table5[[#This Row],[Store ID]],Table4[[Store ID]:[Region]],3)</f>
        <v>South</v>
      </c>
      <c r="O1063" t="str">
        <f>VLOOKUP(Table5[[#This Row],[Product ID]],'Product Master'!$A$2:$D$10,4)</f>
        <v>Supplier F</v>
      </c>
      <c r="P1063" s="15">
        <f>Table5[[#This Row],[Total Revenue]]-Table5[[#This Row],[Net Sales Revenue]]</f>
        <v>7650.5</v>
      </c>
      <c r="Q1063" s="15">
        <f>Table5[[#This Row],[Net Sales Revenue]]/Table5[[#This Row],[Units Sold]]</f>
        <v>19.14</v>
      </c>
      <c r="R1063">
        <f>VLOOKUP(Table5[[#This Row],[Product ID]],'Product Master'!$A$1:$E$10,5,FALSE)</f>
        <v>10</v>
      </c>
      <c r="S1063" s="15">
        <f>Table5[[#This Row],[standard product cost per unit]]*Table5[[#This Row],[Units Sold]]</f>
        <v>26750</v>
      </c>
      <c r="T1063" s="15">
        <f>Table5[[#This Row],[Cost of Sales]]-Table5[[#This Row],[Standard cost]]</f>
        <v>2140</v>
      </c>
      <c r="U1063" s="15">
        <f>Table5[[#This Row],[Net Sales Revenue]]-Table5[[#This Row],[Cost of Sales]]</f>
        <v>22309.5</v>
      </c>
      <c r="V1063" s="17">
        <f>Table5[[#This Row],[GrossProfit]]/Table5[[#This Row],[Net Sales Revenue]]</f>
        <v>0.43573667711598746</v>
      </c>
    </row>
    <row r="1064" spans="1:22" ht="14.25" customHeight="1" x14ac:dyDescent="0.25">
      <c r="A1064" s="1" t="s">
        <v>1153</v>
      </c>
      <c r="B1064" s="1" t="s">
        <v>1126</v>
      </c>
      <c r="C1064" s="1" t="s">
        <v>52</v>
      </c>
      <c r="D1064" s="1" t="s">
        <v>6</v>
      </c>
      <c r="E1064" s="1" t="s">
        <v>8</v>
      </c>
      <c r="F1064" s="1">
        <v>2565</v>
      </c>
      <c r="G1064" s="14">
        <v>24</v>
      </c>
      <c r="H1064" s="1">
        <v>0.15</v>
      </c>
      <c r="I1064" s="14">
        <v>52326</v>
      </c>
      <c r="J1064" s="14">
        <v>33242.400000000001</v>
      </c>
      <c r="K1064" s="15">
        <f>Table5[[#This Row],[Selling Price]]*Table5[[#This Row],[Units Sold]]</f>
        <v>61560</v>
      </c>
      <c r="L1064" t="str">
        <f t="shared" si="16"/>
        <v>2024-12</v>
      </c>
      <c r="M1064" t="str">
        <f>VLOOKUP(Table5[[#This Row],[Store ID]],Table4[[Store ID]:[Store Location]],2)</f>
        <v>Glasgow</v>
      </c>
      <c r="N1064" t="str">
        <f>VLOOKUP(Table5[[#This Row],[Store ID]],Table4[[Store ID]:[Region]],3)</f>
        <v>Scotland</v>
      </c>
      <c r="O1064" t="str">
        <f>VLOOKUP(Table5[[#This Row],[Product ID]],'Product Master'!$A$2:$D$10,4)</f>
        <v>Supplier A</v>
      </c>
      <c r="P1064" s="15">
        <f>Table5[[#This Row],[Total Revenue]]-Table5[[#This Row],[Net Sales Revenue]]</f>
        <v>9234</v>
      </c>
      <c r="Q1064" s="15">
        <f>Table5[[#This Row],[Net Sales Revenue]]/Table5[[#This Row],[Units Sold]]</f>
        <v>20.399999999999999</v>
      </c>
      <c r="R1064">
        <f>VLOOKUP(Table5[[#This Row],[Product ID]],'Product Master'!$A$1:$E$10,5,FALSE)</f>
        <v>12</v>
      </c>
      <c r="S1064" s="15">
        <f>Table5[[#This Row],[standard product cost per unit]]*Table5[[#This Row],[Units Sold]]</f>
        <v>30780</v>
      </c>
      <c r="T1064" s="15">
        <f>Table5[[#This Row],[Cost of Sales]]-Table5[[#This Row],[Standard cost]]</f>
        <v>2462.4000000000015</v>
      </c>
      <c r="U1064" s="15">
        <f>Table5[[#This Row],[Net Sales Revenue]]-Table5[[#This Row],[Cost of Sales]]</f>
        <v>19083.599999999999</v>
      </c>
      <c r="V1064" s="17">
        <f>Table5[[#This Row],[GrossProfit]]/Table5[[#This Row],[Net Sales Revenue]]</f>
        <v>0.36470588235294116</v>
      </c>
    </row>
    <row r="1065" spans="1:22" ht="14.25" customHeight="1" x14ac:dyDescent="0.25">
      <c r="A1065" s="1" t="s">
        <v>1154</v>
      </c>
      <c r="B1065" s="1" t="s">
        <v>1126</v>
      </c>
      <c r="C1065" s="1" t="s">
        <v>52</v>
      </c>
      <c r="D1065" s="1" t="s">
        <v>10</v>
      </c>
      <c r="E1065" s="1" t="s">
        <v>8</v>
      </c>
      <c r="F1065" s="1">
        <v>2864</v>
      </c>
      <c r="G1065" s="14">
        <v>50</v>
      </c>
      <c r="H1065" s="1">
        <v>0.14000000000000001</v>
      </c>
      <c r="I1065" s="14">
        <v>123152</v>
      </c>
      <c r="J1065" s="14">
        <v>86607.360000000001</v>
      </c>
      <c r="K1065" s="15">
        <f>Table5[[#This Row],[Selling Price]]*Table5[[#This Row],[Units Sold]]</f>
        <v>143200</v>
      </c>
      <c r="L1065" t="str">
        <f t="shared" si="16"/>
        <v>2024-12</v>
      </c>
      <c r="M1065" t="str">
        <f>VLOOKUP(Table5[[#This Row],[Store ID]],Table4[[Store ID]:[Store Location]],2)</f>
        <v>Glasgow</v>
      </c>
      <c r="N1065" t="str">
        <f>VLOOKUP(Table5[[#This Row],[Store ID]],Table4[[Store ID]:[Region]],3)</f>
        <v>Scotland</v>
      </c>
      <c r="O1065" t="str">
        <f>VLOOKUP(Table5[[#This Row],[Product ID]],'Product Master'!$A$2:$D$10,4)</f>
        <v>Supplier B</v>
      </c>
      <c r="P1065" s="15">
        <f>Table5[[#This Row],[Total Revenue]]-Table5[[#This Row],[Net Sales Revenue]]</f>
        <v>20048</v>
      </c>
      <c r="Q1065" s="15">
        <f>Table5[[#This Row],[Net Sales Revenue]]/Table5[[#This Row],[Units Sold]]</f>
        <v>43</v>
      </c>
      <c r="R1065">
        <f>VLOOKUP(Table5[[#This Row],[Product ID]],'Product Master'!$A$1:$E$10,5,FALSE)</f>
        <v>28</v>
      </c>
      <c r="S1065" s="15">
        <f>Table5[[#This Row],[standard product cost per unit]]*Table5[[#This Row],[Units Sold]]</f>
        <v>80192</v>
      </c>
      <c r="T1065" s="15">
        <f>Table5[[#This Row],[Cost of Sales]]-Table5[[#This Row],[Standard cost]]</f>
        <v>6415.3600000000006</v>
      </c>
      <c r="U1065" s="15">
        <f>Table5[[#This Row],[Net Sales Revenue]]-Table5[[#This Row],[Cost of Sales]]</f>
        <v>36544.639999999999</v>
      </c>
      <c r="V1065" s="17">
        <f>Table5[[#This Row],[GrossProfit]]/Table5[[#This Row],[Net Sales Revenue]]</f>
        <v>0.29674418604651165</v>
      </c>
    </row>
    <row r="1066" spans="1:22" ht="14.25" customHeight="1" x14ac:dyDescent="0.25">
      <c r="A1066" s="1" t="s">
        <v>1155</v>
      </c>
      <c r="B1066" s="1" t="s">
        <v>1126</v>
      </c>
      <c r="C1066" s="1" t="s">
        <v>52</v>
      </c>
      <c r="D1066" s="1" t="s">
        <v>13</v>
      </c>
      <c r="E1066" s="1" t="s">
        <v>15</v>
      </c>
      <c r="F1066" s="1">
        <v>2846</v>
      </c>
      <c r="G1066" s="14">
        <v>28</v>
      </c>
      <c r="H1066" s="1">
        <v>0.15</v>
      </c>
      <c r="I1066" s="14">
        <v>67734.8</v>
      </c>
      <c r="J1066" s="14">
        <v>46105.2</v>
      </c>
      <c r="K1066" s="15">
        <f>Table5[[#This Row],[Selling Price]]*Table5[[#This Row],[Units Sold]]</f>
        <v>79688</v>
      </c>
      <c r="L1066" t="str">
        <f t="shared" si="16"/>
        <v>2024-12</v>
      </c>
      <c r="M1066" t="str">
        <f>VLOOKUP(Table5[[#This Row],[Store ID]],Table4[[Store ID]:[Store Location]],2)</f>
        <v>Glasgow</v>
      </c>
      <c r="N1066" t="str">
        <f>VLOOKUP(Table5[[#This Row],[Store ID]],Table4[[Store ID]:[Region]],3)</f>
        <v>Scotland</v>
      </c>
      <c r="O1066" t="str">
        <f>VLOOKUP(Table5[[#This Row],[Product ID]],'Product Master'!$A$2:$D$10,4)</f>
        <v>Supplier C</v>
      </c>
      <c r="P1066" s="15">
        <f>Table5[[#This Row],[Total Revenue]]-Table5[[#This Row],[Net Sales Revenue]]</f>
        <v>11953.199999999997</v>
      </c>
      <c r="Q1066" s="15">
        <f>Table5[[#This Row],[Net Sales Revenue]]/Table5[[#This Row],[Units Sold]]</f>
        <v>23.8</v>
      </c>
      <c r="R1066">
        <f>VLOOKUP(Table5[[#This Row],[Product ID]],'Product Master'!$A$1:$E$10,5,FALSE)</f>
        <v>15</v>
      </c>
      <c r="S1066" s="15">
        <f>Table5[[#This Row],[standard product cost per unit]]*Table5[[#This Row],[Units Sold]]</f>
        <v>42690</v>
      </c>
      <c r="T1066" s="15">
        <f>Table5[[#This Row],[Cost of Sales]]-Table5[[#This Row],[Standard cost]]</f>
        <v>3415.1999999999971</v>
      </c>
      <c r="U1066" s="15">
        <f>Table5[[#This Row],[Net Sales Revenue]]-Table5[[#This Row],[Cost of Sales]]</f>
        <v>21629.600000000006</v>
      </c>
      <c r="V1066" s="17">
        <f>Table5[[#This Row],[GrossProfit]]/Table5[[#This Row],[Net Sales Revenue]]</f>
        <v>0.31932773109243706</v>
      </c>
    </row>
    <row r="1067" spans="1:22" ht="14.25" customHeight="1" x14ac:dyDescent="0.25">
      <c r="A1067" s="1" t="s">
        <v>1156</v>
      </c>
      <c r="B1067" s="1" t="s">
        <v>1126</v>
      </c>
      <c r="C1067" s="1" t="s">
        <v>52</v>
      </c>
      <c r="D1067" s="1" t="s">
        <v>17</v>
      </c>
      <c r="E1067" s="1" t="s">
        <v>15</v>
      </c>
      <c r="F1067" s="1">
        <v>2446</v>
      </c>
      <c r="G1067" s="14">
        <v>35</v>
      </c>
      <c r="H1067" s="1">
        <v>0.16</v>
      </c>
      <c r="I1067" s="14">
        <v>71912.399999999994</v>
      </c>
      <c r="J1067" s="14">
        <v>47550.239999999998</v>
      </c>
      <c r="K1067" s="15">
        <f>Table5[[#This Row],[Selling Price]]*Table5[[#This Row],[Units Sold]]</f>
        <v>85610</v>
      </c>
      <c r="L1067" t="str">
        <f t="shared" si="16"/>
        <v>2024-12</v>
      </c>
      <c r="M1067" t="str">
        <f>VLOOKUP(Table5[[#This Row],[Store ID]],Table4[[Store ID]:[Store Location]],2)</f>
        <v>Glasgow</v>
      </c>
      <c r="N1067" t="str">
        <f>VLOOKUP(Table5[[#This Row],[Store ID]],Table4[[Store ID]:[Region]],3)</f>
        <v>Scotland</v>
      </c>
      <c r="O1067" t="str">
        <f>VLOOKUP(Table5[[#This Row],[Product ID]],'Product Master'!$A$2:$D$10,4)</f>
        <v>Supplier C</v>
      </c>
      <c r="P1067" s="15">
        <f>Table5[[#This Row],[Total Revenue]]-Table5[[#This Row],[Net Sales Revenue]]</f>
        <v>13697.600000000006</v>
      </c>
      <c r="Q1067" s="15">
        <f>Table5[[#This Row],[Net Sales Revenue]]/Table5[[#This Row],[Units Sold]]</f>
        <v>29.4</v>
      </c>
      <c r="R1067">
        <f>VLOOKUP(Table5[[#This Row],[Product ID]],'Product Master'!$A$1:$E$10,5,FALSE)</f>
        <v>18</v>
      </c>
      <c r="S1067" s="15">
        <f>Table5[[#This Row],[standard product cost per unit]]*Table5[[#This Row],[Units Sold]]</f>
        <v>44028</v>
      </c>
      <c r="T1067" s="15">
        <f>Table5[[#This Row],[Cost of Sales]]-Table5[[#This Row],[Standard cost]]</f>
        <v>3522.239999999998</v>
      </c>
      <c r="U1067" s="15">
        <f>Table5[[#This Row],[Net Sales Revenue]]-Table5[[#This Row],[Cost of Sales]]</f>
        <v>24362.159999999996</v>
      </c>
      <c r="V1067" s="17">
        <f>Table5[[#This Row],[GrossProfit]]/Table5[[#This Row],[Net Sales Revenue]]</f>
        <v>0.33877551020408159</v>
      </c>
    </row>
    <row r="1068" spans="1:22" ht="14.25" customHeight="1" x14ac:dyDescent="0.25">
      <c r="A1068" s="1" t="s">
        <v>1157</v>
      </c>
      <c r="B1068" s="1" t="s">
        <v>1126</v>
      </c>
      <c r="C1068" s="1" t="s">
        <v>52</v>
      </c>
      <c r="D1068" s="1" t="s">
        <v>19</v>
      </c>
      <c r="E1068" s="1" t="s">
        <v>21</v>
      </c>
      <c r="F1068" s="1">
        <v>2908</v>
      </c>
      <c r="G1068" s="14">
        <v>18</v>
      </c>
      <c r="H1068" s="1">
        <v>0.13</v>
      </c>
      <c r="I1068" s="14">
        <v>45539.28</v>
      </c>
      <c r="J1068" s="14">
        <v>28265.759999999998</v>
      </c>
      <c r="K1068" s="15">
        <f>Table5[[#This Row],[Selling Price]]*Table5[[#This Row],[Units Sold]]</f>
        <v>52344</v>
      </c>
      <c r="L1068" t="str">
        <f t="shared" si="16"/>
        <v>2024-12</v>
      </c>
      <c r="M1068" t="str">
        <f>VLOOKUP(Table5[[#This Row],[Store ID]],Table4[[Store ID]:[Store Location]],2)</f>
        <v>Glasgow</v>
      </c>
      <c r="N1068" t="str">
        <f>VLOOKUP(Table5[[#This Row],[Store ID]],Table4[[Store ID]:[Region]],3)</f>
        <v>Scotland</v>
      </c>
      <c r="O1068" t="str">
        <f>VLOOKUP(Table5[[#This Row],[Product ID]],'Product Master'!$A$2:$D$10,4)</f>
        <v>Supplier D</v>
      </c>
      <c r="P1068" s="15">
        <f>Table5[[#This Row],[Total Revenue]]-Table5[[#This Row],[Net Sales Revenue]]</f>
        <v>6804.7200000000012</v>
      </c>
      <c r="Q1068" s="15">
        <f>Table5[[#This Row],[Net Sales Revenue]]/Table5[[#This Row],[Units Sold]]</f>
        <v>15.66</v>
      </c>
      <c r="R1068">
        <f>VLOOKUP(Table5[[#This Row],[Product ID]],'Product Master'!$A$1:$E$10,5,FALSE)</f>
        <v>9</v>
      </c>
      <c r="S1068" s="15">
        <f>Table5[[#This Row],[standard product cost per unit]]*Table5[[#This Row],[Units Sold]]</f>
        <v>26172</v>
      </c>
      <c r="T1068" s="15">
        <f>Table5[[#This Row],[Cost of Sales]]-Table5[[#This Row],[Standard cost]]</f>
        <v>2093.7599999999984</v>
      </c>
      <c r="U1068" s="15">
        <f>Table5[[#This Row],[Net Sales Revenue]]-Table5[[#This Row],[Cost of Sales]]</f>
        <v>17273.52</v>
      </c>
      <c r="V1068" s="17">
        <f>Table5[[#This Row],[GrossProfit]]/Table5[[#This Row],[Net Sales Revenue]]</f>
        <v>0.37931034482758624</v>
      </c>
    </row>
    <row r="1069" spans="1:22" ht="14.25" customHeight="1" x14ac:dyDescent="0.25">
      <c r="A1069" s="1" t="s">
        <v>1158</v>
      </c>
      <c r="B1069" s="1" t="s">
        <v>1126</v>
      </c>
      <c r="C1069" s="1" t="s">
        <v>52</v>
      </c>
      <c r="D1069" s="1" t="s">
        <v>23</v>
      </c>
      <c r="E1069" s="1" t="s">
        <v>21</v>
      </c>
      <c r="F1069" s="1">
        <v>1729</v>
      </c>
      <c r="G1069" s="14">
        <v>30</v>
      </c>
      <c r="H1069" s="1">
        <v>0.13</v>
      </c>
      <c r="I1069" s="14">
        <v>45126.9</v>
      </c>
      <c r="J1069" s="14">
        <v>26142.48</v>
      </c>
      <c r="K1069" s="15">
        <f>Table5[[#This Row],[Selling Price]]*Table5[[#This Row],[Units Sold]]</f>
        <v>51870</v>
      </c>
      <c r="L1069" t="str">
        <f t="shared" si="16"/>
        <v>2024-12</v>
      </c>
      <c r="M1069" t="str">
        <f>VLOOKUP(Table5[[#This Row],[Store ID]],Table4[[Store ID]:[Store Location]],2)</f>
        <v>Glasgow</v>
      </c>
      <c r="N1069" t="str">
        <f>VLOOKUP(Table5[[#This Row],[Store ID]],Table4[[Store ID]:[Region]],3)</f>
        <v>Scotland</v>
      </c>
      <c r="O1069" t="str">
        <f>VLOOKUP(Table5[[#This Row],[Product ID]],'Product Master'!$A$2:$D$10,4)</f>
        <v>Supplier D</v>
      </c>
      <c r="P1069" s="15">
        <f>Table5[[#This Row],[Total Revenue]]-Table5[[#This Row],[Net Sales Revenue]]</f>
        <v>6743.0999999999985</v>
      </c>
      <c r="Q1069" s="15">
        <f>Table5[[#This Row],[Net Sales Revenue]]/Table5[[#This Row],[Units Sold]]</f>
        <v>26.1</v>
      </c>
      <c r="R1069">
        <f>VLOOKUP(Table5[[#This Row],[Product ID]],'Product Master'!$A$1:$E$10,5,FALSE)</f>
        <v>14</v>
      </c>
      <c r="S1069" s="15">
        <f>Table5[[#This Row],[standard product cost per unit]]*Table5[[#This Row],[Units Sold]]</f>
        <v>24206</v>
      </c>
      <c r="T1069" s="15">
        <f>Table5[[#This Row],[Cost of Sales]]-Table5[[#This Row],[Standard cost]]</f>
        <v>1936.4799999999996</v>
      </c>
      <c r="U1069" s="15">
        <f>Table5[[#This Row],[Net Sales Revenue]]-Table5[[#This Row],[Cost of Sales]]</f>
        <v>18984.420000000002</v>
      </c>
      <c r="V1069" s="17">
        <f>Table5[[#This Row],[GrossProfit]]/Table5[[#This Row],[Net Sales Revenue]]</f>
        <v>0.4206896551724138</v>
      </c>
    </row>
    <row r="1070" spans="1:22" ht="14.25" customHeight="1" x14ac:dyDescent="0.25">
      <c r="A1070" s="1" t="s">
        <v>1159</v>
      </c>
      <c r="B1070" s="1" t="s">
        <v>1126</v>
      </c>
      <c r="C1070" s="1" t="s">
        <v>52</v>
      </c>
      <c r="D1070" s="1" t="s">
        <v>25</v>
      </c>
      <c r="E1070" s="1" t="s">
        <v>27</v>
      </c>
      <c r="F1070" s="1">
        <v>1386</v>
      </c>
      <c r="G1070" s="14">
        <v>40</v>
      </c>
      <c r="H1070" s="1">
        <v>0.13</v>
      </c>
      <c r="I1070" s="14">
        <v>48232.800000000003</v>
      </c>
      <c r="J1070" s="14">
        <v>29937.599999999999</v>
      </c>
      <c r="K1070" s="15">
        <f>Table5[[#This Row],[Selling Price]]*Table5[[#This Row],[Units Sold]]</f>
        <v>55440</v>
      </c>
      <c r="L1070" t="str">
        <f t="shared" si="16"/>
        <v>2024-12</v>
      </c>
      <c r="M1070" t="str">
        <f>VLOOKUP(Table5[[#This Row],[Store ID]],Table4[[Store ID]:[Store Location]],2)</f>
        <v>Glasgow</v>
      </c>
      <c r="N1070" t="str">
        <f>VLOOKUP(Table5[[#This Row],[Store ID]],Table4[[Store ID]:[Region]],3)</f>
        <v>Scotland</v>
      </c>
      <c r="O1070" t="str">
        <f>VLOOKUP(Table5[[#This Row],[Product ID]],'Product Master'!$A$2:$D$10,4)</f>
        <v>Supplier E</v>
      </c>
      <c r="P1070" s="15">
        <f>Table5[[#This Row],[Total Revenue]]-Table5[[#This Row],[Net Sales Revenue]]</f>
        <v>7207.1999999999971</v>
      </c>
      <c r="Q1070" s="15">
        <f>Table5[[#This Row],[Net Sales Revenue]]/Table5[[#This Row],[Units Sold]]</f>
        <v>34.800000000000004</v>
      </c>
      <c r="R1070">
        <f>VLOOKUP(Table5[[#This Row],[Product ID]],'Product Master'!$A$1:$E$10,5,FALSE)</f>
        <v>20</v>
      </c>
      <c r="S1070" s="15">
        <f>Table5[[#This Row],[standard product cost per unit]]*Table5[[#This Row],[Units Sold]]</f>
        <v>27720</v>
      </c>
      <c r="T1070" s="15">
        <f>Table5[[#This Row],[Cost of Sales]]-Table5[[#This Row],[Standard cost]]</f>
        <v>2217.5999999999985</v>
      </c>
      <c r="U1070" s="15">
        <f>Table5[[#This Row],[Net Sales Revenue]]-Table5[[#This Row],[Cost of Sales]]</f>
        <v>18295.200000000004</v>
      </c>
      <c r="V1070" s="17">
        <f>Table5[[#This Row],[GrossProfit]]/Table5[[#This Row],[Net Sales Revenue]]</f>
        <v>0.3793103448275863</v>
      </c>
    </row>
    <row r="1071" spans="1:22" ht="14.25" customHeight="1" x14ac:dyDescent="0.25">
      <c r="A1071" s="1" t="s">
        <v>1160</v>
      </c>
      <c r="B1071" s="1" t="s">
        <v>1126</v>
      </c>
      <c r="C1071" s="1" t="s">
        <v>52</v>
      </c>
      <c r="D1071" s="1" t="s">
        <v>29</v>
      </c>
      <c r="E1071" s="1" t="s">
        <v>31</v>
      </c>
      <c r="F1071" s="1">
        <v>1438</v>
      </c>
      <c r="G1071" s="14">
        <v>10</v>
      </c>
      <c r="H1071" s="1">
        <v>0.13</v>
      </c>
      <c r="I1071" s="14">
        <v>12510.6</v>
      </c>
      <c r="J1071" s="14">
        <v>6212.16</v>
      </c>
      <c r="K1071" s="15">
        <f>Table5[[#This Row],[Selling Price]]*Table5[[#This Row],[Units Sold]]</f>
        <v>14380</v>
      </c>
      <c r="L1071" t="str">
        <f t="shared" si="16"/>
        <v>2024-12</v>
      </c>
      <c r="M1071" t="str">
        <f>VLOOKUP(Table5[[#This Row],[Store ID]],Table4[[Store ID]:[Store Location]],2)</f>
        <v>Glasgow</v>
      </c>
      <c r="N1071" t="str">
        <f>VLOOKUP(Table5[[#This Row],[Store ID]],Table4[[Store ID]:[Region]],3)</f>
        <v>Scotland</v>
      </c>
      <c r="O1071" t="str">
        <f>VLOOKUP(Table5[[#This Row],[Product ID]],'Product Master'!$A$2:$D$10,4)</f>
        <v>Supplier F</v>
      </c>
      <c r="P1071" s="15">
        <f>Table5[[#This Row],[Total Revenue]]-Table5[[#This Row],[Net Sales Revenue]]</f>
        <v>1869.3999999999996</v>
      </c>
      <c r="Q1071" s="15">
        <f>Table5[[#This Row],[Net Sales Revenue]]/Table5[[#This Row],[Units Sold]]</f>
        <v>8.7000000000000011</v>
      </c>
      <c r="R1071">
        <f>VLOOKUP(Table5[[#This Row],[Product ID]],'Product Master'!$A$1:$E$10,5,FALSE)</f>
        <v>4</v>
      </c>
      <c r="S1071" s="15">
        <f>Table5[[#This Row],[standard product cost per unit]]*Table5[[#This Row],[Units Sold]]</f>
        <v>5752</v>
      </c>
      <c r="T1071" s="15">
        <f>Table5[[#This Row],[Cost of Sales]]-Table5[[#This Row],[Standard cost]]</f>
        <v>460.15999999999985</v>
      </c>
      <c r="U1071" s="15">
        <f>Table5[[#This Row],[Net Sales Revenue]]-Table5[[#This Row],[Cost of Sales]]</f>
        <v>6298.4400000000005</v>
      </c>
      <c r="V1071" s="17">
        <f>Table5[[#This Row],[GrossProfit]]/Table5[[#This Row],[Net Sales Revenue]]</f>
        <v>0.50344827586206897</v>
      </c>
    </row>
    <row r="1072" spans="1:22" ht="14.25" customHeight="1" x14ac:dyDescent="0.25">
      <c r="A1072" s="1" t="s">
        <v>1161</v>
      </c>
      <c r="B1072" s="1" t="s">
        <v>1126</v>
      </c>
      <c r="C1072" s="1" t="s">
        <v>52</v>
      </c>
      <c r="D1072" s="1" t="s">
        <v>33</v>
      </c>
      <c r="E1072" s="1" t="s">
        <v>31</v>
      </c>
      <c r="F1072" s="1">
        <v>2692</v>
      </c>
      <c r="G1072" s="14">
        <v>22</v>
      </c>
      <c r="H1072" s="1">
        <v>0.13</v>
      </c>
      <c r="I1072" s="14">
        <v>51524.88</v>
      </c>
      <c r="J1072" s="14">
        <v>29073.599999999999</v>
      </c>
      <c r="K1072" s="15">
        <f>Table5[[#This Row],[Selling Price]]*Table5[[#This Row],[Units Sold]]</f>
        <v>59224</v>
      </c>
      <c r="L1072" t="str">
        <f t="shared" si="16"/>
        <v>2024-12</v>
      </c>
      <c r="M1072" t="str">
        <f>VLOOKUP(Table5[[#This Row],[Store ID]],Table4[[Store ID]:[Store Location]],2)</f>
        <v>Glasgow</v>
      </c>
      <c r="N1072" t="str">
        <f>VLOOKUP(Table5[[#This Row],[Store ID]],Table4[[Store ID]:[Region]],3)</f>
        <v>Scotland</v>
      </c>
      <c r="O1072" t="str">
        <f>VLOOKUP(Table5[[#This Row],[Product ID]],'Product Master'!$A$2:$D$10,4)</f>
        <v>Supplier F</v>
      </c>
      <c r="P1072" s="15">
        <f>Table5[[#This Row],[Total Revenue]]-Table5[[#This Row],[Net Sales Revenue]]</f>
        <v>7699.1200000000026</v>
      </c>
      <c r="Q1072" s="15">
        <f>Table5[[#This Row],[Net Sales Revenue]]/Table5[[#This Row],[Units Sold]]</f>
        <v>19.14</v>
      </c>
      <c r="R1072">
        <f>VLOOKUP(Table5[[#This Row],[Product ID]],'Product Master'!$A$1:$E$10,5,FALSE)</f>
        <v>10</v>
      </c>
      <c r="S1072" s="15">
        <f>Table5[[#This Row],[standard product cost per unit]]*Table5[[#This Row],[Units Sold]]</f>
        <v>26920</v>
      </c>
      <c r="T1072" s="15">
        <f>Table5[[#This Row],[Cost of Sales]]-Table5[[#This Row],[Standard cost]]</f>
        <v>2153.5999999999985</v>
      </c>
      <c r="U1072" s="15">
        <f>Table5[[#This Row],[Net Sales Revenue]]-Table5[[#This Row],[Cost of Sales]]</f>
        <v>22451.279999999999</v>
      </c>
      <c r="V1072" s="17">
        <f>Table5[[#This Row],[GrossProfit]]/Table5[[#This Row],[Net Sales Revenue]]</f>
        <v>0.43573667711598746</v>
      </c>
    </row>
    <row r="1073" spans="1:22" ht="14.25" customHeight="1" x14ac:dyDescent="0.25">
      <c r="A1073" s="1" t="s">
        <v>1162</v>
      </c>
      <c r="B1073" s="1" t="s">
        <v>1126</v>
      </c>
      <c r="C1073" s="1" t="s">
        <v>56</v>
      </c>
      <c r="D1073" s="1" t="s">
        <v>6</v>
      </c>
      <c r="E1073" s="1" t="s">
        <v>8</v>
      </c>
      <c r="F1073" s="1">
        <v>1958</v>
      </c>
      <c r="G1073" s="14">
        <v>24</v>
      </c>
      <c r="H1073" s="1">
        <v>0.14000000000000001</v>
      </c>
      <c r="I1073" s="14">
        <v>40413.120000000003</v>
      </c>
      <c r="J1073" s="14">
        <v>25375.68</v>
      </c>
      <c r="K1073" s="15">
        <f>Table5[[#This Row],[Selling Price]]*Table5[[#This Row],[Units Sold]]</f>
        <v>46992</v>
      </c>
      <c r="L1073" t="str">
        <f t="shared" si="16"/>
        <v>2024-12</v>
      </c>
      <c r="M1073" t="str">
        <f>VLOOKUP(Table5[[#This Row],[Store ID]],Table4[[Store ID]:[Store Location]],2)</f>
        <v>Leeds</v>
      </c>
      <c r="N1073" t="str">
        <f>VLOOKUP(Table5[[#This Row],[Store ID]],Table4[[Store ID]:[Region]],3)</f>
        <v>North</v>
      </c>
      <c r="O1073" t="str">
        <f>VLOOKUP(Table5[[#This Row],[Product ID]],'Product Master'!$A$2:$D$10,4)</f>
        <v>Supplier A</v>
      </c>
      <c r="P1073" s="15">
        <f>Table5[[#This Row],[Total Revenue]]-Table5[[#This Row],[Net Sales Revenue]]</f>
        <v>6578.8799999999974</v>
      </c>
      <c r="Q1073" s="15">
        <f>Table5[[#This Row],[Net Sales Revenue]]/Table5[[#This Row],[Units Sold]]</f>
        <v>20.64</v>
      </c>
      <c r="R1073">
        <f>VLOOKUP(Table5[[#This Row],[Product ID]],'Product Master'!$A$1:$E$10,5,FALSE)</f>
        <v>12</v>
      </c>
      <c r="S1073" s="15">
        <f>Table5[[#This Row],[standard product cost per unit]]*Table5[[#This Row],[Units Sold]]</f>
        <v>23496</v>
      </c>
      <c r="T1073" s="15">
        <f>Table5[[#This Row],[Cost of Sales]]-Table5[[#This Row],[Standard cost]]</f>
        <v>1879.6800000000003</v>
      </c>
      <c r="U1073" s="15">
        <f>Table5[[#This Row],[Net Sales Revenue]]-Table5[[#This Row],[Cost of Sales]]</f>
        <v>15037.440000000002</v>
      </c>
      <c r="V1073" s="17">
        <f>Table5[[#This Row],[GrossProfit]]/Table5[[#This Row],[Net Sales Revenue]]</f>
        <v>0.372093023255814</v>
      </c>
    </row>
    <row r="1074" spans="1:22" ht="14.25" customHeight="1" x14ac:dyDescent="0.25">
      <c r="A1074" s="1" t="s">
        <v>1163</v>
      </c>
      <c r="B1074" s="1" t="s">
        <v>1126</v>
      </c>
      <c r="C1074" s="1" t="s">
        <v>56</v>
      </c>
      <c r="D1074" s="1" t="s">
        <v>10</v>
      </c>
      <c r="E1074" s="1" t="s">
        <v>8</v>
      </c>
      <c r="F1074" s="1">
        <v>2714</v>
      </c>
      <c r="G1074" s="14">
        <v>50</v>
      </c>
      <c r="H1074" s="1">
        <v>0.17</v>
      </c>
      <c r="I1074" s="14">
        <v>112631</v>
      </c>
      <c r="J1074" s="14">
        <v>82071.360000000001</v>
      </c>
      <c r="K1074" s="15">
        <f>Table5[[#This Row],[Selling Price]]*Table5[[#This Row],[Units Sold]]</f>
        <v>135700</v>
      </c>
      <c r="L1074" t="str">
        <f t="shared" si="16"/>
        <v>2024-12</v>
      </c>
      <c r="M1074" t="str">
        <f>VLOOKUP(Table5[[#This Row],[Store ID]],Table4[[Store ID]:[Store Location]],2)</f>
        <v>Leeds</v>
      </c>
      <c r="N1074" t="str">
        <f>VLOOKUP(Table5[[#This Row],[Store ID]],Table4[[Store ID]:[Region]],3)</f>
        <v>North</v>
      </c>
      <c r="O1074" t="str">
        <f>VLOOKUP(Table5[[#This Row],[Product ID]],'Product Master'!$A$2:$D$10,4)</f>
        <v>Supplier B</v>
      </c>
      <c r="P1074" s="15">
        <f>Table5[[#This Row],[Total Revenue]]-Table5[[#This Row],[Net Sales Revenue]]</f>
        <v>23069</v>
      </c>
      <c r="Q1074" s="15">
        <f>Table5[[#This Row],[Net Sales Revenue]]/Table5[[#This Row],[Units Sold]]</f>
        <v>41.5</v>
      </c>
      <c r="R1074">
        <f>VLOOKUP(Table5[[#This Row],[Product ID]],'Product Master'!$A$1:$E$10,5,FALSE)</f>
        <v>28</v>
      </c>
      <c r="S1074" s="15">
        <f>Table5[[#This Row],[standard product cost per unit]]*Table5[[#This Row],[Units Sold]]</f>
        <v>75992</v>
      </c>
      <c r="T1074" s="15">
        <f>Table5[[#This Row],[Cost of Sales]]-Table5[[#This Row],[Standard cost]]</f>
        <v>6079.3600000000006</v>
      </c>
      <c r="U1074" s="15">
        <f>Table5[[#This Row],[Net Sales Revenue]]-Table5[[#This Row],[Cost of Sales]]</f>
        <v>30559.64</v>
      </c>
      <c r="V1074" s="17">
        <f>Table5[[#This Row],[GrossProfit]]/Table5[[#This Row],[Net Sales Revenue]]</f>
        <v>0.27132530120481929</v>
      </c>
    </row>
    <row r="1075" spans="1:22" ht="14.25" customHeight="1" x14ac:dyDescent="0.25">
      <c r="A1075" s="1" t="s">
        <v>1164</v>
      </c>
      <c r="B1075" s="1" t="s">
        <v>1126</v>
      </c>
      <c r="C1075" s="1" t="s">
        <v>56</v>
      </c>
      <c r="D1075" s="1" t="s">
        <v>13</v>
      </c>
      <c r="E1075" s="1" t="s">
        <v>15</v>
      </c>
      <c r="F1075" s="1">
        <v>2072</v>
      </c>
      <c r="G1075" s="14">
        <v>28</v>
      </c>
      <c r="H1075" s="1">
        <v>0.16</v>
      </c>
      <c r="I1075" s="14">
        <v>48733.440000000002</v>
      </c>
      <c r="J1075" s="14">
        <v>33566.400000000001</v>
      </c>
      <c r="K1075" s="15">
        <f>Table5[[#This Row],[Selling Price]]*Table5[[#This Row],[Units Sold]]</f>
        <v>58016</v>
      </c>
      <c r="L1075" t="str">
        <f t="shared" si="16"/>
        <v>2024-12</v>
      </c>
      <c r="M1075" t="str">
        <f>VLOOKUP(Table5[[#This Row],[Store ID]],Table4[[Store ID]:[Store Location]],2)</f>
        <v>Leeds</v>
      </c>
      <c r="N1075" t="str">
        <f>VLOOKUP(Table5[[#This Row],[Store ID]],Table4[[Store ID]:[Region]],3)</f>
        <v>North</v>
      </c>
      <c r="O1075" t="str">
        <f>VLOOKUP(Table5[[#This Row],[Product ID]],'Product Master'!$A$2:$D$10,4)</f>
        <v>Supplier C</v>
      </c>
      <c r="P1075" s="15">
        <f>Table5[[#This Row],[Total Revenue]]-Table5[[#This Row],[Net Sales Revenue]]</f>
        <v>9282.5599999999977</v>
      </c>
      <c r="Q1075" s="15">
        <f>Table5[[#This Row],[Net Sales Revenue]]/Table5[[#This Row],[Units Sold]]</f>
        <v>23.52</v>
      </c>
      <c r="R1075">
        <f>VLOOKUP(Table5[[#This Row],[Product ID]],'Product Master'!$A$1:$E$10,5,FALSE)</f>
        <v>15</v>
      </c>
      <c r="S1075" s="15">
        <f>Table5[[#This Row],[standard product cost per unit]]*Table5[[#This Row],[Units Sold]]</f>
        <v>31080</v>
      </c>
      <c r="T1075" s="15">
        <f>Table5[[#This Row],[Cost of Sales]]-Table5[[#This Row],[Standard cost]]</f>
        <v>2486.4000000000015</v>
      </c>
      <c r="U1075" s="15">
        <f>Table5[[#This Row],[Net Sales Revenue]]-Table5[[#This Row],[Cost of Sales]]</f>
        <v>15167.04</v>
      </c>
      <c r="V1075" s="17">
        <f>Table5[[#This Row],[GrossProfit]]/Table5[[#This Row],[Net Sales Revenue]]</f>
        <v>0.31122448979591838</v>
      </c>
    </row>
    <row r="1076" spans="1:22" ht="14.25" customHeight="1" x14ac:dyDescent="0.25">
      <c r="A1076" s="1" t="s">
        <v>1165</v>
      </c>
      <c r="B1076" s="1" t="s">
        <v>1126</v>
      </c>
      <c r="C1076" s="1" t="s">
        <v>56</v>
      </c>
      <c r="D1076" s="1" t="s">
        <v>17</v>
      </c>
      <c r="E1076" s="1" t="s">
        <v>15</v>
      </c>
      <c r="F1076" s="1">
        <v>2204</v>
      </c>
      <c r="G1076" s="14">
        <v>35</v>
      </c>
      <c r="H1076" s="1">
        <v>0.15</v>
      </c>
      <c r="I1076" s="14">
        <v>65569</v>
      </c>
      <c r="J1076" s="14">
        <v>42845.760000000002</v>
      </c>
      <c r="K1076" s="15">
        <f>Table5[[#This Row],[Selling Price]]*Table5[[#This Row],[Units Sold]]</f>
        <v>77140</v>
      </c>
      <c r="L1076" t="str">
        <f t="shared" si="16"/>
        <v>2024-12</v>
      </c>
      <c r="M1076" t="str">
        <f>VLOOKUP(Table5[[#This Row],[Store ID]],Table4[[Store ID]:[Store Location]],2)</f>
        <v>Leeds</v>
      </c>
      <c r="N1076" t="str">
        <f>VLOOKUP(Table5[[#This Row],[Store ID]],Table4[[Store ID]:[Region]],3)</f>
        <v>North</v>
      </c>
      <c r="O1076" t="str">
        <f>VLOOKUP(Table5[[#This Row],[Product ID]],'Product Master'!$A$2:$D$10,4)</f>
        <v>Supplier C</v>
      </c>
      <c r="P1076" s="15">
        <f>Table5[[#This Row],[Total Revenue]]-Table5[[#This Row],[Net Sales Revenue]]</f>
        <v>11571</v>
      </c>
      <c r="Q1076" s="15">
        <f>Table5[[#This Row],[Net Sales Revenue]]/Table5[[#This Row],[Units Sold]]</f>
        <v>29.75</v>
      </c>
      <c r="R1076">
        <f>VLOOKUP(Table5[[#This Row],[Product ID]],'Product Master'!$A$1:$E$10,5,FALSE)</f>
        <v>18</v>
      </c>
      <c r="S1076" s="15">
        <f>Table5[[#This Row],[standard product cost per unit]]*Table5[[#This Row],[Units Sold]]</f>
        <v>39672</v>
      </c>
      <c r="T1076" s="15">
        <f>Table5[[#This Row],[Cost of Sales]]-Table5[[#This Row],[Standard cost]]</f>
        <v>3173.760000000002</v>
      </c>
      <c r="U1076" s="15">
        <f>Table5[[#This Row],[Net Sales Revenue]]-Table5[[#This Row],[Cost of Sales]]</f>
        <v>22723.239999999998</v>
      </c>
      <c r="V1076" s="17">
        <f>Table5[[#This Row],[GrossProfit]]/Table5[[#This Row],[Net Sales Revenue]]</f>
        <v>0.34655462184873947</v>
      </c>
    </row>
    <row r="1077" spans="1:22" ht="14.25" customHeight="1" x14ac:dyDescent="0.25">
      <c r="A1077" s="1" t="s">
        <v>1166</v>
      </c>
      <c r="B1077" s="1" t="s">
        <v>1126</v>
      </c>
      <c r="C1077" s="1" t="s">
        <v>56</v>
      </c>
      <c r="D1077" s="1" t="s">
        <v>19</v>
      </c>
      <c r="E1077" s="1" t="s">
        <v>21</v>
      </c>
      <c r="F1077" s="1">
        <v>1808</v>
      </c>
      <c r="G1077" s="14">
        <v>18</v>
      </c>
      <c r="H1077" s="1">
        <v>0.16</v>
      </c>
      <c r="I1077" s="14">
        <v>27336.959999999999</v>
      </c>
      <c r="J1077" s="14">
        <v>17573.759999999998</v>
      </c>
      <c r="K1077" s="15">
        <f>Table5[[#This Row],[Selling Price]]*Table5[[#This Row],[Units Sold]]</f>
        <v>32544</v>
      </c>
      <c r="L1077" t="str">
        <f t="shared" si="16"/>
        <v>2024-12</v>
      </c>
      <c r="M1077" t="str">
        <f>VLOOKUP(Table5[[#This Row],[Store ID]],Table4[[Store ID]:[Store Location]],2)</f>
        <v>Leeds</v>
      </c>
      <c r="N1077" t="str">
        <f>VLOOKUP(Table5[[#This Row],[Store ID]],Table4[[Store ID]:[Region]],3)</f>
        <v>North</v>
      </c>
      <c r="O1077" t="str">
        <f>VLOOKUP(Table5[[#This Row],[Product ID]],'Product Master'!$A$2:$D$10,4)</f>
        <v>Supplier D</v>
      </c>
      <c r="P1077" s="15">
        <f>Table5[[#This Row],[Total Revenue]]-Table5[[#This Row],[Net Sales Revenue]]</f>
        <v>5207.0400000000009</v>
      </c>
      <c r="Q1077" s="15">
        <f>Table5[[#This Row],[Net Sales Revenue]]/Table5[[#This Row],[Units Sold]]</f>
        <v>15.12</v>
      </c>
      <c r="R1077">
        <f>VLOOKUP(Table5[[#This Row],[Product ID]],'Product Master'!$A$1:$E$10,5,FALSE)</f>
        <v>9</v>
      </c>
      <c r="S1077" s="15">
        <f>Table5[[#This Row],[standard product cost per unit]]*Table5[[#This Row],[Units Sold]]</f>
        <v>16272</v>
      </c>
      <c r="T1077" s="15">
        <f>Table5[[#This Row],[Cost of Sales]]-Table5[[#This Row],[Standard cost]]</f>
        <v>1301.7599999999984</v>
      </c>
      <c r="U1077" s="15">
        <f>Table5[[#This Row],[Net Sales Revenue]]-Table5[[#This Row],[Cost of Sales]]</f>
        <v>9763.2000000000007</v>
      </c>
      <c r="V1077" s="17">
        <f>Table5[[#This Row],[GrossProfit]]/Table5[[#This Row],[Net Sales Revenue]]</f>
        <v>0.35714285714285721</v>
      </c>
    </row>
    <row r="1078" spans="1:22" ht="14.25" customHeight="1" x14ac:dyDescent="0.25">
      <c r="A1078" s="1" t="s">
        <v>1167</v>
      </c>
      <c r="B1078" s="1" t="s">
        <v>1126</v>
      </c>
      <c r="C1078" s="1" t="s">
        <v>56</v>
      </c>
      <c r="D1078" s="1" t="s">
        <v>23</v>
      </c>
      <c r="E1078" s="1" t="s">
        <v>21</v>
      </c>
      <c r="F1078" s="1">
        <v>2987</v>
      </c>
      <c r="G1078" s="14">
        <v>30</v>
      </c>
      <c r="H1078" s="1">
        <v>0.17</v>
      </c>
      <c r="I1078" s="14">
        <v>74376.3</v>
      </c>
      <c r="J1078" s="14">
        <v>45163.44</v>
      </c>
      <c r="K1078" s="15">
        <f>Table5[[#This Row],[Selling Price]]*Table5[[#This Row],[Units Sold]]</f>
        <v>89610</v>
      </c>
      <c r="L1078" t="str">
        <f t="shared" si="16"/>
        <v>2024-12</v>
      </c>
      <c r="M1078" t="str">
        <f>VLOOKUP(Table5[[#This Row],[Store ID]],Table4[[Store ID]:[Store Location]],2)</f>
        <v>Leeds</v>
      </c>
      <c r="N1078" t="str">
        <f>VLOOKUP(Table5[[#This Row],[Store ID]],Table4[[Store ID]:[Region]],3)</f>
        <v>North</v>
      </c>
      <c r="O1078" t="str">
        <f>VLOOKUP(Table5[[#This Row],[Product ID]],'Product Master'!$A$2:$D$10,4)</f>
        <v>Supplier D</v>
      </c>
      <c r="P1078" s="15">
        <f>Table5[[#This Row],[Total Revenue]]-Table5[[#This Row],[Net Sales Revenue]]</f>
        <v>15233.699999999997</v>
      </c>
      <c r="Q1078" s="15">
        <f>Table5[[#This Row],[Net Sales Revenue]]/Table5[[#This Row],[Units Sold]]</f>
        <v>24.900000000000002</v>
      </c>
      <c r="R1078">
        <f>VLOOKUP(Table5[[#This Row],[Product ID]],'Product Master'!$A$1:$E$10,5,FALSE)</f>
        <v>14</v>
      </c>
      <c r="S1078" s="15">
        <f>Table5[[#This Row],[standard product cost per unit]]*Table5[[#This Row],[Units Sold]]</f>
        <v>41818</v>
      </c>
      <c r="T1078" s="15">
        <f>Table5[[#This Row],[Cost of Sales]]-Table5[[#This Row],[Standard cost]]</f>
        <v>3345.4400000000023</v>
      </c>
      <c r="U1078" s="15">
        <f>Table5[[#This Row],[Net Sales Revenue]]-Table5[[#This Row],[Cost of Sales]]</f>
        <v>29212.86</v>
      </c>
      <c r="V1078" s="17">
        <f>Table5[[#This Row],[GrossProfit]]/Table5[[#This Row],[Net Sales Revenue]]</f>
        <v>0.39277108433734936</v>
      </c>
    </row>
    <row r="1079" spans="1:22" ht="14.25" customHeight="1" x14ac:dyDescent="0.25">
      <c r="A1079" s="1" t="s">
        <v>1168</v>
      </c>
      <c r="B1079" s="1" t="s">
        <v>1126</v>
      </c>
      <c r="C1079" s="1" t="s">
        <v>56</v>
      </c>
      <c r="D1079" s="1" t="s">
        <v>25</v>
      </c>
      <c r="E1079" s="1" t="s">
        <v>27</v>
      </c>
      <c r="F1079" s="1">
        <v>2305</v>
      </c>
      <c r="G1079" s="14">
        <v>40</v>
      </c>
      <c r="H1079" s="1">
        <v>0.14000000000000001</v>
      </c>
      <c r="I1079" s="14">
        <v>79292</v>
      </c>
      <c r="J1079" s="14">
        <v>49788</v>
      </c>
      <c r="K1079" s="15">
        <f>Table5[[#This Row],[Selling Price]]*Table5[[#This Row],[Units Sold]]</f>
        <v>92200</v>
      </c>
      <c r="L1079" s="28" t="str">
        <f t="shared" si="16"/>
        <v>2024-12</v>
      </c>
      <c r="M1079" t="str">
        <f>VLOOKUP(Table5[[#This Row],[Store ID]],Table4[[Store ID]:[Store Location]],2)</f>
        <v>Leeds</v>
      </c>
      <c r="N1079" t="str">
        <f>VLOOKUP(Table5[[#This Row],[Store ID]],Table4[[Store ID]:[Region]],3)</f>
        <v>North</v>
      </c>
      <c r="O1079" t="str">
        <f>VLOOKUP(Table5[[#This Row],[Product ID]],'Product Master'!$A$2:$D$10,4)</f>
        <v>Supplier E</v>
      </c>
      <c r="P1079" s="15">
        <f>Table5[[#This Row],[Total Revenue]]-Table5[[#This Row],[Net Sales Revenue]]</f>
        <v>12908</v>
      </c>
      <c r="Q1079" s="15">
        <f>Table5[[#This Row],[Net Sales Revenue]]/Table5[[#This Row],[Units Sold]]</f>
        <v>34.4</v>
      </c>
      <c r="R1079">
        <f>VLOOKUP(Table5[[#This Row],[Product ID]],'Product Master'!$A$1:$E$10,5,FALSE)</f>
        <v>20</v>
      </c>
      <c r="S1079" s="15">
        <f>Table5[[#This Row],[standard product cost per unit]]*Table5[[#This Row],[Units Sold]]</f>
        <v>46100</v>
      </c>
      <c r="T1079" s="15">
        <f>Table5[[#This Row],[Cost of Sales]]-Table5[[#This Row],[Standard cost]]</f>
        <v>3688</v>
      </c>
      <c r="U1079" s="15">
        <f>Table5[[#This Row],[Net Sales Revenue]]-Table5[[#This Row],[Cost of Sales]]</f>
        <v>29504</v>
      </c>
      <c r="V1079" s="17">
        <f>Table5[[#This Row],[GrossProfit]]/Table5[[#This Row],[Net Sales Revenue]]</f>
        <v>0.37209302325581395</v>
      </c>
    </row>
    <row r="1080" spans="1:22" ht="14.25" customHeight="1" x14ac:dyDescent="0.25">
      <c r="A1080" s="1" t="s">
        <v>1169</v>
      </c>
      <c r="B1080" s="1" t="s">
        <v>1126</v>
      </c>
      <c r="C1080" s="1" t="s">
        <v>56</v>
      </c>
      <c r="D1080" s="1" t="s">
        <v>29</v>
      </c>
      <c r="E1080" s="1" t="s">
        <v>31</v>
      </c>
      <c r="F1080" s="1">
        <v>1980</v>
      </c>
      <c r="G1080" s="14">
        <v>10</v>
      </c>
      <c r="H1080" s="1">
        <v>0.13</v>
      </c>
      <c r="I1080" s="14">
        <v>17226</v>
      </c>
      <c r="J1080" s="14">
        <v>8553.6</v>
      </c>
      <c r="K1080" s="15">
        <f>Table5[[#This Row],[Selling Price]]*Table5[[#This Row],[Units Sold]]</f>
        <v>19800</v>
      </c>
      <c r="L1080" s="28" t="str">
        <f t="shared" si="16"/>
        <v>2024-12</v>
      </c>
      <c r="M1080" t="str">
        <f>VLOOKUP(Table5[[#This Row],[Store ID]],Table4[[Store ID]:[Store Location]],2)</f>
        <v>Leeds</v>
      </c>
      <c r="N1080" t="str">
        <f>VLOOKUP(Table5[[#This Row],[Store ID]],Table4[[Store ID]:[Region]],3)</f>
        <v>North</v>
      </c>
      <c r="O1080" t="str">
        <f>VLOOKUP(Table5[[#This Row],[Product ID]],'Product Master'!$A$2:$D$10,4)</f>
        <v>Supplier F</v>
      </c>
      <c r="P1080" s="15">
        <f>Table5[[#This Row],[Total Revenue]]-Table5[[#This Row],[Net Sales Revenue]]</f>
        <v>2574</v>
      </c>
      <c r="Q1080" s="15">
        <f>Table5[[#This Row],[Net Sales Revenue]]/Table5[[#This Row],[Units Sold]]</f>
        <v>8.6999999999999993</v>
      </c>
      <c r="R1080">
        <f>VLOOKUP(Table5[[#This Row],[Product ID]],'Product Master'!$A$1:$E$10,5,FALSE)</f>
        <v>4</v>
      </c>
      <c r="S1080" s="15">
        <f>Table5[[#This Row],[standard product cost per unit]]*Table5[[#This Row],[Units Sold]]</f>
        <v>7920</v>
      </c>
      <c r="T1080" s="15">
        <f>Table5[[#This Row],[Cost of Sales]]-Table5[[#This Row],[Standard cost]]</f>
        <v>633.60000000000036</v>
      </c>
      <c r="U1080" s="15">
        <f>Table5[[#This Row],[Net Sales Revenue]]-Table5[[#This Row],[Cost of Sales]]</f>
        <v>8672.4</v>
      </c>
      <c r="V1080" s="17">
        <f>Table5[[#This Row],[GrossProfit]]/Table5[[#This Row],[Net Sales Revenue]]</f>
        <v>0.50344827586206897</v>
      </c>
    </row>
    <row r="1081" spans="1:22" ht="14.25" customHeight="1" x14ac:dyDescent="0.25">
      <c r="A1081" s="1" t="s">
        <v>1170</v>
      </c>
      <c r="B1081" s="1" t="s">
        <v>1126</v>
      </c>
      <c r="C1081" s="1" t="s">
        <v>56</v>
      </c>
      <c r="D1081" s="1" t="s">
        <v>33</v>
      </c>
      <c r="E1081" s="1" t="s">
        <v>31</v>
      </c>
      <c r="F1081" s="1">
        <v>2068</v>
      </c>
      <c r="G1081" s="14">
        <v>22</v>
      </c>
      <c r="H1081" s="1">
        <v>0.14000000000000001</v>
      </c>
      <c r="I1081" s="14">
        <v>39126.559999999998</v>
      </c>
      <c r="J1081" s="14">
        <v>22334.400000000001</v>
      </c>
      <c r="K1081" s="15">
        <f>Table5[[#This Row],[Selling Price]]*Table5[[#This Row],[Units Sold]]</f>
        <v>45496</v>
      </c>
      <c r="L1081" s="28" t="str">
        <f t="shared" si="16"/>
        <v>2024-12</v>
      </c>
      <c r="M1081" t="str">
        <f>VLOOKUP(Table5[[#This Row],[Store ID]],Table4[[Store ID]:[Store Location]],2)</f>
        <v>Leeds</v>
      </c>
      <c r="N1081" t="str">
        <f>VLOOKUP(Table5[[#This Row],[Store ID]],Table4[[Store ID]:[Region]],3)</f>
        <v>North</v>
      </c>
      <c r="O1081" t="str">
        <f>VLOOKUP(Table5[[#This Row],[Product ID]],'Product Master'!$A$2:$D$10,4)</f>
        <v>Supplier F</v>
      </c>
      <c r="P1081" s="15">
        <f>Table5[[#This Row],[Total Revenue]]-Table5[[#This Row],[Net Sales Revenue]]</f>
        <v>6369.4400000000023</v>
      </c>
      <c r="Q1081" s="15">
        <f>Table5[[#This Row],[Net Sales Revenue]]/Table5[[#This Row],[Units Sold]]</f>
        <v>18.919999999999998</v>
      </c>
      <c r="R1081">
        <f>VLOOKUP(Table5[[#This Row],[Product ID]],'Product Master'!$A$1:$E$10,5,FALSE)</f>
        <v>10</v>
      </c>
      <c r="S1081" s="15">
        <f>Table5[[#This Row],[standard product cost per unit]]*Table5[[#This Row],[Units Sold]]</f>
        <v>20680</v>
      </c>
      <c r="T1081" s="15">
        <f>Table5[[#This Row],[Cost of Sales]]-Table5[[#This Row],[Standard cost]]</f>
        <v>1654.4000000000015</v>
      </c>
      <c r="U1081" s="15">
        <f>Table5[[#This Row],[Net Sales Revenue]]-Table5[[#This Row],[Cost of Sales]]</f>
        <v>16792.159999999996</v>
      </c>
      <c r="V1081" s="17">
        <f>Table5[[#This Row],[GrossProfit]]/Table5[[#This Row],[Net Sales Revenue]]</f>
        <v>0.42917547568710351</v>
      </c>
    </row>
    <row r="1082" spans="1:22" ht="14.25" customHeight="1" x14ac:dyDescent="0.25"/>
    <row r="1083" spans="1:22" ht="14.25" customHeight="1" x14ac:dyDescent="0.25"/>
    <row r="1084" spans="1:22" ht="14.25" customHeight="1" x14ac:dyDescent="0.25"/>
    <row r="1085" spans="1:22" ht="14.25" customHeight="1" x14ac:dyDescent="0.25"/>
    <row r="1086" spans="1:22" ht="14.25" customHeight="1" x14ac:dyDescent="0.25"/>
    <row r="1087" spans="1:22" ht="14.25" customHeight="1" x14ac:dyDescent="0.25"/>
    <row r="1088" spans="1:22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x14ac:dyDescent="0.25"/>
    <row r="1391" ht="14.25" customHeight="1" x14ac:dyDescent="0.25"/>
    <row r="1392" ht="14.25" customHeight="1" x14ac:dyDescent="0.25"/>
    <row r="1393" ht="14.25" customHeight="1" x14ac:dyDescent="0.25"/>
    <row r="1394" ht="14.25" customHeight="1" x14ac:dyDescent="0.25"/>
    <row r="1395" ht="14.25" customHeight="1" x14ac:dyDescent="0.25"/>
    <row r="1396" ht="14.25" customHeight="1" x14ac:dyDescent="0.25"/>
    <row r="1397" ht="14.25" customHeight="1" x14ac:dyDescent="0.25"/>
    <row r="1398" ht="14.25" customHeight="1" x14ac:dyDescent="0.25"/>
    <row r="1399" ht="14.25" customHeight="1" x14ac:dyDescent="0.25"/>
    <row r="1400" ht="14.25" customHeight="1" x14ac:dyDescent="0.25"/>
    <row r="1401" ht="14.25" customHeight="1" x14ac:dyDescent="0.25"/>
    <row r="1402" ht="14.25" customHeight="1" x14ac:dyDescent="0.25"/>
    <row r="1403" ht="14.25" customHeight="1" x14ac:dyDescent="0.25"/>
    <row r="1404" ht="14.25" customHeight="1" x14ac:dyDescent="0.25"/>
    <row r="1405" ht="14.25" customHeight="1" x14ac:dyDescent="0.25"/>
    <row r="1406" ht="14.25" customHeight="1" x14ac:dyDescent="0.25"/>
    <row r="1407" ht="14.25" customHeight="1" x14ac:dyDescent="0.25"/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  <row r="1415" ht="14.25" customHeight="1" x14ac:dyDescent="0.25"/>
    <row r="1416" ht="14.25" customHeight="1" x14ac:dyDescent="0.25"/>
    <row r="1417" ht="14.25" customHeight="1" x14ac:dyDescent="0.25"/>
    <row r="1418" ht="14.25" customHeight="1" x14ac:dyDescent="0.25"/>
    <row r="1419" ht="14.25" customHeight="1" x14ac:dyDescent="0.25"/>
    <row r="1420" ht="14.25" customHeight="1" x14ac:dyDescent="0.25"/>
    <row r="1421" ht="14.25" customHeight="1" x14ac:dyDescent="0.25"/>
    <row r="1422" ht="14.25" customHeight="1" x14ac:dyDescent="0.25"/>
    <row r="1423" ht="14.25" customHeight="1" x14ac:dyDescent="0.25"/>
    <row r="1424" ht="14.25" customHeight="1" x14ac:dyDescent="0.25"/>
    <row r="1425" ht="14.25" customHeight="1" x14ac:dyDescent="0.25"/>
    <row r="1426" ht="14.25" customHeight="1" x14ac:dyDescent="0.25"/>
    <row r="1427" ht="14.25" customHeight="1" x14ac:dyDescent="0.25"/>
    <row r="1428" ht="14.25" customHeight="1" x14ac:dyDescent="0.25"/>
    <row r="1429" ht="14.25" customHeight="1" x14ac:dyDescent="0.25"/>
    <row r="1430" ht="14.25" customHeight="1" x14ac:dyDescent="0.25"/>
    <row r="1431" ht="14.25" customHeight="1" x14ac:dyDescent="0.25"/>
    <row r="1432" ht="14.25" customHeight="1" x14ac:dyDescent="0.25"/>
    <row r="1433" ht="14.25" customHeight="1" x14ac:dyDescent="0.25"/>
    <row r="1434" ht="14.25" customHeight="1" x14ac:dyDescent="0.25"/>
    <row r="1435" ht="14.25" customHeight="1" x14ac:dyDescent="0.25"/>
    <row r="1436" ht="14.25" customHeight="1" x14ac:dyDescent="0.25"/>
    <row r="1437" ht="14.25" customHeight="1" x14ac:dyDescent="0.25"/>
    <row r="1438" ht="14.25" customHeight="1" x14ac:dyDescent="0.25"/>
    <row r="1439" ht="14.25" customHeight="1" x14ac:dyDescent="0.25"/>
    <row r="1440" ht="14.25" customHeight="1" x14ac:dyDescent="0.25"/>
    <row r="1441" ht="14.25" customHeight="1" x14ac:dyDescent="0.25"/>
    <row r="1442" ht="14.25" customHeight="1" x14ac:dyDescent="0.25"/>
    <row r="1443" ht="14.25" customHeight="1" x14ac:dyDescent="0.25"/>
    <row r="1444" ht="14.25" customHeight="1" x14ac:dyDescent="0.25"/>
    <row r="1445" ht="14.25" customHeight="1" x14ac:dyDescent="0.25"/>
    <row r="1446" ht="14.25" customHeight="1" x14ac:dyDescent="0.25"/>
    <row r="1447" ht="14.25" customHeight="1" x14ac:dyDescent="0.25"/>
    <row r="1448" ht="14.25" customHeight="1" x14ac:dyDescent="0.25"/>
    <row r="1449" ht="14.25" customHeight="1" x14ac:dyDescent="0.25"/>
    <row r="1450" ht="14.25" customHeight="1" x14ac:dyDescent="0.25"/>
    <row r="1451" ht="14.25" customHeight="1" x14ac:dyDescent="0.25"/>
    <row r="1452" ht="14.25" customHeight="1" x14ac:dyDescent="0.25"/>
    <row r="1453" ht="14.25" customHeight="1" x14ac:dyDescent="0.25"/>
    <row r="1454" ht="14.25" customHeight="1" x14ac:dyDescent="0.25"/>
    <row r="1455" ht="14.25" customHeight="1" x14ac:dyDescent="0.25"/>
    <row r="1456" ht="14.25" customHeight="1" x14ac:dyDescent="0.25"/>
    <row r="1457" ht="14.25" customHeight="1" x14ac:dyDescent="0.25"/>
    <row r="1458" ht="14.25" customHeight="1" x14ac:dyDescent="0.25"/>
    <row r="1459" ht="14.25" customHeight="1" x14ac:dyDescent="0.25"/>
    <row r="1460" ht="14.25" customHeight="1" x14ac:dyDescent="0.25"/>
    <row r="1461" ht="14.25" customHeight="1" x14ac:dyDescent="0.25"/>
    <row r="1462" ht="14.25" customHeight="1" x14ac:dyDescent="0.25"/>
    <row r="1463" ht="14.25" customHeight="1" x14ac:dyDescent="0.25"/>
    <row r="1464" ht="14.25" customHeight="1" x14ac:dyDescent="0.25"/>
    <row r="1465" ht="14.25" customHeight="1" x14ac:dyDescent="0.25"/>
    <row r="1466" ht="14.25" customHeight="1" x14ac:dyDescent="0.25"/>
    <row r="1467" ht="14.25" customHeight="1" x14ac:dyDescent="0.25"/>
    <row r="1468" ht="14.25" customHeight="1" x14ac:dyDescent="0.25"/>
    <row r="1469" ht="14.25" customHeight="1" x14ac:dyDescent="0.25"/>
    <row r="1470" ht="14.25" customHeight="1" x14ac:dyDescent="0.25"/>
    <row r="1471" ht="14.25" customHeight="1" x14ac:dyDescent="0.25"/>
    <row r="1472" ht="14.25" customHeight="1" x14ac:dyDescent="0.25"/>
    <row r="1473" ht="14.25" customHeight="1" x14ac:dyDescent="0.25"/>
    <row r="1474" ht="14.25" customHeight="1" x14ac:dyDescent="0.25"/>
    <row r="1475" ht="14.25" customHeight="1" x14ac:dyDescent="0.25"/>
    <row r="1476" ht="14.25" customHeight="1" x14ac:dyDescent="0.25"/>
    <row r="1477" ht="14.25" customHeight="1" x14ac:dyDescent="0.25"/>
    <row r="1478" ht="14.25" customHeight="1" x14ac:dyDescent="0.25"/>
    <row r="1479" ht="14.25" customHeight="1" x14ac:dyDescent="0.25"/>
    <row r="1480" ht="14.25" customHeight="1" x14ac:dyDescent="0.25"/>
    <row r="1481" ht="14.25" customHeight="1" x14ac:dyDescent="0.25"/>
    <row r="1482" ht="14.25" customHeight="1" x14ac:dyDescent="0.25"/>
    <row r="1483" ht="14.25" customHeight="1" x14ac:dyDescent="0.25"/>
    <row r="1484" ht="14.25" customHeight="1" x14ac:dyDescent="0.25"/>
    <row r="1485" ht="14.25" customHeight="1" x14ac:dyDescent="0.25"/>
    <row r="1486" ht="14.25" customHeight="1" x14ac:dyDescent="0.25"/>
    <row r="1487" ht="14.25" customHeight="1" x14ac:dyDescent="0.25"/>
    <row r="1488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x14ac:dyDescent="0.25"/>
    <row r="1493" ht="14.25" customHeight="1" x14ac:dyDescent="0.25"/>
    <row r="1494" ht="14.25" customHeight="1" x14ac:dyDescent="0.25"/>
    <row r="1495" ht="14.25" customHeight="1" x14ac:dyDescent="0.25"/>
    <row r="1496" ht="14.25" customHeight="1" x14ac:dyDescent="0.25"/>
    <row r="1497" ht="14.25" customHeight="1" x14ac:dyDescent="0.25"/>
    <row r="1498" ht="14.25" customHeight="1" x14ac:dyDescent="0.25"/>
    <row r="1499" ht="14.25" customHeight="1" x14ac:dyDescent="0.25"/>
    <row r="1500" ht="14.25" customHeight="1" x14ac:dyDescent="0.25"/>
    <row r="1501" ht="14.25" customHeight="1" x14ac:dyDescent="0.25"/>
    <row r="1502" ht="14.25" customHeight="1" x14ac:dyDescent="0.25"/>
    <row r="1503" ht="14.25" customHeight="1" x14ac:dyDescent="0.25"/>
    <row r="1504" ht="14.25" customHeight="1" x14ac:dyDescent="0.25"/>
    <row r="1505" ht="14.25" customHeight="1" x14ac:dyDescent="0.25"/>
    <row r="1506" ht="14.25" customHeight="1" x14ac:dyDescent="0.25"/>
    <row r="1507" ht="14.25" customHeight="1" x14ac:dyDescent="0.25"/>
    <row r="1508" ht="14.25" customHeight="1" x14ac:dyDescent="0.25"/>
    <row r="1509" ht="14.25" customHeight="1" x14ac:dyDescent="0.25"/>
    <row r="1510" ht="14.25" customHeight="1" x14ac:dyDescent="0.25"/>
    <row r="1511" ht="14.25" customHeight="1" x14ac:dyDescent="0.25"/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x14ac:dyDescent="0.25"/>
    <row r="1519" ht="14.25" customHeight="1" x14ac:dyDescent="0.25"/>
    <row r="1520" ht="14.25" customHeight="1" x14ac:dyDescent="0.25"/>
    <row r="1521" ht="14.25" customHeight="1" x14ac:dyDescent="0.25"/>
    <row r="1522" ht="14.25" customHeight="1" x14ac:dyDescent="0.25"/>
    <row r="1523" ht="14.25" customHeight="1" x14ac:dyDescent="0.25"/>
    <row r="1524" ht="14.25" customHeight="1" x14ac:dyDescent="0.25"/>
    <row r="1525" ht="14.25" customHeight="1" x14ac:dyDescent="0.25"/>
    <row r="1526" ht="14.25" customHeight="1" x14ac:dyDescent="0.25"/>
    <row r="1527" ht="14.25" customHeight="1" x14ac:dyDescent="0.25"/>
    <row r="1528" ht="14.25" customHeight="1" x14ac:dyDescent="0.25"/>
    <row r="1529" ht="14.25" customHeight="1" x14ac:dyDescent="0.25"/>
    <row r="1530" ht="14.25" customHeight="1" x14ac:dyDescent="0.25"/>
    <row r="1531" ht="14.25" customHeight="1" x14ac:dyDescent="0.25"/>
    <row r="1532" ht="14.25" customHeight="1" x14ac:dyDescent="0.25"/>
    <row r="1533" ht="14.25" customHeight="1" x14ac:dyDescent="0.25"/>
    <row r="1534" ht="14.25" customHeight="1" x14ac:dyDescent="0.25"/>
    <row r="1535" ht="14.25" customHeight="1" x14ac:dyDescent="0.25"/>
    <row r="1536" ht="14.25" customHeight="1" x14ac:dyDescent="0.25"/>
    <row r="1537" ht="14.25" customHeight="1" x14ac:dyDescent="0.25"/>
    <row r="1538" ht="14.25" customHeight="1" x14ac:dyDescent="0.25"/>
    <row r="1539" ht="14.25" customHeight="1" x14ac:dyDescent="0.25"/>
    <row r="1540" ht="14.25" customHeight="1" x14ac:dyDescent="0.25"/>
    <row r="1541" ht="14.25" customHeight="1" x14ac:dyDescent="0.25"/>
    <row r="1542" ht="14.25" customHeight="1" x14ac:dyDescent="0.25"/>
    <row r="1543" ht="14.25" customHeight="1" x14ac:dyDescent="0.25"/>
    <row r="1544" ht="14.25" customHeight="1" x14ac:dyDescent="0.25"/>
    <row r="1545" ht="14.25" customHeight="1" x14ac:dyDescent="0.25"/>
    <row r="1546" ht="14.25" customHeight="1" x14ac:dyDescent="0.25"/>
    <row r="1547" ht="14.25" customHeight="1" x14ac:dyDescent="0.25"/>
    <row r="1548" ht="14.25" customHeight="1" x14ac:dyDescent="0.25"/>
    <row r="1549" ht="14.25" customHeight="1" x14ac:dyDescent="0.25"/>
    <row r="1550" ht="14.25" customHeight="1" x14ac:dyDescent="0.25"/>
    <row r="1551" ht="14.25" customHeight="1" x14ac:dyDescent="0.25"/>
    <row r="1552" ht="14.25" customHeight="1" x14ac:dyDescent="0.25"/>
    <row r="1553" ht="14.25" customHeight="1" x14ac:dyDescent="0.25"/>
    <row r="1554" ht="14.25" customHeight="1" x14ac:dyDescent="0.25"/>
    <row r="1555" ht="14.25" customHeight="1" x14ac:dyDescent="0.25"/>
    <row r="1556" ht="14.25" customHeight="1" x14ac:dyDescent="0.25"/>
    <row r="1557" ht="14.25" customHeight="1" x14ac:dyDescent="0.25"/>
    <row r="1558" ht="14.25" customHeight="1" x14ac:dyDescent="0.25"/>
    <row r="1559" ht="14.25" customHeight="1" x14ac:dyDescent="0.25"/>
    <row r="1560" ht="14.25" customHeight="1" x14ac:dyDescent="0.25"/>
    <row r="1561" ht="14.25" customHeight="1" x14ac:dyDescent="0.25"/>
    <row r="1562" ht="14.25" customHeight="1" x14ac:dyDescent="0.25"/>
    <row r="1563" ht="14.25" customHeight="1" x14ac:dyDescent="0.25"/>
    <row r="1564" ht="14.25" customHeight="1" x14ac:dyDescent="0.25"/>
    <row r="1565" ht="14.25" customHeight="1" x14ac:dyDescent="0.25"/>
    <row r="1566" ht="14.25" customHeight="1" x14ac:dyDescent="0.25"/>
    <row r="1567" ht="14.25" customHeight="1" x14ac:dyDescent="0.25"/>
    <row r="1568" ht="14.25" customHeight="1" x14ac:dyDescent="0.25"/>
    <row r="1569" ht="14.25" customHeight="1" x14ac:dyDescent="0.25"/>
    <row r="1570" ht="14.25" customHeight="1" x14ac:dyDescent="0.25"/>
    <row r="1571" ht="14.25" customHeight="1" x14ac:dyDescent="0.25"/>
    <row r="1572" ht="14.25" customHeight="1" x14ac:dyDescent="0.25"/>
    <row r="1573" ht="14.25" customHeight="1" x14ac:dyDescent="0.25"/>
    <row r="1574" ht="14.25" customHeight="1" x14ac:dyDescent="0.25"/>
    <row r="1575" ht="14.25" customHeight="1" x14ac:dyDescent="0.25"/>
    <row r="1576" ht="14.25" customHeight="1" x14ac:dyDescent="0.25"/>
    <row r="1577" ht="14.25" customHeight="1" x14ac:dyDescent="0.25"/>
    <row r="1578" ht="14.25" customHeight="1" x14ac:dyDescent="0.25"/>
    <row r="1579" ht="14.25" customHeight="1" x14ac:dyDescent="0.25"/>
    <row r="1580" ht="14.25" customHeight="1" x14ac:dyDescent="0.25"/>
    <row r="1581" ht="14.25" customHeight="1" x14ac:dyDescent="0.25"/>
    <row r="1582" ht="14.25" customHeight="1" x14ac:dyDescent="0.25"/>
    <row r="1583" ht="14.25" customHeight="1" x14ac:dyDescent="0.25"/>
    <row r="1584" ht="14.25" customHeight="1" x14ac:dyDescent="0.25"/>
    <row r="1585" ht="14.25" customHeight="1" x14ac:dyDescent="0.25"/>
    <row r="1586" ht="14.25" customHeight="1" x14ac:dyDescent="0.25"/>
    <row r="1587" ht="14.25" customHeight="1" x14ac:dyDescent="0.25"/>
    <row r="1588" ht="14.25" customHeight="1" x14ac:dyDescent="0.25"/>
    <row r="1589" ht="14.25" customHeight="1" x14ac:dyDescent="0.25"/>
    <row r="1590" ht="14.25" customHeight="1" x14ac:dyDescent="0.25"/>
    <row r="1591" ht="14.25" customHeight="1" x14ac:dyDescent="0.25"/>
    <row r="1592" ht="14.25" customHeight="1" x14ac:dyDescent="0.25"/>
    <row r="1593" ht="14.25" customHeight="1" x14ac:dyDescent="0.25"/>
    <row r="1594" ht="14.25" customHeight="1" x14ac:dyDescent="0.25"/>
    <row r="1595" ht="14.25" customHeight="1" x14ac:dyDescent="0.25"/>
    <row r="1596" ht="14.25" customHeight="1" x14ac:dyDescent="0.25"/>
    <row r="1597" ht="14.25" customHeight="1" x14ac:dyDescent="0.25"/>
    <row r="1598" ht="14.25" customHeight="1" x14ac:dyDescent="0.25"/>
    <row r="1599" ht="14.25" customHeight="1" x14ac:dyDescent="0.25"/>
    <row r="1600" ht="14.25" customHeight="1" x14ac:dyDescent="0.25"/>
    <row r="1601" ht="14.25" customHeight="1" x14ac:dyDescent="0.25"/>
    <row r="1602" ht="14.25" customHeight="1" x14ac:dyDescent="0.25"/>
    <row r="1603" ht="14.25" customHeight="1" x14ac:dyDescent="0.25"/>
    <row r="1604" ht="14.25" customHeight="1" x14ac:dyDescent="0.25"/>
    <row r="1605" ht="14.25" customHeight="1" x14ac:dyDescent="0.25"/>
    <row r="1606" ht="14.25" customHeight="1" x14ac:dyDescent="0.25"/>
    <row r="1607" ht="14.25" customHeight="1" x14ac:dyDescent="0.25"/>
    <row r="1608" ht="14.25" customHeight="1" x14ac:dyDescent="0.25"/>
    <row r="1609" ht="14.25" customHeight="1" x14ac:dyDescent="0.25"/>
    <row r="1610" ht="14.25" customHeight="1" x14ac:dyDescent="0.25"/>
    <row r="1611" ht="14.25" customHeight="1" x14ac:dyDescent="0.25"/>
    <row r="1612" ht="14.25" customHeight="1" x14ac:dyDescent="0.25"/>
    <row r="1613" ht="14.25" customHeight="1" x14ac:dyDescent="0.25"/>
    <row r="1614" ht="14.25" customHeight="1" x14ac:dyDescent="0.25"/>
    <row r="1615" ht="14.25" customHeight="1" x14ac:dyDescent="0.25"/>
    <row r="1616" ht="14.25" customHeight="1" x14ac:dyDescent="0.25"/>
    <row r="1617" ht="14.25" customHeight="1" x14ac:dyDescent="0.25"/>
    <row r="1618" ht="14.25" customHeight="1" x14ac:dyDescent="0.25"/>
    <row r="1619" ht="14.25" customHeight="1" x14ac:dyDescent="0.25"/>
    <row r="1620" ht="14.25" customHeight="1" x14ac:dyDescent="0.25"/>
    <row r="1621" ht="14.25" customHeight="1" x14ac:dyDescent="0.25"/>
    <row r="1622" ht="14.25" customHeight="1" x14ac:dyDescent="0.25"/>
    <row r="1623" ht="14.25" customHeight="1" x14ac:dyDescent="0.25"/>
    <row r="1624" ht="14.25" customHeight="1" x14ac:dyDescent="0.25"/>
    <row r="1625" ht="14.25" customHeight="1" x14ac:dyDescent="0.25"/>
    <row r="1626" ht="14.25" customHeight="1" x14ac:dyDescent="0.25"/>
    <row r="1627" ht="14.25" customHeight="1" x14ac:dyDescent="0.25"/>
    <row r="1628" ht="14.25" customHeight="1" x14ac:dyDescent="0.25"/>
    <row r="1629" ht="14.25" customHeight="1" x14ac:dyDescent="0.25"/>
    <row r="1630" ht="14.25" customHeight="1" x14ac:dyDescent="0.25"/>
    <row r="1631" ht="14.25" customHeight="1" x14ac:dyDescent="0.25"/>
    <row r="1632" ht="14.25" customHeight="1" x14ac:dyDescent="0.25"/>
    <row r="1633" ht="14.25" customHeight="1" x14ac:dyDescent="0.25"/>
    <row r="1634" ht="14.25" customHeight="1" x14ac:dyDescent="0.25"/>
    <row r="1635" ht="14.25" customHeight="1" x14ac:dyDescent="0.25"/>
    <row r="1636" ht="14.25" customHeight="1" x14ac:dyDescent="0.25"/>
    <row r="1637" ht="14.25" customHeight="1" x14ac:dyDescent="0.25"/>
    <row r="1638" ht="14.25" customHeight="1" x14ac:dyDescent="0.25"/>
    <row r="1639" ht="14.25" customHeight="1" x14ac:dyDescent="0.25"/>
    <row r="1640" ht="14.25" customHeight="1" x14ac:dyDescent="0.25"/>
    <row r="1641" ht="14.25" customHeight="1" x14ac:dyDescent="0.25"/>
    <row r="1642" ht="14.25" customHeight="1" x14ac:dyDescent="0.25"/>
    <row r="1643" ht="14.25" customHeight="1" x14ac:dyDescent="0.25"/>
    <row r="1644" ht="14.25" customHeight="1" x14ac:dyDescent="0.25"/>
    <row r="1645" ht="14.25" customHeight="1" x14ac:dyDescent="0.25"/>
    <row r="1646" ht="14.25" customHeight="1" x14ac:dyDescent="0.25"/>
    <row r="1647" ht="14.25" customHeight="1" x14ac:dyDescent="0.25"/>
    <row r="1648" ht="14.25" customHeight="1" x14ac:dyDescent="0.25"/>
    <row r="1649" ht="14.25" customHeight="1" x14ac:dyDescent="0.25"/>
    <row r="1650" ht="14.25" customHeight="1" x14ac:dyDescent="0.25"/>
    <row r="1651" ht="14.25" customHeight="1" x14ac:dyDescent="0.25"/>
    <row r="1652" ht="14.25" customHeight="1" x14ac:dyDescent="0.25"/>
    <row r="1653" ht="14.25" customHeight="1" x14ac:dyDescent="0.25"/>
    <row r="1654" ht="14.25" customHeight="1" x14ac:dyDescent="0.25"/>
    <row r="1655" ht="14.25" customHeight="1" x14ac:dyDescent="0.25"/>
    <row r="1656" ht="14.25" customHeight="1" x14ac:dyDescent="0.25"/>
    <row r="1657" ht="14.25" customHeight="1" x14ac:dyDescent="0.25"/>
    <row r="1658" ht="14.25" customHeight="1" x14ac:dyDescent="0.25"/>
    <row r="1659" ht="14.25" customHeight="1" x14ac:dyDescent="0.25"/>
    <row r="1660" ht="14.25" customHeight="1" x14ac:dyDescent="0.25"/>
    <row r="1661" ht="14.25" customHeight="1" x14ac:dyDescent="0.25"/>
    <row r="1662" ht="14.25" customHeight="1" x14ac:dyDescent="0.25"/>
    <row r="1663" ht="14.25" customHeight="1" x14ac:dyDescent="0.25"/>
    <row r="1664" ht="14.25" customHeight="1" x14ac:dyDescent="0.25"/>
    <row r="1665" ht="14.25" customHeight="1" x14ac:dyDescent="0.25"/>
    <row r="1666" ht="14.25" customHeight="1" x14ac:dyDescent="0.25"/>
    <row r="1667" ht="14.25" customHeight="1" x14ac:dyDescent="0.25"/>
    <row r="1668" ht="14.25" customHeight="1" x14ac:dyDescent="0.25"/>
    <row r="1669" ht="14.25" customHeight="1" x14ac:dyDescent="0.25"/>
    <row r="1670" ht="14.25" customHeight="1" x14ac:dyDescent="0.25"/>
    <row r="1671" ht="14.25" customHeight="1" x14ac:dyDescent="0.25"/>
    <row r="1672" ht="14.25" customHeight="1" x14ac:dyDescent="0.25"/>
    <row r="1673" ht="14.25" customHeight="1" x14ac:dyDescent="0.25"/>
    <row r="1674" ht="14.25" customHeight="1" x14ac:dyDescent="0.25"/>
    <row r="1675" ht="14.25" customHeight="1" x14ac:dyDescent="0.25"/>
    <row r="1676" ht="14.25" customHeight="1" x14ac:dyDescent="0.25"/>
    <row r="1677" ht="14.25" customHeight="1" x14ac:dyDescent="0.25"/>
    <row r="1678" ht="14.25" customHeight="1" x14ac:dyDescent="0.25"/>
    <row r="1679" ht="14.25" customHeight="1" x14ac:dyDescent="0.25"/>
    <row r="1680" ht="14.25" customHeight="1" x14ac:dyDescent="0.25"/>
    <row r="1681" ht="14.25" customHeight="1" x14ac:dyDescent="0.25"/>
    <row r="1682" ht="14.25" customHeight="1" x14ac:dyDescent="0.25"/>
    <row r="1683" ht="14.25" customHeight="1" x14ac:dyDescent="0.25"/>
    <row r="1684" ht="14.25" customHeight="1" x14ac:dyDescent="0.25"/>
    <row r="1685" ht="14.25" customHeight="1" x14ac:dyDescent="0.25"/>
    <row r="1686" ht="14.25" customHeight="1" x14ac:dyDescent="0.25"/>
    <row r="1687" ht="14.25" customHeight="1" x14ac:dyDescent="0.25"/>
    <row r="1688" ht="14.25" customHeight="1" x14ac:dyDescent="0.25"/>
    <row r="1689" ht="14.25" customHeight="1" x14ac:dyDescent="0.25"/>
    <row r="1690" ht="14.25" customHeight="1" x14ac:dyDescent="0.25"/>
    <row r="1691" ht="14.25" customHeight="1" x14ac:dyDescent="0.25"/>
    <row r="1692" ht="14.25" customHeight="1" x14ac:dyDescent="0.25"/>
    <row r="1693" ht="14.25" customHeight="1" x14ac:dyDescent="0.25"/>
    <row r="1694" ht="14.25" customHeight="1" x14ac:dyDescent="0.25"/>
    <row r="1695" ht="14.25" customHeight="1" x14ac:dyDescent="0.25"/>
    <row r="1696" ht="14.25" customHeight="1" x14ac:dyDescent="0.25"/>
    <row r="1697" ht="14.25" customHeight="1" x14ac:dyDescent="0.25"/>
    <row r="1698" ht="14.25" customHeight="1" x14ac:dyDescent="0.25"/>
    <row r="1699" ht="14.25" customHeight="1" x14ac:dyDescent="0.25"/>
    <row r="1700" ht="14.25" customHeight="1" x14ac:dyDescent="0.25"/>
    <row r="1701" ht="14.25" customHeight="1" x14ac:dyDescent="0.25"/>
    <row r="1702" ht="14.25" customHeight="1" x14ac:dyDescent="0.25"/>
    <row r="1703" ht="14.25" customHeight="1" x14ac:dyDescent="0.25"/>
    <row r="1704" ht="14.25" customHeight="1" x14ac:dyDescent="0.25"/>
    <row r="1705" ht="14.25" customHeight="1" x14ac:dyDescent="0.25"/>
    <row r="1706" ht="14.25" customHeight="1" x14ac:dyDescent="0.25"/>
    <row r="1707" ht="14.25" customHeight="1" x14ac:dyDescent="0.25"/>
    <row r="1708" ht="14.25" customHeight="1" x14ac:dyDescent="0.25"/>
    <row r="1709" ht="14.25" customHeight="1" x14ac:dyDescent="0.25"/>
    <row r="1710" ht="14.25" customHeight="1" x14ac:dyDescent="0.25"/>
    <row r="1711" ht="14.25" customHeight="1" x14ac:dyDescent="0.25"/>
    <row r="1712" ht="14.25" customHeight="1" x14ac:dyDescent="0.25"/>
    <row r="1713" ht="14.25" customHeight="1" x14ac:dyDescent="0.25"/>
    <row r="1714" ht="14.25" customHeight="1" x14ac:dyDescent="0.25"/>
    <row r="1715" ht="14.25" customHeight="1" x14ac:dyDescent="0.25"/>
    <row r="1716" ht="14.25" customHeight="1" x14ac:dyDescent="0.25"/>
    <row r="1717" ht="14.25" customHeight="1" x14ac:dyDescent="0.25"/>
    <row r="1718" ht="14.25" customHeight="1" x14ac:dyDescent="0.25"/>
    <row r="1719" ht="14.25" customHeight="1" x14ac:dyDescent="0.25"/>
    <row r="1720" ht="14.25" customHeight="1" x14ac:dyDescent="0.25"/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x14ac:dyDescent="0.25"/>
    <row r="1729" ht="14.25" customHeight="1" x14ac:dyDescent="0.25"/>
    <row r="1730" ht="14.25" customHeight="1" x14ac:dyDescent="0.25"/>
    <row r="1731" ht="14.25" customHeight="1" x14ac:dyDescent="0.25"/>
    <row r="1732" ht="14.25" customHeight="1" x14ac:dyDescent="0.25"/>
    <row r="1733" ht="14.25" customHeight="1" x14ac:dyDescent="0.25"/>
    <row r="1734" ht="14.25" customHeight="1" x14ac:dyDescent="0.25"/>
    <row r="1735" ht="14.25" customHeight="1" x14ac:dyDescent="0.25"/>
    <row r="1736" ht="14.25" customHeight="1" x14ac:dyDescent="0.25"/>
    <row r="1737" ht="14.25" customHeight="1" x14ac:dyDescent="0.25"/>
    <row r="1738" ht="14.25" customHeight="1" x14ac:dyDescent="0.25"/>
    <row r="1739" ht="14.25" customHeight="1" x14ac:dyDescent="0.25"/>
    <row r="1740" ht="14.25" customHeight="1" x14ac:dyDescent="0.25"/>
    <row r="1741" ht="14.25" customHeight="1" x14ac:dyDescent="0.25"/>
    <row r="1742" ht="14.25" customHeight="1" x14ac:dyDescent="0.25"/>
    <row r="1743" ht="14.25" customHeight="1" x14ac:dyDescent="0.25"/>
    <row r="1744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7EFD-5AFF-47CE-9DF5-4F2DF5F51060}">
  <dimension ref="A1:O9"/>
  <sheetViews>
    <sheetView workbookViewId="0">
      <selection activeCell="J12" sqref="J12"/>
    </sheetView>
  </sheetViews>
  <sheetFormatPr defaultColWidth="8.7109375" defaultRowHeight="15" x14ac:dyDescent="0.25"/>
  <cols>
    <col min="1" max="1" width="9.85546875" customWidth="1"/>
    <col min="2" max="2" width="16" customWidth="1"/>
    <col min="3" max="3" width="10" customWidth="1"/>
    <col min="4" max="4" width="11.140625" bestFit="1" customWidth="1"/>
    <col min="5" max="5" width="15" customWidth="1"/>
    <col min="6" max="6" width="13" customWidth="1"/>
    <col min="7" max="7" width="14" customWidth="1"/>
    <col min="8" max="8" width="13" customWidth="1"/>
    <col min="9" max="9" width="12" customWidth="1"/>
    <col min="10" max="10" width="16" customWidth="1"/>
    <col min="11" max="11" width="10" customWidth="1"/>
    <col min="12" max="12" width="13" customWidth="1"/>
    <col min="13" max="13" width="16" customWidth="1"/>
    <col min="14" max="15" width="14" customWidth="1"/>
  </cols>
  <sheetData>
    <row r="1" spans="1:15" ht="45" x14ac:dyDescent="0.25">
      <c r="A1" s="20" t="s">
        <v>35</v>
      </c>
      <c r="B1" s="20" t="s">
        <v>36</v>
      </c>
      <c r="C1" s="20" t="s">
        <v>37</v>
      </c>
      <c r="D1" s="20" t="s">
        <v>1318</v>
      </c>
      <c r="E1" s="20" t="s">
        <v>1319</v>
      </c>
      <c r="F1" s="20" t="s">
        <v>1320</v>
      </c>
      <c r="G1" s="20" t="s">
        <v>1321</v>
      </c>
      <c r="H1" s="20" t="s">
        <v>1312</v>
      </c>
      <c r="I1" s="20" t="s">
        <v>1240</v>
      </c>
      <c r="J1" s="20" t="s">
        <v>1290</v>
      </c>
      <c r="K1" s="20" t="s">
        <v>63</v>
      </c>
      <c r="L1" s="20" t="s">
        <v>1322</v>
      </c>
      <c r="M1" s="20" t="s">
        <v>1323</v>
      </c>
      <c r="N1" s="20" t="s">
        <v>1324</v>
      </c>
      <c r="O1" s="20" t="s">
        <v>1241</v>
      </c>
    </row>
    <row r="2" spans="1:15" x14ac:dyDescent="0.25">
      <c r="A2" s="36" t="s">
        <v>40</v>
      </c>
      <c r="B2" s="37" t="str">
        <f>VLOOKUP(A2,'[1]Store Information'!$A:$B,2,FALSE())</f>
        <v>Manchester</v>
      </c>
      <c r="C2" s="37" t="str">
        <f>VLOOKUP(A2,'[1]Store Information'!$A:$C,3,FALSE())</f>
        <v>North</v>
      </c>
      <c r="D2" s="38">
        <f>SUMIFS('[1]Sales Transactions (Clean)'!$I$2:$I$1081,'[1]Sales Transactions (Clean)'!$C$2:$C$1081,A2)</f>
        <v>11765610.340000002</v>
      </c>
      <c r="E2" s="38">
        <f>SUMIFS('[1]Sales Transactions (Clean)'!$K$2:$K$1081,'[1]Sales Transactions (Clean)'!$C$2:$C$1081,A2)</f>
        <v>13254918</v>
      </c>
      <c r="F2" s="37">
        <f>SUMIFS('[1]Sales Transactions (Clean)'!$F$2:$F$1081,'[1]Sales Transactions (Clean)'!$C$2:$C$1081,A2)</f>
        <v>460600</v>
      </c>
      <c r="G2" s="38">
        <f>SUMIFS('[1]Sales Transactions (Clean)'!$J$2:$J$1081,'[1]Sales Transactions (Clean)'!$C$2:$C$1081,A2)</f>
        <v>6987658.5600000033</v>
      </c>
      <c r="H2" s="39">
        <f>D2-G2</f>
        <v>4777951.7799999984</v>
      </c>
      <c r="I2" s="40">
        <f t="shared" ref="I2:I7" si="0">H2/D2</f>
        <v>0.40609468118761427</v>
      </c>
      <c r="J2" s="39">
        <f t="shared" ref="J2:J7" si="1">D2/F2</f>
        <v>25.544095397307863</v>
      </c>
      <c r="K2" s="40">
        <f t="shared" ref="K2:K7" si="2">(E2-D2)/E2</f>
        <v>0.11235887389118501</v>
      </c>
      <c r="L2" s="40">
        <f>D2/SUM($D$2:$D$6)</f>
        <v>0.20450538312165858</v>
      </c>
      <c r="M2" s="38">
        <f>SUMIFS('[1]Operating Expenses (Clean)'!$H$2:$H$121,'[1]Operating Expenses (Clean)'!$B$2:$B$121,A2)</f>
        <v>2586673</v>
      </c>
      <c r="N2" s="39">
        <f>H2-M2</f>
        <v>2191278.7799999984</v>
      </c>
      <c r="O2" s="40">
        <f t="shared" ref="O2:O7" si="3">N2/D2</f>
        <v>0.18624437803708516</v>
      </c>
    </row>
    <row r="3" spans="1:15" x14ac:dyDescent="0.25">
      <c r="A3" s="36" t="s">
        <v>44</v>
      </c>
      <c r="B3" s="37" t="str">
        <f>VLOOKUP(A3,'[1]Store Information'!$A:$B,2,FALSE())</f>
        <v>Birmingham</v>
      </c>
      <c r="C3" s="37" t="str">
        <f>VLOOKUP(A3,'[1]Store Information'!$A:$C,3,FALSE())</f>
        <v>Midlands</v>
      </c>
      <c r="D3" s="38">
        <f>SUMIFS('[1]Sales Transactions (Clean)'!$I$2:$I$1081,'[1]Sales Transactions (Clean)'!$C$2:$C$1081,A3)</f>
        <v>11294839.100000003</v>
      </c>
      <c r="E3" s="38">
        <f>SUMIFS('[1]Sales Transactions (Clean)'!$K$2:$K$1081,'[1]Sales Transactions (Clean)'!$C$2:$C$1081,A3)</f>
        <v>12680629</v>
      </c>
      <c r="F3" s="37">
        <f>SUMIFS('[1]Sales Transactions (Clean)'!$F$2:$F$1081,'[1]Sales Transactions (Clean)'!$C$2:$C$1081,A3)</f>
        <v>446265</v>
      </c>
      <c r="G3" s="38">
        <f>SUMIFS('[1]Sales Transactions (Clean)'!$J$2:$J$1081,'[1]Sales Transactions (Clean)'!$C$2:$C$1081,A3)</f>
        <v>6672071.1599999964</v>
      </c>
      <c r="H3" s="39">
        <f>D3-G3</f>
        <v>4622767.9400000069</v>
      </c>
      <c r="I3" s="40">
        <f t="shared" si="0"/>
        <v>0.4092814336770858</v>
      </c>
      <c r="J3" s="39">
        <f t="shared" si="1"/>
        <v>25.309713062866241</v>
      </c>
      <c r="K3" s="40">
        <f t="shared" si="2"/>
        <v>0.10928400318312259</v>
      </c>
      <c r="L3" s="40">
        <f>D3/SUM($D$2:$D$6)</f>
        <v>0.19632261571591278</v>
      </c>
      <c r="M3" s="38">
        <f>SUMIFS('[1]Operating Expenses (Clean)'!$H$2:$H$121,'[1]Operating Expenses (Clean)'!$B$2:$B$121,A3)</f>
        <v>2639417</v>
      </c>
      <c r="N3" s="39">
        <f>H3-M3</f>
        <v>1983350.9400000069</v>
      </c>
      <c r="O3" s="40">
        <f t="shared" si="3"/>
        <v>0.17559798085127271</v>
      </c>
    </row>
    <row r="4" spans="1:15" x14ac:dyDescent="0.25">
      <c r="A4" s="36" t="s">
        <v>48</v>
      </c>
      <c r="B4" s="37" t="str">
        <f>VLOOKUP(A4,'[1]Store Information'!$A:$B,2,FALSE())</f>
        <v>London Stratford</v>
      </c>
      <c r="C4" s="37" t="str">
        <f>VLOOKUP(A4,'[1]Store Information'!$A:$C,3,FALSE())</f>
        <v>South</v>
      </c>
      <c r="D4" s="38">
        <f>SUMIFS('[1]Sales Transactions (Clean)'!$I$2:$I$1081,'[1]Sales Transactions (Clean)'!$C$2:$C$1081,A4)</f>
        <v>11556377.500000009</v>
      </c>
      <c r="E4" s="38">
        <f>SUMIFS('[1]Sales Transactions (Clean)'!$K$2:$K$1081,'[1]Sales Transactions (Clean)'!$C$2:$C$1081,A4)</f>
        <v>13009965</v>
      </c>
      <c r="F4" s="37">
        <f>SUMIFS('[1]Sales Transactions (Clean)'!$F$2:$F$1081,'[1]Sales Transactions (Clean)'!$C$2:$C$1081,A4)</f>
        <v>457104</v>
      </c>
      <c r="G4" s="38">
        <f>SUMIFS('[1]Sales Transactions (Clean)'!$J$2:$J$1081,'[1]Sales Transactions (Clean)'!$C$2:$C$1081,A4)</f>
        <v>6853607.8000000007</v>
      </c>
      <c r="H4" s="39">
        <f>D4-G4</f>
        <v>4702769.7000000086</v>
      </c>
      <c r="I4" s="40">
        <f t="shared" si="0"/>
        <v>0.40694150913640581</v>
      </c>
      <c r="J4" s="39">
        <f t="shared" si="1"/>
        <v>25.281724727851888</v>
      </c>
      <c r="K4" s="40">
        <f t="shared" si="2"/>
        <v>0.11172877867081046</v>
      </c>
      <c r="L4" s="40">
        <f>D4/SUM($D$2:$D$6)</f>
        <v>0.20086857713630663</v>
      </c>
      <c r="M4" s="38">
        <f>SUMIFS('[1]Operating Expenses (Clean)'!$H$2:$H$121,'[1]Operating Expenses (Clean)'!$B$2:$B$121,A4)</f>
        <v>2597710</v>
      </c>
      <c r="N4" s="39">
        <f>H4-M4</f>
        <v>2105059.7000000086</v>
      </c>
      <c r="O4" s="40">
        <f t="shared" si="3"/>
        <v>0.18215567118675441</v>
      </c>
    </row>
    <row r="5" spans="1:15" x14ac:dyDescent="0.25">
      <c r="A5" s="36" t="s">
        <v>52</v>
      </c>
      <c r="B5" s="37" t="str">
        <f>VLOOKUP(A5,'[1]Store Information'!$A:$B,2,FALSE())</f>
        <v>Glasgow</v>
      </c>
      <c r="C5" s="37" t="str">
        <f>VLOOKUP(A5,'[1]Store Information'!$A:$C,3,FALSE())</f>
        <v>Scotland</v>
      </c>
      <c r="D5" s="38">
        <f>SUMIFS('[1]Sales Transactions (Clean)'!$I$2:$I$1081,'[1]Sales Transactions (Clean)'!$C$2:$C$1081,A5)</f>
        <v>11541196.750000004</v>
      </c>
      <c r="E5" s="38">
        <f>SUMIFS('[1]Sales Transactions (Clean)'!$K$2:$K$1081,'[1]Sales Transactions (Clean)'!$C$2:$C$1081,A5)</f>
        <v>13012810</v>
      </c>
      <c r="F5" s="37">
        <f>SUMIFS('[1]Sales Transactions (Clean)'!$F$2:$F$1081,'[1]Sales Transactions (Clean)'!$C$2:$C$1081,A5)</f>
        <v>455716</v>
      </c>
      <c r="G5" s="38">
        <f>SUMIFS('[1]Sales Transactions (Clean)'!$J$2:$J$1081,'[1]Sales Transactions (Clean)'!$C$2:$C$1081,A5)</f>
        <v>6870570.4799999977</v>
      </c>
      <c r="H5" s="39">
        <f>D5-G5</f>
        <v>4670626.2700000061</v>
      </c>
      <c r="I5" s="40">
        <f>H5/D5</f>
        <v>0.40469167723009353</v>
      </c>
      <c r="J5" s="39">
        <f t="shared" si="1"/>
        <v>25.325414841699665</v>
      </c>
      <c r="K5" s="40">
        <f t="shared" si="2"/>
        <v>0.1130895824960171</v>
      </c>
      <c r="L5" s="40">
        <f>D5/SUM($D$2:$D$6)</f>
        <v>0.20060471108897793</v>
      </c>
      <c r="M5" s="38">
        <f>SUMIFS('[1]Operating Expenses (Clean)'!$H$2:$H$121,'[1]Operating Expenses (Clean)'!$B$2:$B$121,A5)</f>
        <v>2620519</v>
      </c>
      <c r="N5" s="39">
        <f>H5-M5</f>
        <v>2050107.2700000061</v>
      </c>
      <c r="O5" s="40">
        <f t="shared" si="3"/>
        <v>0.17763385499861661</v>
      </c>
    </row>
    <row r="6" spans="1:15" x14ac:dyDescent="0.25">
      <c r="A6" s="36" t="s">
        <v>56</v>
      </c>
      <c r="B6" s="37" t="str">
        <f>VLOOKUP(A6,'[1]Store Information'!$A:$B,2,FALSE())</f>
        <v>Leeds</v>
      </c>
      <c r="C6" s="37" t="str">
        <f>VLOOKUP(A6,'[1]Store Information'!$A:$C,3,FALSE())</f>
        <v>North</v>
      </c>
      <c r="D6" s="38">
        <f>SUMIFS('[1]Sales Transactions (Clean)'!$I$2:$I$1081,'[1]Sales Transactions (Clean)'!$C$2:$C$1081,A6)</f>
        <v>11374008.770000003</v>
      </c>
      <c r="E6" s="38">
        <f>SUMIFS('[1]Sales Transactions (Clean)'!$K$2:$K$1081,'[1]Sales Transactions (Clean)'!$C$2:$C$1081,A6)</f>
        <v>12786237</v>
      </c>
      <c r="F6" s="37">
        <f>SUMIFS('[1]Sales Transactions (Clean)'!$F$2:$F$1081,'[1]Sales Transactions (Clean)'!$C$2:$C$1081,A6)</f>
        <v>447235</v>
      </c>
      <c r="G6" s="38">
        <f>SUMIFS('[1]Sales Transactions (Clean)'!$J$2:$J$1081,'[1]Sales Transactions (Clean)'!$C$2:$C$1081,A6)</f>
        <v>6731286.9199999999</v>
      </c>
      <c r="H6" s="39">
        <f>D6-G6</f>
        <v>4642721.8500000034</v>
      </c>
      <c r="I6" s="40">
        <f t="shared" si="0"/>
        <v>0.40818694128719246</v>
      </c>
      <c r="J6" s="39">
        <f t="shared" si="1"/>
        <v>25.43183956980112</v>
      </c>
      <c r="K6" s="40">
        <f t="shared" si="2"/>
        <v>0.11044908912606553</v>
      </c>
      <c r="L6" s="40">
        <f>D6/SUM($D$2:$D$6)</f>
        <v>0.19769871293714417</v>
      </c>
      <c r="M6" s="38">
        <f>SUMIFS('[1]Operating Expenses (Clean)'!$H$2:$H$121,'[1]Operating Expenses (Clean)'!$B$2:$B$121,A6)</f>
        <v>2592811</v>
      </c>
      <c r="N6" s="39">
        <f>H6-M6</f>
        <v>2049910.8500000034</v>
      </c>
      <c r="O6" s="40">
        <f t="shared" si="3"/>
        <v>0.18022764809245023</v>
      </c>
    </row>
    <row r="7" spans="1:15" x14ac:dyDescent="0.25">
      <c r="A7" s="41" t="s">
        <v>1325</v>
      </c>
      <c r="B7" s="42"/>
      <c r="C7" s="42"/>
      <c r="D7" s="43">
        <f>SUM(D2:D6)</f>
        <v>57532032.460000016</v>
      </c>
      <c r="E7" s="43">
        <f>SUM(E2:E6)</f>
        <v>64744559</v>
      </c>
      <c r="F7" s="41">
        <f>SUM(F2:F6)</f>
        <v>2266920</v>
      </c>
      <c r="G7" s="43">
        <f>SUM(G2:G6)</f>
        <v>34115194.919999994</v>
      </c>
      <c r="H7" s="43">
        <f>SUM(H2:H6)</f>
        <v>23416837.540000021</v>
      </c>
      <c r="I7" s="44">
        <f t="shared" si="0"/>
        <v>0.40702260182240074</v>
      </c>
      <c r="J7" s="43">
        <f t="shared" si="1"/>
        <v>25.378942556420171</v>
      </c>
      <c r="K7" s="44">
        <f t="shared" si="2"/>
        <v>0.11139973229256198</v>
      </c>
      <c r="L7" s="44">
        <f>SUM(L2:L6)</f>
        <v>1</v>
      </c>
      <c r="M7" s="43">
        <f>SUM(M2:M6)</f>
        <v>13037130</v>
      </c>
      <c r="N7" s="43">
        <f>SUM(N2:N6)</f>
        <v>10379707.540000023</v>
      </c>
      <c r="O7" s="44">
        <f t="shared" si="3"/>
        <v>0.18041614551366086</v>
      </c>
    </row>
    <row r="9" spans="1:15" x14ac:dyDescent="0.25">
      <c r="F9" t="s">
        <v>1333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C24D-CDA4-45FE-935D-05972FF6CDA5}">
  <dimension ref="A3:G28"/>
  <sheetViews>
    <sheetView workbookViewId="0">
      <selection activeCell="G5" sqref="G5"/>
    </sheetView>
  </sheetViews>
  <sheetFormatPr defaultRowHeight="15" x14ac:dyDescent="0.25"/>
  <cols>
    <col min="1" max="1" width="13.140625" bestFit="1" customWidth="1"/>
    <col min="2" max="2" width="17.42578125" bestFit="1" customWidth="1"/>
    <col min="3" max="3" width="17.42578125" customWidth="1"/>
    <col min="4" max="4" width="19.5703125" style="15" bestFit="1" customWidth="1"/>
    <col min="5" max="5" width="15.140625" bestFit="1" customWidth="1"/>
    <col min="6" max="6" width="16.28515625" style="17" bestFit="1" customWidth="1"/>
    <col min="7" max="7" width="17" style="17" bestFit="1" customWidth="1"/>
  </cols>
  <sheetData>
    <row r="3" spans="1:7" x14ac:dyDescent="0.25">
      <c r="A3" s="21" t="s">
        <v>1280</v>
      </c>
      <c r="B3" t="s">
        <v>1311</v>
      </c>
      <c r="C3" t="s">
        <v>1313</v>
      </c>
      <c r="D3" s="15" t="s">
        <v>1315</v>
      </c>
      <c r="E3" t="s">
        <v>1314</v>
      </c>
      <c r="F3" s="17" t="s">
        <v>1316</v>
      </c>
      <c r="G3" s="17" t="s">
        <v>1317</v>
      </c>
    </row>
    <row r="4" spans="1:7" x14ac:dyDescent="0.25">
      <c r="A4" s="22" t="s">
        <v>68</v>
      </c>
      <c r="B4" s="15">
        <v>507501</v>
      </c>
      <c r="C4" s="15">
        <f>SUMIFS(Table5[Net Sales Revenue],Table5[Date],'OPEX Analysis'!A4)</f>
        <v>2329918.2399999998</v>
      </c>
      <c r="D4" s="15">
        <f>SUMIFS(Table5[GrossProfit],Table5[Date],'OPEX Analysis'!A4)</f>
        <v>1057770.24</v>
      </c>
      <c r="E4" s="15">
        <f>D4-B4</f>
        <v>550269.24</v>
      </c>
      <c r="F4" s="17">
        <f>E4/C4</f>
        <v>0.23617534321719377</v>
      </c>
    </row>
    <row r="5" spans="1:7" x14ac:dyDescent="0.25">
      <c r="A5" s="22" t="s">
        <v>114</v>
      </c>
      <c r="B5" s="15">
        <v>507028</v>
      </c>
      <c r="C5" s="15">
        <f>SUMIFS(Table5[Net Sales Revenue],Table5[Date],'OPEX Analysis'!A5)</f>
        <v>2487689.44</v>
      </c>
      <c r="D5" s="15">
        <f>SUMIFS(Table5[GrossProfit],Table5[Date],'OPEX Analysis'!A5)</f>
        <v>1124933.44</v>
      </c>
      <c r="E5" s="15">
        <f t="shared" ref="E5:E28" si="0">D5-B5</f>
        <v>617905.43999999994</v>
      </c>
      <c r="F5" s="17">
        <f t="shared" ref="F5:F28" si="1">E5/C5</f>
        <v>0.24838528076076891</v>
      </c>
      <c r="G5" s="17">
        <f>(E5-E4)/E4</f>
        <v>0.1229147389739611</v>
      </c>
    </row>
    <row r="6" spans="1:7" x14ac:dyDescent="0.25">
      <c r="A6" s="22" t="s">
        <v>160</v>
      </c>
      <c r="B6" s="15">
        <v>502461</v>
      </c>
      <c r="C6" s="15">
        <f>SUMIFS(Table5[Net Sales Revenue],Table5[Date],'OPEX Analysis'!A6)</f>
        <v>2444790.6</v>
      </c>
      <c r="D6" s="15">
        <f>SUMIFS(Table5[GrossProfit],Table5[Date],'OPEX Analysis'!A6)</f>
        <v>1111450.6000000001</v>
      </c>
      <c r="E6" s="15">
        <f t="shared" si="0"/>
        <v>608989.60000000009</v>
      </c>
      <c r="F6" s="17">
        <f t="shared" si="1"/>
        <v>0.24909683471459684</v>
      </c>
      <c r="G6" s="17">
        <f t="shared" ref="G6:G28" si="2">(E6-E5)/E5</f>
        <v>-1.4429133363836142E-2</v>
      </c>
    </row>
    <row r="7" spans="1:7" x14ac:dyDescent="0.25">
      <c r="A7" s="22" t="s">
        <v>206</v>
      </c>
      <c r="B7" s="15">
        <v>519345</v>
      </c>
      <c r="C7" s="15">
        <f>SUMIFS(Table5[Net Sales Revenue],Table5[Date],'OPEX Analysis'!A7)</f>
        <v>2436376.56</v>
      </c>
      <c r="D7" s="15">
        <f>SUMIFS(Table5[GrossProfit],Table5[Date],'OPEX Analysis'!A7)</f>
        <v>1102248.5599999998</v>
      </c>
      <c r="E7" s="15">
        <f t="shared" si="0"/>
        <v>582903.55999999982</v>
      </c>
      <c r="F7" s="17">
        <f t="shared" si="1"/>
        <v>0.23925019209674214</v>
      </c>
      <c r="G7" s="17">
        <f t="shared" si="2"/>
        <v>-4.2834951532834495E-2</v>
      </c>
    </row>
    <row r="8" spans="1:7" x14ac:dyDescent="0.25">
      <c r="A8" s="22" t="s">
        <v>252</v>
      </c>
      <c r="B8" s="15">
        <v>505564</v>
      </c>
      <c r="C8" s="15">
        <f>SUMIFS(Table5[Net Sales Revenue],Table5[Date],'OPEX Analysis'!A8)</f>
        <v>2336372.2800000007</v>
      </c>
      <c r="D8" s="15">
        <f>SUMIFS(Table5[GrossProfit],Table5[Date],'OPEX Analysis'!A8)</f>
        <v>1058776.2800000003</v>
      </c>
      <c r="E8" s="15">
        <f t="shared" si="0"/>
        <v>553212.28000000026</v>
      </c>
      <c r="F8" s="17">
        <f t="shared" si="1"/>
        <v>0.23678259014440972</v>
      </c>
      <c r="G8" s="17">
        <f t="shared" si="2"/>
        <v>-5.0936865096517119E-2</v>
      </c>
    </row>
    <row r="9" spans="1:7" x14ac:dyDescent="0.25">
      <c r="A9" s="22" t="s">
        <v>298</v>
      </c>
      <c r="B9" s="15">
        <v>519386</v>
      </c>
      <c r="C9" s="15">
        <f>SUMIFS(Table5[Net Sales Revenue],Table5[Date],'OPEX Analysis'!A9)</f>
        <v>2423490.7999999998</v>
      </c>
      <c r="D9" s="15">
        <f>SUMIFS(Table5[GrossProfit],Table5[Date],'OPEX Analysis'!A9)</f>
        <v>1092142.8</v>
      </c>
      <c r="E9" s="15">
        <f t="shared" si="0"/>
        <v>572756.80000000005</v>
      </c>
      <c r="F9" s="17">
        <f t="shared" si="1"/>
        <v>0.23633545462602956</v>
      </c>
      <c r="G9" s="17">
        <f t="shared" si="2"/>
        <v>3.5329150683350297E-2</v>
      </c>
    </row>
    <row r="10" spans="1:7" x14ac:dyDescent="0.25">
      <c r="A10" s="22" t="s">
        <v>344</v>
      </c>
      <c r="B10" s="15">
        <v>511935</v>
      </c>
      <c r="C10" s="15">
        <f>SUMIFS(Table5[Net Sales Revenue],Table5[Date],'OPEX Analysis'!A10)</f>
        <v>2219220.1599999997</v>
      </c>
      <c r="D10" s="15">
        <f>SUMIFS(Table5[GrossProfit],Table5[Date],'OPEX Analysis'!A10)</f>
        <v>1006856.1600000003</v>
      </c>
      <c r="E10" s="15">
        <f t="shared" si="0"/>
        <v>494921.16000000027</v>
      </c>
      <c r="F10" s="17">
        <f t="shared" si="1"/>
        <v>0.22301580028905305</v>
      </c>
      <c r="G10" s="17">
        <f t="shared" si="2"/>
        <v>-0.13589649219354494</v>
      </c>
    </row>
    <row r="11" spans="1:7" x14ac:dyDescent="0.25">
      <c r="A11" s="22" t="s">
        <v>390</v>
      </c>
      <c r="B11" s="15">
        <v>515112</v>
      </c>
      <c r="C11" s="15">
        <f>SUMIFS(Table5[Net Sales Revenue],Table5[Date],'OPEX Analysis'!A11)</f>
        <v>2450806.48</v>
      </c>
      <c r="D11" s="15">
        <f>SUMIFS(Table5[GrossProfit],Table5[Date],'OPEX Analysis'!A11)</f>
        <v>1108602.4800000002</v>
      </c>
      <c r="E11" s="15">
        <f t="shared" si="0"/>
        <v>593490.48000000021</v>
      </c>
      <c r="F11" s="17">
        <f t="shared" si="1"/>
        <v>0.24216129867585473</v>
      </c>
      <c r="G11" s="17">
        <f t="shared" si="2"/>
        <v>0.1991616604147616</v>
      </c>
    </row>
    <row r="12" spans="1:7" x14ac:dyDescent="0.25">
      <c r="A12" s="22" t="s">
        <v>436</v>
      </c>
      <c r="B12" s="15">
        <v>509752</v>
      </c>
      <c r="C12" s="15">
        <f>SUMIFS(Table5[Net Sales Revenue],Table5[Date],'OPEX Analysis'!A12)</f>
        <v>2400931.36</v>
      </c>
      <c r="D12" s="15">
        <f>SUMIFS(Table5[GrossProfit],Table5[Date],'OPEX Analysis'!A12)</f>
        <v>1092019.3599999996</v>
      </c>
      <c r="E12" s="15">
        <f t="shared" si="0"/>
        <v>582267.35999999964</v>
      </c>
      <c r="F12" s="17">
        <f t="shared" si="1"/>
        <v>0.2425172871247763</v>
      </c>
      <c r="G12" s="17">
        <f t="shared" si="2"/>
        <v>-1.8910362302695358E-2</v>
      </c>
    </row>
    <row r="13" spans="1:7" x14ac:dyDescent="0.25">
      <c r="A13" s="22" t="s">
        <v>482</v>
      </c>
      <c r="B13" s="15">
        <v>526652</v>
      </c>
      <c r="C13" s="15">
        <f>SUMIFS(Table5[Net Sales Revenue],Table5[Date],'OPEX Analysis'!A13)</f>
        <v>2284842.04</v>
      </c>
      <c r="D13" s="15">
        <f>SUMIFS(Table5[GrossProfit],Table5[Date],'OPEX Analysis'!A13)</f>
        <v>1041714.0400000002</v>
      </c>
      <c r="E13" s="15">
        <f t="shared" si="0"/>
        <v>515062.04000000015</v>
      </c>
      <c r="F13" s="17">
        <f t="shared" si="1"/>
        <v>0.22542566662507668</v>
      </c>
      <c r="G13" s="17">
        <f t="shared" si="2"/>
        <v>-0.11542003659624597</v>
      </c>
    </row>
    <row r="14" spans="1:7" x14ac:dyDescent="0.25">
      <c r="A14" s="22" t="s">
        <v>528</v>
      </c>
      <c r="B14" s="15">
        <v>502965</v>
      </c>
      <c r="C14" s="15">
        <f>SUMIFS(Table5[Net Sales Revenue],Table5[Date],'OPEX Analysis'!A14)</f>
        <v>2279626.16</v>
      </c>
      <c r="D14" s="15">
        <f>SUMIFS(Table5[GrossProfit],Table5[Date],'OPEX Analysis'!A14)</f>
        <v>1044634.16</v>
      </c>
      <c r="E14" s="15">
        <f t="shared" si="0"/>
        <v>541669.16</v>
      </c>
      <c r="F14" s="17">
        <f t="shared" si="1"/>
        <v>0.23761315320227769</v>
      </c>
      <c r="G14" s="17">
        <f t="shared" si="2"/>
        <v>5.165808763542324E-2</v>
      </c>
    </row>
    <row r="15" spans="1:7" x14ac:dyDescent="0.25">
      <c r="A15" s="22" t="s">
        <v>574</v>
      </c>
      <c r="B15" s="15">
        <v>503692</v>
      </c>
      <c r="C15" s="15">
        <f>SUMIFS(Table5[Net Sales Revenue],Table5[Date],'OPEX Analysis'!A15)</f>
        <v>2491954.3599999994</v>
      </c>
      <c r="D15" s="15">
        <f>SUMIFS(Table5[GrossProfit],Table5[Date],'OPEX Analysis'!A15)</f>
        <v>1120354.3600000003</v>
      </c>
      <c r="E15" s="15">
        <f t="shared" si="0"/>
        <v>616662.36000000034</v>
      </c>
      <c r="F15" s="17">
        <f t="shared" si="1"/>
        <v>0.2474613379355794</v>
      </c>
      <c r="G15" s="17">
        <f t="shared" si="2"/>
        <v>0.13844834732699254</v>
      </c>
    </row>
    <row r="16" spans="1:7" x14ac:dyDescent="0.25">
      <c r="A16" s="22" t="s">
        <v>620</v>
      </c>
      <c r="B16" s="15">
        <v>585628</v>
      </c>
      <c r="C16" s="15">
        <f>SUMIFS(Table5[Net Sales Revenue],Table5[Date],'OPEX Analysis'!A16)</f>
        <v>2423695.8599999994</v>
      </c>
      <c r="D16" s="15">
        <f>SUMIFS(Table5[GrossProfit],Table5[Date],'OPEX Analysis'!A16)</f>
        <v>865683.53999999992</v>
      </c>
      <c r="E16" s="15">
        <f t="shared" si="0"/>
        <v>280055.53999999992</v>
      </c>
      <c r="F16" s="17">
        <f t="shared" si="1"/>
        <v>0.11554896165891045</v>
      </c>
      <c r="G16" s="17">
        <f t="shared" si="2"/>
        <v>-0.54585270941459807</v>
      </c>
    </row>
    <row r="17" spans="1:7" x14ac:dyDescent="0.25">
      <c r="A17" s="22" t="s">
        <v>666</v>
      </c>
      <c r="B17" s="15">
        <v>593330</v>
      </c>
      <c r="C17" s="15">
        <f>SUMIFS(Table5[Net Sales Revenue],Table5[Date],'OPEX Analysis'!A17)</f>
        <v>2357448.6500000004</v>
      </c>
      <c r="D17" s="15">
        <f>SUMIFS(Table5[GrossProfit],Table5[Date],'OPEX Analysis'!A17)</f>
        <v>856845.89</v>
      </c>
      <c r="E17" s="15">
        <f t="shared" si="0"/>
        <v>263515.89</v>
      </c>
      <c r="F17" s="17">
        <f t="shared" si="1"/>
        <v>0.11178011873132421</v>
      </c>
      <c r="G17" s="17">
        <f t="shared" si="2"/>
        <v>-5.905846390326687E-2</v>
      </c>
    </row>
    <row r="18" spans="1:7" x14ac:dyDescent="0.25">
      <c r="A18" s="22" t="s">
        <v>712</v>
      </c>
      <c r="B18" s="15">
        <v>565638</v>
      </c>
      <c r="C18" s="15">
        <f>SUMIFS(Table5[Net Sales Revenue],Table5[Date],'OPEX Analysis'!A18)</f>
        <v>2338098.14</v>
      </c>
      <c r="D18" s="15">
        <f>SUMIFS(Table5[GrossProfit],Table5[Date],'OPEX Analysis'!A18)</f>
        <v>845722.81999999983</v>
      </c>
      <c r="E18" s="15">
        <f t="shared" si="0"/>
        <v>280084.81999999983</v>
      </c>
      <c r="F18" s="17">
        <f t="shared" si="1"/>
        <v>0.1197917295293686</v>
      </c>
      <c r="G18" s="17">
        <f t="shared" si="2"/>
        <v>6.2876398079826673E-2</v>
      </c>
    </row>
    <row r="19" spans="1:7" x14ac:dyDescent="0.25">
      <c r="A19" s="22" t="s">
        <v>758</v>
      </c>
      <c r="B19" s="15">
        <v>582398</v>
      </c>
      <c r="C19" s="15">
        <f>SUMIFS(Table5[Net Sales Revenue],Table5[Date],'OPEX Analysis'!A19)</f>
        <v>2357454.1</v>
      </c>
      <c r="D19" s="15">
        <f>SUMIFS(Table5[GrossProfit],Table5[Date],'OPEX Analysis'!A19)</f>
        <v>843084.58000000019</v>
      </c>
      <c r="E19" s="15">
        <f t="shared" si="0"/>
        <v>260686.58000000019</v>
      </c>
      <c r="F19" s="17">
        <f t="shared" si="1"/>
        <v>0.11057970545428654</v>
      </c>
      <c r="G19" s="17">
        <f t="shared" si="2"/>
        <v>-6.9258448208652124E-2</v>
      </c>
    </row>
    <row r="20" spans="1:7" x14ac:dyDescent="0.25">
      <c r="A20" s="22" t="s">
        <v>804</v>
      </c>
      <c r="B20" s="15">
        <v>566642</v>
      </c>
      <c r="C20" s="15">
        <f>SUMIFS(Table5[Net Sales Revenue],Table5[Date],'OPEX Analysis'!A20)</f>
        <v>2542740.06</v>
      </c>
      <c r="D20" s="15">
        <f>SUMIFS(Table5[GrossProfit],Table5[Date],'OPEX Analysis'!A20)</f>
        <v>922861.02</v>
      </c>
      <c r="E20" s="15">
        <f t="shared" si="0"/>
        <v>356219.02</v>
      </c>
      <c r="F20" s="17">
        <f t="shared" si="1"/>
        <v>0.14009258185832807</v>
      </c>
      <c r="G20" s="17">
        <f t="shared" si="2"/>
        <v>0.36646474091608305</v>
      </c>
    </row>
    <row r="21" spans="1:7" x14ac:dyDescent="0.25">
      <c r="A21" s="22" t="s">
        <v>850</v>
      </c>
      <c r="B21" s="15">
        <v>576189</v>
      </c>
      <c r="C21" s="15">
        <f>SUMIFS(Table5[Net Sales Revenue],Table5[Date],'OPEX Analysis'!A21)</f>
        <v>2447755.63</v>
      </c>
      <c r="D21" s="15">
        <f>SUMIFS(Table5[GrossProfit],Table5[Date],'OPEX Analysis'!A21)</f>
        <v>897227.7100000002</v>
      </c>
      <c r="E21" s="15">
        <f t="shared" si="0"/>
        <v>321038.7100000002</v>
      </c>
      <c r="F21" s="17">
        <f t="shared" si="1"/>
        <v>0.13115635648645213</v>
      </c>
      <c r="G21" s="17">
        <f t="shared" si="2"/>
        <v>-9.8760335705824528E-2</v>
      </c>
    </row>
    <row r="22" spans="1:7" x14ac:dyDescent="0.25">
      <c r="A22" s="22" t="s">
        <v>896</v>
      </c>
      <c r="B22" s="15">
        <v>588153</v>
      </c>
      <c r="C22" s="15">
        <f>SUMIFS(Table5[Net Sales Revenue],Table5[Date],'OPEX Analysis'!A22)</f>
        <v>2297132.6600000011</v>
      </c>
      <c r="D22" s="15">
        <f>SUMIFS(Table5[GrossProfit],Table5[Date],'OPEX Analysis'!A22)</f>
        <v>829279.81999999972</v>
      </c>
      <c r="E22" s="15">
        <f t="shared" si="0"/>
        <v>241126.81999999972</v>
      </c>
      <c r="F22" s="17">
        <f t="shared" si="1"/>
        <v>0.10496860899622558</v>
      </c>
      <c r="G22" s="17">
        <f t="shared" si="2"/>
        <v>-0.2489166804837972</v>
      </c>
    </row>
    <row r="23" spans="1:7" x14ac:dyDescent="0.25">
      <c r="A23" s="22" t="s">
        <v>942</v>
      </c>
      <c r="B23" s="15">
        <v>573619</v>
      </c>
      <c r="C23" s="15">
        <f>SUMIFS(Table5[Net Sales Revenue],Table5[Date],'OPEX Analysis'!A23)</f>
        <v>2377319.5699999998</v>
      </c>
      <c r="D23" s="15">
        <f>SUMIFS(Table5[GrossProfit],Table5[Date],'OPEX Analysis'!A23)</f>
        <v>860253.2899999998</v>
      </c>
      <c r="E23" s="15">
        <f t="shared" si="0"/>
        <v>286634.2899999998</v>
      </c>
      <c r="F23" s="17">
        <f t="shared" si="1"/>
        <v>0.12057036572495797</v>
      </c>
      <c r="G23" s="17">
        <f t="shared" si="2"/>
        <v>0.18872836294195786</v>
      </c>
    </row>
    <row r="24" spans="1:7" x14ac:dyDescent="0.25">
      <c r="A24" s="22" t="s">
        <v>988</v>
      </c>
      <c r="B24" s="15">
        <v>572212</v>
      </c>
      <c r="C24" s="15">
        <f>SUMIFS(Table5[Net Sales Revenue],Table5[Date],'OPEX Analysis'!A24)</f>
        <v>2373028.5599999991</v>
      </c>
      <c r="D24" s="15">
        <f>SUMIFS(Table5[GrossProfit],Table5[Date],'OPEX Analysis'!A24)</f>
        <v>861974.64000000013</v>
      </c>
      <c r="E24" s="15">
        <f t="shared" si="0"/>
        <v>289762.64000000013</v>
      </c>
      <c r="F24" s="17">
        <f t="shared" si="1"/>
        <v>0.12210668041854508</v>
      </c>
      <c r="G24" s="17">
        <f t="shared" si="2"/>
        <v>1.0914081493879634E-2</v>
      </c>
    </row>
    <row r="25" spans="1:7" x14ac:dyDescent="0.25">
      <c r="A25" s="22" t="s">
        <v>1034</v>
      </c>
      <c r="B25" s="15">
        <v>587577</v>
      </c>
      <c r="C25" s="15">
        <f>SUMIFS(Table5[Net Sales Revenue],Table5[Date],'OPEX Analysis'!A25)</f>
        <v>2437406.1600000006</v>
      </c>
      <c r="D25" s="15">
        <f>SUMIFS(Table5[GrossProfit],Table5[Date],'OPEX Analysis'!A25)</f>
        <v>888803.88</v>
      </c>
      <c r="E25" s="15">
        <f t="shared" si="0"/>
        <v>301226.88</v>
      </c>
      <c r="F25" s="17">
        <f t="shared" si="1"/>
        <v>0.12358501629453497</v>
      </c>
      <c r="G25" s="17">
        <f t="shared" si="2"/>
        <v>3.9564244721127156E-2</v>
      </c>
    </row>
    <row r="26" spans="1:7" x14ac:dyDescent="0.25">
      <c r="A26" s="22" t="s">
        <v>1080</v>
      </c>
      <c r="B26" s="15">
        <v>548441</v>
      </c>
      <c r="C26" s="15">
        <f>SUMIFS(Table5[Net Sales Revenue],Table5[Date],'OPEX Analysis'!A26)</f>
        <v>2538509.6299999994</v>
      </c>
      <c r="D26" s="15">
        <f>SUMIFS(Table5[GrossProfit],Table5[Date],'OPEX Analysis'!A26)</f>
        <v>903013.7899999998</v>
      </c>
      <c r="E26" s="15">
        <f t="shared" si="0"/>
        <v>354572.7899999998</v>
      </c>
      <c r="F26" s="17">
        <f t="shared" si="1"/>
        <v>0.13967754378776964</v>
      </c>
      <c r="G26" s="17">
        <f t="shared" si="2"/>
        <v>0.17709545044585595</v>
      </c>
    </row>
    <row r="27" spans="1:7" x14ac:dyDescent="0.25">
      <c r="A27" s="22" t="s">
        <v>1126</v>
      </c>
      <c r="B27" s="15">
        <v>565910</v>
      </c>
      <c r="C27" s="15">
        <f>SUMIFS(Table5[Net Sales Revenue],Table5[Date],'OPEX Analysis'!A27)</f>
        <v>2455424.96</v>
      </c>
      <c r="D27" s="15">
        <f>SUMIFS(Table5[GrossProfit],Table5[Date],'OPEX Analysis'!A27)</f>
        <v>880584.08000000007</v>
      </c>
      <c r="E27" s="15">
        <f t="shared" si="0"/>
        <v>314674.08000000007</v>
      </c>
      <c r="F27" s="17">
        <f t="shared" si="1"/>
        <v>0.12815463112340444</v>
      </c>
      <c r="G27" s="17">
        <f t="shared" si="2"/>
        <v>-0.11252614731096471</v>
      </c>
    </row>
    <row r="28" spans="1:7" x14ac:dyDescent="0.25">
      <c r="A28" s="22" t="s">
        <v>1281</v>
      </c>
      <c r="B28" s="15">
        <v>13037130</v>
      </c>
      <c r="C28" s="15">
        <f>SUMIFS(Table5[Net Sales Revenue],Table5[Date],'OPEX Analysis'!A28)</f>
        <v>0</v>
      </c>
      <c r="D28" s="15">
        <f>SUMIFS(Table5[GrossProfit],Table5[Date],'OPEX Analysis'!A28)</f>
        <v>0</v>
      </c>
      <c r="E28" s="15">
        <f t="shared" si="0"/>
        <v>-13037130</v>
      </c>
      <c r="F28" s="17" t="e">
        <f t="shared" si="1"/>
        <v>#DIV/0!</v>
      </c>
      <c r="G28" s="17">
        <f t="shared" si="2"/>
        <v>-42.430581126987001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E10" sqref="E10"/>
    </sheetView>
  </sheetViews>
  <sheetFormatPr defaultColWidth="14.42578125" defaultRowHeight="15" customHeight="1" x14ac:dyDescent="0.25"/>
  <cols>
    <col min="1" max="1" width="10.42578125" bestFit="1" customWidth="1"/>
    <col min="2" max="2" width="10.140625" customWidth="1"/>
    <col min="3" max="3" width="11.5703125" style="15" customWidth="1"/>
    <col min="4" max="4" width="15.140625" style="15" customWidth="1"/>
    <col min="5" max="5" width="18.140625" style="15" customWidth="1"/>
    <col min="6" max="6" width="20.140625" style="15" customWidth="1"/>
    <col min="7" max="7" width="14.85546875" style="15" customWidth="1"/>
    <col min="8" max="8" width="12.85546875" style="15" bestFit="1" customWidth="1"/>
    <col min="9" max="9" width="18" style="18" bestFit="1" customWidth="1"/>
    <col min="10" max="10" width="16" bestFit="1" customWidth="1"/>
    <col min="11" max="26" width="8.7109375" customWidth="1"/>
  </cols>
  <sheetData>
    <row r="1" spans="1:10" ht="14.25" customHeight="1" x14ac:dyDescent="0.25">
      <c r="A1" s="1" t="s">
        <v>1171</v>
      </c>
      <c r="B1" s="1" t="s">
        <v>35</v>
      </c>
      <c r="C1" s="14" t="s">
        <v>1172</v>
      </c>
      <c r="D1" s="14" t="s">
        <v>1173</v>
      </c>
      <c r="E1" s="14" t="s">
        <v>1174</v>
      </c>
      <c r="F1" s="14" t="s">
        <v>1175</v>
      </c>
      <c r="G1" s="14" t="s">
        <v>1176</v>
      </c>
      <c r="H1" s="15" t="s">
        <v>1273</v>
      </c>
      <c r="I1" s="19" t="s">
        <v>1276</v>
      </c>
      <c r="J1" s="3" t="s">
        <v>1274</v>
      </c>
    </row>
    <row r="2" spans="1:10" ht="14.25" customHeight="1" x14ac:dyDescent="0.25">
      <c r="A2" s="1" t="s">
        <v>68</v>
      </c>
      <c r="B2" s="1" t="s">
        <v>40</v>
      </c>
      <c r="C2" s="14">
        <v>49556</v>
      </c>
      <c r="D2" s="14">
        <v>22977</v>
      </c>
      <c r="E2" s="14">
        <v>6952</v>
      </c>
      <c r="F2" s="14">
        <v>11166</v>
      </c>
      <c r="G2" s="14">
        <v>6944</v>
      </c>
      <c r="H2" s="15">
        <f>SUM(Table2[[#This Row],[Staff Cost]:[Logistics Cost]])</f>
        <v>97595</v>
      </c>
      <c r="I2" s="18">
        <f t="shared" ref="I2:I33" si="0">DATE(YEAR(DATEVALUE(A3)),MONTH(DATEVALUE(A3)),1)</f>
        <v>44927</v>
      </c>
      <c r="J2" s="15" t="str">
        <f>VLOOKUP(Table2[[#This Row],[Store ID]],Table4[[Store ID]:[Store Location]],2)</f>
        <v>Manchester</v>
      </c>
    </row>
    <row r="3" spans="1:10" ht="14.25" customHeight="1" x14ac:dyDescent="0.25">
      <c r="A3" s="1" t="s">
        <v>68</v>
      </c>
      <c r="B3" s="1" t="s">
        <v>44</v>
      </c>
      <c r="C3" s="14">
        <v>48918</v>
      </c>
      <c r="D3" s="14">
        <v>24375</v>
      </c>
      <c r="E3" s="14">
        <v>6245</v>
      </c>
      <c r="F3" s="14">
        <v>10253</v>
      </c>
      <c r="G3" s="14">
        <v>6718</v>
      </c>
      <c r="H3" s="15">
        <f>SUM(Table2[[#This Row],[Staff Cost]:[Logistics Cost]])</f>
        <v>96509</v>
      </c>
      <c r="I3" s="18">
        <f t="shared" si="0"/>
        <v>44927</v>
      </c>
      <c r="J3" s="15" t="str">
        <f>VLOOKUP(Table2[[#This Row],[Store ID]],Table4[[Store ID]:[Store Location]],2)</f>
        <v>Birmingham</v>
      </c>
    </row>
    <row r="4" spans="1:10" ht="14.25" customHeight="1" x14ac:dyDescent="0.25">
      <c r="A4" s="1" t="s">
        <v>68</v>
      </c>
      <c r="B4" s="1" t="s">
        <v>48</v>
      </c>
      <c r="C4" s="14">
        <v>50943</v>
      </c>
      <c r="D4" s="14">
        <v>25866</v>
      </c>
      <c r="E4" s="14">
        <v>8761</v>
      </c>
      <c r="F4" s="14">
        <v>14338</v>
      </c>
      <c r="G4" s="14">
        <v>7727</v>
      </c>
      <c r="H4" s="15">
        <f>SUM(Table2[[#This Row],[Staff Cost]:[Logistics Cost]])</f>
        <v>107635</v>
      </c>
      <c r="I4" s="18">
        <f t="shared" si="0"/>
        <v>44927</v>
      </c>
      <c r="J4" s="15" t="str">
        <f>VLOOKUP(Table2[[#This Row],[Store ID]],Table4[[Store ID]:[Store Location]],2)</f>
        <v>London Stratford</v>
      </c>
    </row>
    <row r="5" spans="1:10" ht="14.25" customHeight="1" x14ac:dyDescent="0.25">
      <c r="A5" s="1" t="s">
        <v>68</v>
      </c>
      <c r="B5" s="1" t="s">
        <v>52</v>
      </c>
      <c r="C5" s="14">
        <v>52403</v>
      </c>
      <c r="D5" s="14">
        <v>24200</v>
      </c>
      <c r="E5" s="14">
        <v>6080</v>
      </c>
      <c r="F5" s="14">
        <v>14308</v>
      </c>
      <c r="G5" s="14">
        <v>6828</v>
      </c>
      <c r="H5" s="15">
        <f>SUM(Table2[[#This Row],[Staff Cost]:[Logistics Cost]])</f>
        <v>103819</v>
      </c>
      <c r="I5" s="18">
        <f t="shared" si="0"/>
        <v>44927</v>
      </c>
      <c r="J5" s="15" t="str">
        <f>VLOOKUP(Table2[[#This Row],[Store ID]],Table4[[Store ID]:[Store Location]],2)</f>
        <v>Glasgow</v>
      </c>
    </row>
    <row r="6" spans="1:10" ht="14.25" customHeight="1" x14ac:dyDescent="0.25">
      <c r="A6" s="1" t="s">
        <v>68</v>
      </c>
      <c r="B6" s="1" t="s">
        <v>56</v>
      </c>
      <c r="C6" s="14">
        <v>47852</v>
      </c>
      <c r="D6" s="14">
        <v>23881</v>
      </c>
      <c r="E6" s="14">
        <v>6316</v>
      </c>
      <c r="F6" s="14">
        <v>16578</v>
      </c>
      <c r="G6" s="14">
        <v>7316</v>
      </c>
      <c r="H6" s="15">
        <f>SUM(Table2[[#This Row],[Staff Cost]:[Logistics Cost]])</f>
        <v>101943</v>
      </c>
      <c r="I6" s="18">
        <f t="shared" si="0"/>
        <v>44958</v>
      </c>
      <c r="J6" s="15" t="str">
        <f>VLOOKUP(Table2[[#This Row],[Store ID]],Table4[[Store ID]:[Store Location]],2)</f>
        <v>Leeds</v>
      </c>
    </row>
    <row r="7" spans="1:10" ht="14.25" customHeight="1" x14ac:dyDescent="0.25">
      <c r="A7" s="1" t="s">
        <v>114</v>
      </c>
      <c r="B7" s="1" t="s">
        <v>40</v>
      </c>
      <c r="C7" s="14">
        <v>50135</v>
      </c>
      <c r="D7" s="14">
        <v>23054</v>
      </c>
      <c r="E7" s="14">
        <v>7989</v>
      </c>
      <c r="F7" s="14">
        <v>17832</v>
      </c>
      <c r="G7" s="14">
        <v>8168</v>
      </c>
      <c r="H7" s="15">
        <f>SUM(Table2[[#This Row],[Staff Cost]:[Logistics Cost]])</f>
        <v>107178</v>
      </c>
      <c r="I7" s="18">
        <f t="shared" si="0"/>
        <v>44958</v>
      </c>
      <c r="J7" s="15" t="str">
        <f>VLOOKUP(Table2[[#This Row],[Store ID]],Table4[[Store ID]:[Store Location]],2)</f>
        <v>Manchester</v>
      </c>
    </row>
    <row r="8" spans="1:10" ht="14.25" customHeight="1" x14ac:dyDescent="0.25">
      <c r="A8" s="1" t="s">
        <v>114</v>
      </c>
      <c r="B8" s="1" t="s">
        <v>44</v>
      </c>
      <c r="C8" s="14">
        <v>47556</v>
      </c>
      <c r="D8" s="14">
        <v>23785</v>
      </c>
      <c r="E8" s="14">
        <v>7732</v>
      </c>
      <c r="F8" s="14">
        <v>17782</v>
      </c>
      <c r="G8" s="14">
        <v>8955</v>
      </c>
      <c r="H8" s="15">
        <f>SUM(Table2[[#This Row],[Staff Cost]:[Logistics Cost]])</f>
        <v>105810</v>
      </c>
      <c r="I8" s="18">
        <f t="shared" si="0"/>
        <v>44958</v>
      </c>
      <c r="J8" s="15" t="str">
        <f>VLOOKUP(Table2[[#This Row],[Store ID]],Table4[[Store ID]:[Store Location]],2)</f>
        <v>Birmingham</v>
      </c>
    </row>
    <row r="9" spans="1:10" ht="14.25" customHeight="1" x14ac:dyDescent="0.25">
      <c r="A9" s="1" t="s">
        <v>114</v>
      </c>
      <c r="B9" s="1" t="s">
        <v>48</v>
      </c>
      <c r="C9" s="14">
        <v>50457</v>
      </c>
      <c r="D9" s="14">
        <v>22269</v>
      </c>
      <c r="E9" s="14">
        <v>7578</v>
      </c>
      <c r="F9" s="14">
        <v>10161</v>
      </c>
      <c r="G9" s="14">
        <v>8894</v>
      </c>
      <c r="H9" s="15">
        <f>SUM(Table2[[#This Row],[Staff Cost]:[Logistics Cost]])</f>
        <v>99359</v>
      </c>
      <c r="I9" s="18">
        <f t="shared" si="0"/>
        <v>44958</v>
      </c>
      <c r="J9" s="15" t="str">
        <f>VLOOKUP(Table2[[#This Row],[Store ID]],Table4[[Store ID]:[Store Location]],2)</f>
        <v>London Stratford</v>
      </c>
    </row>
    <row r="10" spans="1:10" ht="14.25" customHeight="1" x14ac:dyDescent="0.25">
      <c r="A10" s="1" t="s">
        <v>114</v>
      </c>
      <c r="B10" s="1" t="s">
        <v>52</v>
      </c>
      <c r="C10" s="14">
        <v>45241</v>
      </c>
      <c r="D10" s="14">
        <v>24849</v>
      </c>
      <c r="E10" s="14">
        <v>8458</v>
      </c>
      <c r="F10" s="14">
        <v>13454</v>
      </c>
      <c r="G10" s="14">
        <v>6665</v>
      </c>
      <c r="H10" s="15">
        <f>SUM(Table2[[#This Row],[Staff Cost]:[Logistics Cost]])</f>
        <v>98667</v>
      </c>
      <c r="I10" s="18">
        <f t="shared" si="0"/>
        <v>44958</v>
      </c>
      <c r="J10" s="15" t="str">
        <f>VLOOKUP(Table2[[#This Row],[Store ID]],Table4[[Store ID]:[Store Location]],2)</f>
        <v>Glasgow</v>
      </c>
    </row>
    <row r="11" spans="1:10" ht="14.25" customHeight="1" x14ac:dyDescent="0.25">
      <c r="A11" s="1" t="s">
        <v>114</v>
      </c>
      <c r="B11" s="1" t="s">
        <v>56</v>
      </c>
      <c r="C11" s="14">
        <v>46072</v>
      </c>
      <c r="D11" s="14">
        <v>22356</v>
      </c>
      <c r="E11" s="14">
        <v>6222</v>
      </c>
      <c r="F11" s="14">
        <v>12909</v>
      </c>
      <c r="G11" s="14">
        <v>8455</v>
      </c>
      <c r="H11" s="15">
        <f>SUM(Table2[[#This Row],[Staff Cost]:[Logistics Cost]])</f>
        <v>96014</v>
      </c>
      <c r="I11" s="18">
        <f t="shared" si="0"/>
        <v>44986</v>
      </c>
      <c r="J11" s="15" t="str">
        <f>VLOOKUP(Table2[[#This Row],[Store ID]],Table4[[Store ID]:[Store Location]],2)</f>
        <v>Leeds</v>
      </c>
    </row>
    <row r="12" spans="1:10" ht="14.25" customHeight="1" x14ac:dyDescent="0.25">
      <c r="A12" s="1" t="s">
        <v>160</v>
      </c>
      <c r="B12" s="1" t="s">
        <v>40</v>
      </c>
      <c r="C12" s="14">
        <v>50867</v>
      </c>
      <c r="D12" s="14">
        <v>24097</v>
      </c>
      <c r="E12" s="14">
        <v>8057</v>
      </c>
      <c r="F12" s="14">
        <v>11308</v>
      </c>
      <c r="G12" s="14">
        <v>7777</v>
      </c>
      <c r="H12" s="15">
        <f>SUM(Table2[[#This Row],[Staff Cost]:[Logistics Cost]])</f>
        <v>102106</v>
      </c>
      <c r="I12" s="18">
        <f t="shared" si="0"/>
        <v>44986</v>
      </c>
      <c r="J12" s="15" t="str">
        <f>VLOOKUP(Table2[[#This Row],[Store ID]],Table4[[Store ID]:[Store Location]],2)</f>
        <v>Manchester</v>
      </c>
    </row>
    <row r="13" spans="1:10" ht="14.25" customHeight="1" x14ac:dyDescent="0.25">
      <c r="A13" s="1" t="s">
        <v>160</v>
      </c>
      <c r="B13" s="1" t="s">
        <v>44</v>
      </c>
      <c r="C13" s="14">
        <v>49895</v>
      </c>
      <c r="D13" s="14">
        <v>25533</v>
      </c>
      <c r="E13" s="14">
        <v>7687</v>
      </c>
      <c r="F13" s="14">
        <v>12068</v>
      </c>
      <c r="G13" s="14">
        <v>8882</v>
      </c>
      <c r="H13" s="15">
        <f>SUM(Table2[[#This Row],[Staff Cost]:[Logistics Cost]])</f>
        <v>104065</v>
      </c>
      <c r="I13" s="18">
        <f t="shared" si="0"/>
        <v>44986</v>
      </c>
      <c r="J13" s="15" t="str">
        <f>VLOOKUP(Table2[[#This Row],[Store ID]],Table4[[Store ID]:[Store Location]],2)</f>
        <v>Birmingham</v>
      </c>
    </row>
    <row r="14" spans="1:10" ht="14.25" customHeight="1" x14ac:dyDescent="0.25">
      <c r="A14" s="1" t="s">
        <v>160</v>
      </c>
      <c r="B14" s="1" t="s">
        <v>48</v>
      </c>
      <c r="C14" s="14">
        <v>50804</v>
      </c>
      <c r="D14" s="14">
        <v>24333</v>
      </c>
      <c r="E14" s="14">
        <v>7378</v>
      </c>
      <c r="F14" s="14">
        <v>12769</v>
      </c>
      <c r="G14" s="14">
        <v>7035</v>
      </c>
      <c r="H14" s="15">
        <f>SUM(Table2[[#This Row],[Staff Cost]:[Logistics Cost]])</f>
        <v>102319</v>
      </c>
      <c r="I14" s="18">
        <f t="shared" si="0"/>
        <v>44986</v>
      </c>
      <c r="J14" s="15" t="str">
        <f>VLOOKUP(Table2[[#This Row],[Store ID]],Table4[[Store ID]:[Store Location]],2)</f>
        <v>London Stratford</v>
      </c>
    </row>
    <row r="15" spans="1:10" ht="14.25" customHeight="1" x14ac:dyDescent="0.25">
      <c r="A15" s="1" t="s">
        <v>160</v>
      </c>
      <c r="B15" s="1" t="s">
        <v>52</v>
      </c>
      <c r="C15" s="14">
        <v>46129</v>
      </c>
      <c r="D15" s="14">
        <v>25829</v>
      </c>
      <c r="E15" s="14">
        <v>6114</v>
      </c>
      <c r="F15" s="14">
        <v>10929</v>
      </c>
      <c r="G15" s="14">
        <v>6692</v>
      </c>
      <c r="H15" s="15">
        <f>SUM(Table2[[#This Row],[Staff Cost]:[Logistics Cost]])</f>
        <v>95693</v>
      </c>
      <c r="I15" s="18">
        <f t="shared" si="0"/>
        <v>44986</v>
      </c>
      <c r="J15" s="15" t="str">
        <f>VLOOKUP(Table2[[#This Row],[Store ID]],Table4[[Store ID]:[Store Location]],2)</f>
        <v>Glasgow</v>
      </c>
    </row>
    <row r="16" spans="1:10" ht="14.25" customHeight="1" x14ac:dyDescent="0.25">
      <c r="A16" s="1" t="s">
        <v>160</v>
      </c>
      <c r="B16" s="1" t="s">
        <v>56</v>
      </c>
      <c r="C16" s="14">
        <v>46913</v>
      </c>
      <c r="D16" s="14">
        <v>23925</v>
      </c>
      <c r="E16" s="14">
        <v>6889</v>
      </c>
      <c r="F16" s="14">
        <v>12646</v>
      </c>
      <c r="G16" s="14">
        <v>7905</v>
      </c>
      <c r="H16" s="15">
        <f>SUM(Table2[[#This Row],[Staff Cost]:[Logistics Cost]])</f>
        <v>98278</v>
      </c>
      <c r="I16" s="18">
        <f t="shared" si="0"/>
        <v>45017</v>
      </c>
      <c r="J16" s="15" t="str">
        <f>VLOOKUP(Table2[[#This Row],[Store ID]],Table4[[Store ID]:[Store Location]],2)</f>
        <v>Leeds</v>
      </c>
    </row>
    <row r="17" spans="1:10" ht="14.25" customHeight="1" x14ac:dyDescent="0.25">
      <c r="A17" s="1" t="s">
        <v>206</v>
      </c>
      <c r="B17" s="1" t="s">
        <v>40</v>
      </c>
      <c r="C17" s="14">
        <v>47267</v>
      </c>
      <c r="D17" s="14">
        <v>24201</v>
      </c>
      <c r="E17" s="14">
        <v>6294</v>
      </c>
      <c r="F17" s="14">
        <v>10777</v>
      </c>
      <c r="G17" s="14">
        <v>6720</v>
      </c>
      <c r="H17" s="15">
        <f>SUM(Table2[[#This Row],[Staff Cost]:[Logistics Cost]])</f>
        <v>95259</v>
      </c>
      <c r="I17" s="18">
        <f t="shared" si="0"/>
        <v>45017</v>
      </c>
      <c r="J17" s="15" t="str">
        <f>VLOOKUP(Table2[[#This Row],[Store ID]],Table4[[Store ID]:[Store Location]],2)</f>
        <v>Manchester</v>
      </c>
    </row>
    <row r="18" spans="1:10" ht="14.25" customHeight="1" x14ac:dyDescent="0.25">
      <c r="A18" s="1" t="s">
        <v>206</v>
      </c>
      <c r="B18" s="1" t="s">
        <v>44</v>
      </c>
      <c r="C18" s="14">
        <v>51283</v>
      </c>
      <c r="D18" s="14">
        <v>23233</v>
      </c>
      <c r="E18" s="14">
        <v>6921</v>
      </c>
      <c r="F18" s="14">
        <v>12538</v>
      </c>
      <c r="G18" s="14">
        <v>6674</v>
      </c>
      <c r="H18" s="15">
        <f>SUM(Table2[[#This Row],[Staff Cost]:[Logistics Cost]])</f>
        <v>100649</v>
      </c>
      <c r="I18" s="18">
        <f t="shared" si="0"/>
        <v>45017</v>
      </c>
      <c r="J18" s="15" t="str">
        <f>VLOOKUP(Table2[[#This Row],[Store ID]],Table4[[Store ID]:[Store Location]],2)</f>
        <v>Birmingham</v>
      </c>
    </row>
    <row r="19" spans="1:10" ht="14.25" customHeight="1" x14ac:dyDescent="0.25">
      <c r="A19" s="1" t="s">
        <v>206</v>
      </c>
      <c r="B19" s="1" t="s">
        <v>48</v>
      </c>
      <c r="C19" s="14">
        <v>54765</v>
      </c>
      <c r="D19" s="14">
        <v>23256</v>
      </c>
      <c r="E19" s="14">
        <v>6843</v>
      </c>
      <c r="F19" s="14">
        <v>17876</v>
      </c>
      <c r="G19" s="14">
        <v>6618</v>
      </c>
      <c r="H19" s="15">
        <f>SUM(Table2[[#This Row],[Staff Cost]:[Logistics Cost]])</f>
        <v>109358</v>
      </c>
      <c r="I19" s="18">
        <f t="shared" si="0"/>
        <v>45017</v>
      </c>
      <c r="J19" s="15" t="str">
        <f>VLOOKUP(Table2[[#This Row],[Store ID]],Table4[[Store ID]:[Store Location]],2)</f>
        <v>London Stratford</v>
      </c>
    </row>
    <row r="20" spans="1:10" ht="14.25" customHeight="1" x14ac:dyDescent="0.25">
      <c r="A20" s="1" t="s">
        <v>206</v>
      </c>
      <c r="B20" s="1" t="s">
        <v>52</v>
      </c>
      <c r="C20" s="14">
        <v>54555</v>
      </c>
      <c r="D20" s="14">
        <v>23015</v>
      </c>
      <c r="E20" s="14">
        <v>7515</v>
      </c>
      <c r="F20" s="14">
        <v>15820</v>
      </c>
      <c r="G20" s="14">
        <v>7144</v>
      </c>
      <c r="H20" s="15">
        <f>SUM(Table2[[#This Row],[Staff Cost]:[Logistics Cost]])</f>
        <v>108049</v>
      </c>
      <c r="I20" s="18">
        <f t="shared" si="0"/>
        <v>45017</v>
      </c>
      <c r="J20" s="15" t="str">
        <f>VLOOKUP(Table2[[#This Row],[Store ID]],Table4[[Store ID]:[Store Location]],2)</f>
        <v>Glasgow</v>
      </c>
    </row>
    <row r="21" spans="1:10" ht="14.25" customHeight="1" x14ac:dyDescent="0.25">
      <c r="A21" s="1" t="s">
        <v>206</v>
      </c>
      <c r="B21" s="1" t="s">
        <v>56</v>
      </c>
      <c r="C21" s="14">
        <v>50308</v>
      </c>
      <c r="D21" s="14">
        <v>25636</v>
      </c>
      <c r="E21" s="14">
        <v>7184</v>
      </c>
      <c r="F21" s="14">
        <v>15814</v>
      </c>
      <c r="G21" s="14">
        <v>7088</v>
      </c>
      <c r="H21" s="15">
        <f>SUM(Table2[[#This Row],[Staff Cost]:[Logistics Cost]])</f>
        <v>106030</v>
      </c>
      <c r="I21" s="18">
        <f t="shared" si="0"/>
        <v>45047</v>
      </c>
      <c r="J21" s="15" t="str">
        <f>VLOOKUP(Table2[[#This Row],[Store ID]],Table4[[Store ID]:[Store Location]],2)</f>
        <v>Leeds</v>
      </c>
    </row>
    <row r="22" spans="1:10" ht="14.25" customHeight="1" x14ac:dyDescent="0.25">
      <c r="A22" s="1" t="s">
        <v>252</v>
      </c>
      <c r="B22" s="1" t="s">
        <v>40</v>
      </c>
      <c r="C22" s="14">
        <v>50509</v>
      </c>
      <c r="D22" s="14">
        <v>25695</v>
      </c>
      <c r="E22" s="14">
        <v>6062</v>
      </c>
      <c r="F22" s="14">
        <v>10485</v>
      </c>
      <c r="G22" s="14">
        <v>7094</v>
      </c>
      <c r="H22" s="15">
        <f>SUM(Table2[[#This Row],[Staff Cost]:[Logistics Cost]])</f>
        <v>99845</v>
      </c>
      <c r="I22" s="18">
        <f t="shared" si="0"/>
        <v>45047</v>
      </c>
      <c r="J22" s="15" t="str">
        <f>VLOOKUP(Table2[[#This Row],[Store ID]],Table4[[Store ID]:[Store Location]],2)</f>
        <v>Manchester</v>
      </c>
    </row>
    <row r="23" spans="1:10" ht="14.25" customHeight="1" x14ac:dyDescent="0.25">
      <c r="A23" s="1" t="s">
        <v>252</v>
      </c>
      <c r="B23" s="1" t="s">
        <v>44</v>
      </c>
      <c r="C23" s="14">
        <v>45206</v>
      </c>
      <c r="D23" s="14">
        <v>22549</v>
      </c>
      <c r="E23" s="14">
        <v>8913</v>
      </c>
      <c r="F23" s="14">
        <v>16805</v>
      </c>
      <c r="G23" s="14">
        <v>8718</v>
      </c>
      <c r="H23" s="15">
        <f>SUM(Table2[[#This Row],[Staff Cost]:[Logistics Cost]])</f>
        <v>102191</v>
      </c>
      <c r="I23" s="18">
        <f t="shared" si="0"/>
        <v>45047</v>
      </c>
      <c r="J23" s="15" t="str">
        <f>VLOOKUP(Table2[[#This Row],[Store ID]],Table4[[Store ID]:[Store Location]],2)</f>
        <v>Birmingham</v>
      </c>
    </row>
    <row r="24" spans="1:10" ht="14.25" customHeight="1" x14ac:dyDescent="0.25">
      <c r="A24" s="1" t="s">
        <v>252</v>
      </c>
      <c r="B24" s="1" t="s">
        <v>48</v>
      </c>
      <c r="C24" s="14">
        <v>50307</v>
      </c>
      <c r="D24" s="14">
        <v>22681</v>
      </c>
      <c r="E24" s="14">
        <v>7533</v>
      </c>
      <c r="F24" s="14">
        <v>15093</v>
      </c>
      <c r="G24" s="14">
        <v>7900</v>
      </c>
      <c r="H24" s="15">
        <f>SUM(Table2[[#This Row],[Staff Cost]:[Logistics Cost]])</f>
        <v>103514</v>
      </c>
      <c r="I24" s="18">
        <f t="shared" si="0"/>
        <v>45047</v>
      </c>
      <c r="J24" s="15" t="str">
        <f>VLOOKUP(Table2[[#This Row],[Store ID]],Table4[[Store ID]:[Store Location]],2)</f>
        <v>London Stratford</v>
      </c>
    </row>
    <row r="25" spans="1:10" ht="14.25" customHeight="1" x14ac:dyDescent="0.25">
      <c r="A25" s="1" t="s">
        <v>252</v>
      </c>
      <c r="B25" s="1" t="s">
        <v>52</v>
      </c>
      <c r="C25" s="14">
        <v>48288</v>
      </c>
      <c r="D25" s="14">
        <v>25950</v>
      </c>
      <c r="E25" s="14">
        <v>6680</v>
      </c>
      <c r="F25" s="14">
        <v>10702</v>
      </c>
      <c r="G25" s="14">
        <v>8027</v>
      </c>
      <c r="H25" s="15">
        <f>SUM(Table2[[#This Row],[Staff Cost]:[Logistics Cost]])</f>
        <v>99647</v>
      </c>
      <c r="I25" s="18">
        <f t="shared" si="0"/>
        <v>45047</v>
      </c>
      <c r="J25" s="15" t="str">
        <f>VLOOKUP(Table2[[#This Row],[Store ID]],Table4[[Store ID]:[Store Location]],2)</f>
        <v>Glasgow</v>
      </c>
    </row>
    <row r="26" spans="1:10" ht="14.25" customHeight="1" x14ac:dyDescent="0.25">
      <c r="A26" s="1" t="s">
        <v>252</v>
      </c>
      <c r="B26" s="1" t="s">
        <v>56</v>
      </c>
      <c r="C26" s="14">
        <v>47796</v>
      </c>
      <c r="D26" s="14">
        <v>25686</v>
      </c>
      <c r="E26" s="14">
        <v>7912</v>
      </c>
      <c r="F26" s="14">
        <v>12294</v>
      </c>
      <c r="G26" s="14">
        <v>6679</v>
      </c>
      <c r="H26" s="15">
        <f>SUM(Table2[[#This Row],[Staff Cost]:[Logistics Cost]])</f>
        <v>100367</v>
      </c>
      <c r="I26" s="18">
        <f t="shared" si="0"/>
        <v>45078</v>
      </c>
      <c r="J26" s="15" t="str">
        <f>VLOOKUP(Table2[[#This Row],[Store ID]],Table4[[Store ID]:[Store Location]],2)</f>
        <v>Leeds</v>
      </c>
    </row>
    <row r="27" spans="1:10" ht="14.25" customHeight="1" x14ac:dyDescent="0.25">
      <c r="A27" s="1" t="s">
        <v>298</v>
      </c>
      <c r="B27" s="1" t="s">
        <v>40</v>
      </c>
      <c r="C27" s="14">
        <v>52896</v>
      </c>
      <c r="D27" s="14">
        <v>23001</v>
      </c>
      <c r="E27" s="14">
        <v>7835</v>
      </c>
      <c r="F27" s="14">
        <v>12553</v>
      </c>
      <c r="G27" s="14">
        <v>7436</v>
      </c>
      <c r="H27" s="15">
        <f>SUM(Table2[[#This Row],[Staff Cost]:[Logistics Cost]])</f>
        <v>103721</v>
      </c>
      <c r="I27" s="18">
        <f t="shared" si="0"/>
        <v>45078</v>
      </c>
      <c r="J27" s="15" t="str">
        <f>VLOOKUP(Table2[[#This Row],[Store ID]],Table4[[Store ID]:[Store Location]],2)</f>
        <v>Manchester</v>
      </c>
    </row>
    <row r="28" spans="1:10" ht="14.25" customHeight="1" x14ac:dyDescent="0.25">
      <c r="A28" s="1" t="s">
        <v>298</v>
      </c>
      <c r="B28" s="1" t="s">
        <v>44</v>
      </c>
      <c r="C28" s="14">
        <v>48434</v>
      </c>
      <c r="D28" s="14">
        <v>25743</v>
      </c>
      <c r="E28" s="14">
        <v>6985</v>
      </c>
      <c r="F28" s="14">
        <v>10854</v>
      </c>
      <c r="G28" s="14">
        <v>8701</v>
      </c>
      <c r="H28" s="15">
        <f>SUM(Table2[[#This Row],[Staff Cost]:[Logistics Cost]])</f>
        <v>100717</v>
      </c>
      <c r="I28" s="18">
        <f t="shared" si="0"/>
        <v>45078</v>
      </c>
      <c r="J28" s="15" t="str">
        <f>VLOOKUP(Table2[[#This Row],[Store ID]],Table4[[Store ID]:[Store Location]],2)</f>
        <v>Birmingham</v>
      </c>
    </row>
    <row r="29" spans="1:10" ht="14.25" customHeight="1" x14ac:dyDescent="0.25">
      <c r="A29" s="1" t="s">
        <v>298</v>
      </c>
      <c r="B29" s="1" t="s">
        <v>48</v>
      </c>
      <c r="C29" s="14">
        <v>49382</v>
      </c>
      <c r="D29" s="14">
        <v>22438</v>
      </c>
      <c r="E29" s="14">
        <v>7993</v>
      </c>
      <c r="F29" s="14">
        <v>16331</v>
      </c>
      <c r="G29" s="14">
        <v>6942</v>
      </c>
      <c r="H29" s="15">
        <f>SUM(Table2[[#This Row],[Staff Cost]:[Logistics Cost]])</f>
        <v>103086</v>
      </c>
      <c r="I29" s="18">
        <f t="shared" si="0"/>
        <v>45078</v>
      </c>
      <c r="J29" s="15" t="str">
        <f>VLOOKUP(Table2[[#This Row],[Store ID]],Table4[[Store ID]:[Store Location]],2)</f>
        <v>London Stratford</v>
      </c>
    </row>
    <row r="30" spans="1:10" ht="14.25" customHeight="1" x14ac:dyDescent="0.25">
      <c r="A30" s="1" t="s">
        <v>298</v>
      </c>
      <c r="B30" s="1" t="s">
        <v>52</v>
      </c>
      <c r="C30" s="14">
        <v>53826</v>
      </c>
      <c r="D30" s="14">
        <v>22876</v>
      </c>
      <c r="E30" s="14">
        <v>7073</v>
      </c>
      <c r="F30" s="14">
        <v>15578</v>
      </c>
      <c r="G30" s="14">
        <v>7281</v>
      </c>
      <c r="H30" s="15">
        <f>SUM(Table2[[#This Row],[Staff Cost]:[Logistics Cost]])</f>
        <v>106634</v>
      </c>
      <c r="I30" s="18">
        <f t="shared" si="0"/>
        <v>45078</v>
      </c>
      <c r="J30" s="15" t="str">
        <f>VLOOKUP(Table2[[#This Row],[Store ID]],Table4[[Store ID]:[Store Location]],2)</f>
        <v>Glasgow</v>
      </c>
    </row>
    <row r="31" spans="1:10" ht="14.25" customHeight="1" x14ac:dyDescent="0.25">
      <c r="A31" s="1" t="s">
        <v>298</v>
      </c>
      <c r="B31" s="1" t="s">
        <v>56</v>
      </c>
      <c r="C31" s="14">
        <v>50170</v>
      </c>
      <c r="D31" s="14">
        <v>24010</v>
      </c>
      <c r="E31" s="14">
        <v>7202</v>
      </c>
      <c r="F31" s="14">
        <v>14898</v>
      </c>
      <c r="G31" s="14">
        <v>8948</v>
      </c>
      <c r="H31" s="15">
        <f>SUM(Table2[[#This Row],[Staff Cost]:[Logistics Cost]])</f>
        <v>105228</v>
      </c>
      <c r="I31" s="18">
        <f t="shared" si="0"/>
        <v>45108</v>
      </c>
      <c r="J31" s="15" t="str">
        <f>VLOOKUP(Table2[[#This Row],[Store ID]],Table4[[Store ID]:[Store Location]],2)</f>
        <v>Leeds</v>
      </c>
    </row>
    <row r="32" spans="1:10" ht="14.25" customHeight="1" x14ac:dyDescent="0.25">
      <c r="A32" s="1" t="s">
        <v>344</v>
      </c>
      <c r="B32" s="1" t="s">
        <v>40</v>
      </c>
      <c r="C32" s="14">
        <v>47112</v>
      </c>
      <c r="D32" s="14">
        <v>24502</v>
      </c>
      <c r="E32" s="14">
        <v>7816</v>
      </c>
      <c r="F32" s="14">
        <v>17718</v>
      </c>
      <c r="G32" s="14">
        <v>7382</v>
      </c>
      <c r="H32" s="15">
        <f>SUM(Table2[[#This Row],[Staff Cost]:[Logistics Cost]])</f>
        <v>104530</v>
      </c>
      <c r="I32" s="18">
        <f t="shared" si="0"/>
        <v>45108</v>
      </c>
      <c r="J32" s="15" t="str">
        <f>VLOOKUP(Table2[[#This Row],[Store ID]],Table4[[Store ID]:[Store Location]],2)</f>
        <v>Manchester</v>
      </c>
    </row>
    <row r="33" spans="1:10" ht="14.25" customHeight="1" x14ac:dyDescent="0.25">
      <c r="A33" s="1" t="s">
        <v>344</v>
      </c>
      <c r="B33" s="1" t="s">
        <v>44</v>
      </c>
      <c r="C33" s="14">
        <v>47385</v>
      </c>
      <c r="D33" s="14">
        <v>22601</v>
      </c>
      <c r="E33" s="14">
        <v>7771</v>
      </c>
      <c r="F33" s="14">
        <v>12167</v>
      </c>
      <c r="G33" s="14">
        <v>7434</v>
      </c>
      <c r="H33" s="15">
        <f>SUM(Table2[[#This Row],[Staff Cost]:[Logistics Cost]])</f>
        <v>97358</v>
      </c>
      <c r="I33" s="18">
        <f t="shared" si="0"/>
        <v>45108</v>
      </c>
      <c r="J33" s="15" t="str">
        <f>VLOOKUP(Table2[[#This Row],[Store ID]],Table4[[Store ID]:[Store Location]],2)</f>
        <v>Birmingham</v>
      </c>
    </row>
    <row r="34" spans="1:10" ht="14.25" customHeight="1" x14ac:dyDescent="0.25">
      <c r="A34" s="1" t="s">
        <v>344</v>
      </c>
      <c r="B34" s="1" t="s">
        <v>48</v>
      </c>
      <c r="C34" s="14">
        <v>51565</v>
      </c>
      <c r="D34" s="14">
        <v>22148</v>
      </c>
      <c r="E34" s="14">
        <v>6311</v>
      </c>
      <c r="F34" s="14">
        <v>17948</v>
      </c>
      <c r="G34" s="14">
        <v>8176</v>
      </c>
      <c r="H34" s="15">
        <f>SUM(Table2[[#This Row],[Staff Cost]:[Logistics Cost]])</f>
        <v>106148</v>
      </c>
      <c r="I34" s="18">
        <f t="shared" ref="I34:I65" si="1">DATE(YEAR(DATEVALUE(A35)),MONTH(DATEVALUE(A35)),1)</f>
        <v>45108</v>
      </c>
      <c r="J34" s="15" t="str">
        <f>VLOOKUP(Table2[[#This Row],[Store ID]],Table4[[Store ID]:[Store Location]],2)</f>
        <v>London Stratford</v>
      </c>
    </row>
    <row r="35" spans="1:10" ht="14.25" customHeight="1" x14ac:dyDescent="0.25">
      <c r="A35" s="1" t="s">
        <v>344</v>
      </c>
      <c r="B35" s="1" t="s">
        <v>52</v>
      </c>
      <c r="C35" s="14">
        <v>50420</v>
      </c>
      <c r="D35" s="14">
        <v>24339</v>
      </c>
      <c r="E35" s="14">
        <v>7061</v>
      </c>
      <c r="F35" s="14">
        <v>14572</v>
      </c>
      <c r="G35" s="14">
        <v>6660</v>
      </c>
      <c r="H35" s="15">
        <f>SUM(Table2[[#This Row],[Staff Cost]:[Logistics Cost]])</f>
        <v>103052</v>
      </c>
      <c r="I35" s="18">
        <f t="shared" si="1"/>
        <v>45108</v>
      </c>
      <c r="J35" s="15" t="str">
        <f>VLOOKUP(Table2[[#This Row],[Store ID]],Table4[[Store ID]:[Store Location]],2)</f>
        <v>Glasgow</v>
      </c>
    </row>
    <row r="36" spans="1:10" ht="14.25" customHeight="1" x14ac:dyDescent="0.25">
      <c r="A36" s="1" t="s">
        <v>344</v>
      </c>
      <c r="B36" s="1" t="s">
        <v>56</v>
      </c>
      <c r="C36" s="14">
        <v>49938</v>
      </c>
      <c r="D36" s="14">
        <v>24713</v>
      </c>
      <c r="E36" s="14">
        <v>7194</v>
      </c>
      <c r="F36" s="14">
        <v>12876</v>
      </c>
      <c r="G36" s="14">
        <v>6126</v>
      </c>
      <c r="H36" s="15">
        <f>SUM(Table2[[#This Row],[Staff Cost]:[Logistics Cost]])</f>
        <v>100847</v>
      </c>
      <c r="I36" s="18">
        <f t="shared" si="1"/>
        <v>45139</v>
      </c>
      <c r="J36" s="15" t="str">
        <f>VLOOKUP(Table2[[#This Row],[Store ID]],Table4[[Store ID]:[Store Location]],2)</f>
        <v>Leeds</v>
      </c>
    </row>
    <row r="37" spans="1:10" ht="14.25" customHeight="1" x14ac:dyDescent="0.25">
      <c r="A37" s="1" t="s">
        <v>390</v>
      </c>
      <c r="B37" s="1" t="s">
        <v>40</v>
      </c>
      <c r="C37" s="14">
        <v>47539</v>
      </c>
      <c r="D37" s="14">
        <v>25288</v>
      </c>
      <c r="E37" s="14">
        <v>8899</v>
      </c>
      <c r="F37" s="14">
        <v>10611</v>
      </c>
      <c r="G37" s="14">
        <v>7256</v>
      </c>
      <c r="H37" s="15">
        <f>SUM(Table2[[#This Row],[Staff Cost]:[Logistics Cost]])</f>
        <v>99593</v>
      </c>
      <c r="I37" s="18">
        <f t="shared" si="1"/>
        <v>45139</v>
      </c>
      <c r="J37" s="15" t="str">
        <f>VLOOKUP(Table2[[#This Row],[Store ID]],Table4[[Store ID]:[Store Location]],2)</f>
        <v>Manchester</v>
      </c>
    </row>
    <row r="38" spans="1:10" ht="14.25" customHeight="1" x14ac:dyDescent="0.25">
      <c r="A38" s="1" t="s">
        <v>390</v>
      </c>
      <c r="B38" s="1" t="s">
        <v>44</v>
      </c>
      <c r="C38" s="14">
        <v>50328</v>
      </c>
      <c r="D38" s="14">
        <v>24472</v>
      </c>
      <c r="E38" s="14">
        <v>8766</v>
      </c>
      <c r="F38" s="14">
        <v>14559</v>
      </c>
      <c r="G38" s="14">
        <v>8566</v>
      </c>
      <c r="H38" s="15">
        <f>SUM(Table2[[#This Row],[Staff Cost]:[Logistics Cost]])</f>
        <v>106691</v>
      </c>
      <c r="I38" s="18">
        <f t="shared" si="1"/>
        <v>45139</v>
      </c>
      <c r="J38" s="15" t="str">
        <f>VLOOKUP(Table2[[#This Row],[Store ID]],Table4[[Store ID]:[Store Location]],2)</f>
        <v>Birmingham</v>
      </c>
    </row>
    <row r="39" spans="1:10" ht="14.25" customHeight="1" x14ac:dyDescent="0.25">
      <c r="A39" s="1" t="s">
        <v>390</v>
      </c>
      <c r="B39" s="1" t="s">
        <v>48</v>
      </c>
      <c r="C39" s="14">
        <v>53806</v>
      </c>
      <c r="D39" s="14">
        <v>23136</v>
      </c>
      <c r="E39" s="14">
        <v>8974</v>
      </c>
      <c r="F39" s="14">
        <v>10570</v>
      </c>
      <c r="G39" s="14">
        <v>6113</v>
      </c>
      <c r="H39" s="15">
        <f>SUM(Table2[[#This Row],[Staff Cost]:[Logistics Cost]])</f>
        <v>102599</v>
      </c>
      <c r="I39" s="18">
        <f t="shared" si="1"/>
        <v>45139</v>
      </c>
      <c r="J39" s="15" t="str">
        <f>VLOOKUP(Table2[[#This Row],[Store ID]],Table4[[Store ID]:[Store Location]],2)</f>
        <v>London Stratford</v>
      </c>
    </row>
    <row r="40" spans="1:10" ht="14.25" customHeight="1" x14ac:dyDescent="0.25">
      <c r="A40" s="1" t="s">
        <v>390</v>
      </c>
      <c r="B40" s="1" t="s">
        <v>52</v>
      </c>
      <c r="C40" s="14">
        <v>54787</v>
      </c>
      <c r="D40" s="14">
        <v>25014</v>
      </c>
      <c r="E40" s="14">
        <v>6608</v>
      </c>
      <c r="F40" s="14">
        <v>10159</v>
      </c>
      <c r="G40" s="14">
        <v>8605</v>
      </c>
      <c r="H40" s="15">
        <f>SUM(Table2[[#This Row],[Staff Cost]:[Logistics Cost]])</f>
        <v>105173</v>
      </c>
      <c r="I40" s="18">
        <f t="shared" si="1"/>
        <v>45139</v>
      </c>
      <c r="J40" s="15" t="str">
        <f>VLOOKUP(Table2[[#This Row],[Store ID]],Table4[[Store ID]:[Store Location]],2)</f>
        <v>Glasgow</v>
      </c>
    </row>
    <row r="41" spans="1:10" ht="14.25" customHeight="1" x14ac:dyDescent="0.25">
      <c r="A41" s="1" t="s">
        <v>390</v>
      </c>
      <c r="B41" s="1" t="s">
        <v>56</v>
      </c>
      <c r="C41" s="14">
        <v>47708</v>
      </c>
      <c r="D41" s="14">
        <v>23128</v>
      </c>
      <c r="E41" s="14">
        <v>8221</v>
      </c>
      <c r="F41" s="14">
        <v>14874</v>
      </c>
      <c r="G41" s="14">
        <v>7125</v>
      </c>
      <c r="H41" s="15">
        <f>SUM(Table2[[#This Row],[Staff Cost]:[Logistics Cost]])</f>
        <v>101056</v>
      </c>
      <c r="I41" s="18">
        <f t="shared" si="1"/>
        <v>45170</v>
      </c>
      <c r="J41" s="15" t="str">
        <f>VLOOKUP(Table2[[#This Row],[Store ID]],Table4[[Store ID]:[Store Location]],2)</f>
        <v>Leeds</v>
      </c>
    </row>
    <row r="42" spans="1:10" ht="14.25" customHeight="1" x14ac:dyDescent="0.25">
      <c r="A42" s="1" t="s">
        <v>436</v>
      </c>
      <c r="B42" s="1" t="s">
        <v>40</v>
      </c>
      <c r="C42" s="14">
        <v>51462</v>
      </c>
      <c r="D42" s="14">
        <v>25292</v>
      </c>
      <c r="E42" s="14">
        <v>6450</v>
      </c>
      <c r="F42" s="14">
        <v>11966</v>
      </c>
      <c r="G42" s="14">
        <v>8786</v>
      </c>
      <c r="H42" s="15">
        <f>SUM(Table2[[#This Row],[Staff Cost]:[Logistics Cost]])</f>
        <v>103956</v>
      </c>
      <c r="I42" s="18">
        <f t="shared" si="1"/>
        <v>45170</v>
      </c>
      <c r="J42" s="15" t="str">
        <f>VLOOKUP(Table2[[#This Row],[Store ID]],Table4[[Store ID]:[Store Location]],2)</f>
        <v>Manchester</v>
      </c>
    </row>
    <row r="43" spans="1:10" ht="14.25" customHeight="1" x14ac:dyDescent="0.25">
      <c r="A43" s="1" t="s">
        <v>436</v>
      </c>
      <c r="B43" s="1" t="s">
        <v>44</v>
      </c>
      <c r="C43" s="14">
        <v>51948</v>
      </c>
      <c r="D43" s="14">
        <v>22230</v>
      </c>
      <c r="E43" s="14">
        <v>6522</v>
      </c>
      <c r="F43" s="14">
        <v>14790</v>
      </c>
      <c r="G43" s="14">
        <v>7864</v>
      </c>
      <c r="H43" s="15">
        <f>SUM(Table2[[#This Row],[Staff Cost]:[Logistics Cost]])</f>
        <v>103354</v>
      </c>
      <c r="I43" s="18">
        <f t="shared" si="1"/>
        <v>45170</v>
      </c>
      <c r="J43" s="15" t="str">
        <f>VLOOKUP(Table2[[#This Row],[Store ID]],Table4[[Store ID]:[Store Location]],2)</f>
        <v>Birmingham</v>
      </c>
    </row>
    <row r="44" spans="1:10" ht="14.25" customHeight="1" x14ac:dyDescent="0.25">
      <c r="A44" s="1" t="s">
        <v>436</v>
      </c>
      <c r="B44" s="1" t="s">
        <v>48</v>
      </c>
      <c r="C44" s="14">
        <v>50840</v>
      </c>
      <c r="D44" s="14">
        <v>25938</v>
      </c>
      <c r="E44" s="14">
        <v>6689</v>
      </c>
      <c r="F44" s="14">
        <v>14580</v>
      </c>
      <c r="G44" s="14">
        <v>7270</v>
      </c>
      <c r="H44" s="15">
        <f>SUM(Table2[[#This Row],[Staff Cost]:[Logistics Cost]])</f>
        <v>105317</v>
      </c>
      <c r="I44" s="18">
        <f t="shared" si="1"/>
        <v>45170</v>
      </c>
      <c r="J44" s="15" t="str">
        <f>VLOOKUP(Table2[[#This Row],[Store ID]],Table4[[Store ID]:[Store Location]],2)</f>
        <v>London Stratford</v>
      </c>
    </row>
    <row r="45" spans="1:10" ht="14.25" customHeight="1" x14ac:dyDescent="0.25">
      <c r="A45" s="1" t="s">
        <v>436</v>
      </c>
      <c r="B45" s="1" t="s">
        <v>52</v>
      </c>
      <c r="C45" s="14">
        <v>45217</v>
      </c>
      <c r="D45" s="14">
        <v>24855</v>
      </c>
      <c r="E45" s="14">
        <v>6341</v>
      </c>
      <c r="F45" s="14">
        <v>17608</v>
      </c>
      <c r="G45" s="14">
        <v>6048</v>
      </c>
      <c r="H45" s="15">
        <f>SUM(Table2[[#This Row],[Staff Cost]:[Logistics Cost]])</f>
        <v>100069</v>
      </c>
      <c r="I45" s="18">
        <f t="shared" si="1"/>
        <v>45170</v>
      </c>
      <c r="J45" s="15" t="str">
        <f>VLOOKUP(Table2[[#This Row],[Store ID]],Table4[[Store ID]:[Store Location]],2)</f>
        <v>Glasgow</v>
      </c>
    </row>
    <row r="46" spans="1:10" ht="14.25" customHeight="1" x14ac:dyDescent="0.25">
      <c r="A46" s="1" t="s">
        <v>436</v>
      </c>
      <c r="B46" s="1" t="s">
        <v>56</v>
      </c>
      <c r="C46" s="14">
        <v>47161</v>
      </c>
      <c r="D46" s="14">
        <v>24705</v>
      </c>
      <c r="E46" s="14">
        <v>6929</v>
      </c>
      <c r="F46" s="14">
        <v>10363</v>
      </c>
      <c r="G46" s="14">
        <v>7898</v>
      </c>
      <c r="H46" s="15">
        <f>SUM(Table2[[#This Row],[Staff Cost]:[Logistics Cost]])</f>
        <v>97056</v>
      </c>
      <c r="I46" s="18">
        <f t="shared" si="1"/>
        <v>45200</v>
      </c>
      <c r="J46" s="15" t="str">
        <f>VLOOKUP(Table2[[#This Row],[Store ID]],Table4[[Store ID]:[Store Location]],2)</f>
        <v>Leeds</v>
      </c>
    </row>
    <row r="47" spans="1:10" ht="14.25" customHeight="1" x14ac:dyDescent="0.25">
      <c r="A47" s="1" t="s">
        <v>482</v>
      </c>
      <c r="B47" s="1" t="s">
        <v>40</v>
      </c>
      <c r="C47" s="14">
        <v>52893</v>
      </c>
      <c r="D47" s="14">
        <v>22392</v>
      </c>
      <c r="E47" s="14">
        <v>8880</v>
      </c>
      <c r="F47" s="14">
        <v>15914</v>
      </c>
      <c r="G47" s="14">
        <v>6245</v>
      </c>
      <c r="H47" s="15">
        <f>SUM(Table2[[#This Row],[Staff Cost]:[Logistics Cost]])</f>
        <v>106324</v>
      </c>
      <c r="I47" s="18">
        <f t="shared" si="1"/>
        <v>45200</v>
      </c>
      <c r="J47" s="15" t="str">
        <f>VLOOKUP(Table2[[#This Row],[Store ID]],Table4[[Store ID]:[Store Location]],2)</f>
        <v>Manchester</v>
      </c>
    </row>
    <row r="48" spans="1:10" ht="14.25" customHeight="1" x14ac:dyDescent="0.25">
      <c r="A48" s="1" t="s">
        <v>482</v>
      </c>
      <c r="B48" s="1" t="s">
        <v>44</v>
      </c>
      <c r="C48" s="14">
        <v>49226</v>
      </c>
      <c r="D48" s="14">
        <v>24630</v>
      </c>
      <c r="E48" s="14">
        <v>7172</v>
      </c>
      <c r="F48" s="14">
        <v>16535</v>
      </c>
      <c r="G48" s="14">
        <v>6805</v>
      </c>
      <c r="H48" s="15">
        <f>SUM(Table2[[#This Row],[Staff Cost]:[Logistics Cost]])</f>
        <v>104368</v>
      </c>
      <c r="I48" s="18">
        <f t="shared" si="1"/>
        <v>45200</v>
      </c>
      <c r="J48" s="15" t="str">
        <f>VLOOKUP(Table2[[#This Row],[Store ID]],Table4[[Store ID]:[Store Location]],2)</f>
        <v>Birmingham</v>
      </c>
    </row>
    <row r="49" spans="1:10" ht="14.25" customHeight="1" x14ac:dyDescent="0.25">
      <c r="A49" s="1" t="s">
        <v>482</v>
      </c>
      <c r="B49" s="1" t="s">
        <v>48</v>
      </c>
      <c r="C49" s="14">
        <v>51868</v>
      </c>
      <c r="D49" s="14">
        <v>23242</v>
      </c>
      <c r="E49" s="14">
        <v>6541</v>
      </c>
      <c r="F49" s="14">
        <v>16558</v>
      </c>
      <c r="G49" s="14">
        <v>7031</v>
      </c>
      <c r="H49" s="15">
        <f>SUM(Table2[[#This Row],[Staff Cost]:[Logistics Cost]])</f>
        <v>105240</v>
      </c>
      <c r="I49" s="18">
        <f t="shared" si="1"/>
        <v>45200</v>
      </c>
      <c r="J49" s="15" t="str">
        <f>VLOOKUP(Table2[[#This Row],[Store ID]],Table4[[Store ID]:[Store Location]],2)</f>
        <v>London Stratford</v>
      </c>
    </row>
    <row r="50" spans="1:10" ht="14.25" customHeight="1" x14ac:dyDescent="0.25">
      <c r="A50" s="1" t="s">
        <v>482</v>
      </c>
      <c r="B50" s="1" t="s">
        <v>52</v>
      </c>
      <c r="C50" s="14">
        <v>48891</v>
      </c>
      <c r="D50" s="14">
        <v>24715</v>
      </c>
      <c r="E50" s="14">
        <v>7434</v>
      </c>
      <c r="F50" s="14">
        <v>14868</v>
      </c>
      <c r="G50" s="14">
        <v>8716</v>
      </c>
      <c r="H50" s="15">
        <f>SUM(Table2[[#This Row],[Staff Cost]:[Logistics Cost]])</f>
        <v>104624</v>
      </c>
      <c r="I50" s="18">
        <f t="shared" si="1"/>
        <v>45200</v>
      </c>
      <c r="J50" s="15" t="str">
        <f>VLOOKUP(Table2[[#This Row],[Store ID]],Table4[[Store ID]:[Store Location]],2)</f>
        <v>Glasgow</v>
      </c>
    </row>
    <row r="51" spans="1:10" ht="14.25" customHeight="1" x14ac:dyDescent="0.25">
      <c r="A51" s="1" t="s">
        <v>482</v>
      </c>
      <c r="B51" s="1" t="s">
        <v>56</v>
      </c>
      <c r="C51" s="14">
        <v>49523</v>
      </c>
      <c r="D51" s="14">
        <v>25131</v>
      </c>
      <c r="E51" s="14">
        <v>6466</v>
      </c>
      <c r="F51" s="14">
        <v>16160</v>
      </c>
      <c r="G51" s="14">
        <v>8816</v>
      </c>
      <c r="H51" s="15">
        <f>SUM(Table2[[#This Row],[Staff Cost]:[Logistics Cost]])</f>
        <v>106096</v>
      </c>
      <c r="I51" s="18">
        <f t="shared" si="1"/>
        <v>45231</v>
      </c>
      <c r="J51" s="15" t="str">
        <f>VLOOKUP(Table2[[#This Row],[Store ID]],Table4[[Store ID]:[Store Location]],2)</f>
        <v>Leeds</v>
      </c>
    </row>
    <row r="52" spans="1:10" ht="14.25" customHeight="1" x14ac:dyDescent="0.25">
      <c r="A52" s="1" t="s">
        <v>528</v>
      </c>
      <c r="B52" s="1" t="s">
        <v>40</v>
      </c>
      <c r="C52" s="14">
        <v>51562</v>
      </c>
      <c r="D52" s="14">
        <v>22929</v>
      </c>
      <c r="E52" s="14">
        <v>7658</v>
      </c>
      <c r="F52" s="14">
        <v>14768</v>
      </c>
      <c r="G52" s="14">
        <v>7409</v>
      </c>
      <c r="H52" s="15">
        <f>SUM(Table2[[#This Row],[Staff Cost]:[Logistics Cost]])</f>
        <v>104326</v>
      </c>
      <c r="I52" s="18">
        <f t="shared" si="1"/>
        <v>45231</v>
      </c>
      <c r="J52" s="15" t="str">
        <f>VLOOKUP(Table2[[#This Row],[Store ID]],Table4[[Store ID]:[Store Location]],2)</f>
        <v>Manchester</v>
      </c>
    </row>
    <row r="53" spans="1:10" ht="14.25" customHeight="1" x14ac:dyDescent="0.25">
      <c r="A53" s="1" t="s">
        <v>528</v>
      </c>
      <c r="B53" s="1" t="s">
        <v>44</v>
      </c>
      <c r="C53" s="14">
        <v>46172</v>
      </c>
      <c r="D53" s="14">
        <v>23734</v>
      </c>
      <c r="E53" s="14">
        <v>6452</v>
      </c>
      <c r="F53" s="14">
        <v>11679</v>
      </c>
      <c r="G53" s="14">
        <v>6449</v>
      </c>
      <c r="H53" s="15">
        <f>SUM(Table2[[#This Row],[Staff Cost]:[Logistics Cost]])</f>
        <v>94486</v>
      </c>
      <c r="I53" s="18">
        <f t="shared" si="1"/>
        <v>45231</v>
      </c>
      <c r="J53" s="15" t="str">
        <f>VLOOKUP(Table2[[#This Row],[Store ID]],Table4[[Store ID]:[Store Location]],2)</f>
        <v>Birmingham</v>
      </c>
    </row>
    <row r="54" spans="1:10" ht="14.25" customHeight="1" x14ac:dyDescent="0.25">
      <c r="A54" s="1" t="s">
        <v>528</v>
      </c>
      <c r="B54" s="1" t="s">
        <v>48</v>
      </c>
      <c r="C54" s="14">
        <v>47790</v>
      </c>
      <c r="D54" s="14">
        <v>22959</v>
      </c>
      <c r="E54" s="14">
        <v>7422</v>
      </c>
      <c r="F54" s="14">
        <v>10022</v>
      </c>
      <c r="G54" s="14">
        <v>8316</v>
      </c>
      <c r="H54" s="15">
        <f>SUM(Table2[[#This Row],[Staff Cost]:[Logistics Cost]])</f>
        <v>96509</v>
      </c>
      <c r="I54" s="18">
        <f t="shared" si="1"/>
        <v>45231</v>
      </c>
      <c r="J54" s="15" t="str">
        <f>VLOOKUP(Table2[[#This Row],[Store ID]],Table4[[Store ID]:[Store Location]],2)</f>
        <v>London Stratford</v>
      </c>
    </row>
    <row r="55" spans="1:10" ht="14.25" customHeight="1" x14ac:dyDescent="0.25">
      <c r="A55" s="1" t="s">
        <v>528</v>
      </c>
      <c r="B55" s="1" t="s">
        <v>52</v>
      </c>
      <c r="C55" s="14">
        <v>51523</v>
      </c>
      <c r="D55" s="14">
        <v>23239</v>
      </c>
      <c r="E55" s="14">
        <v>8526</v>
      </c>
      <c r="F55" s="14">
        <v>15466</v>
      </c>
      <c r="G55" s="14">
        <v>6442</v>
      </c>
      <c r="H55" s="15">
        <f>SUM(Table2[[#This Row],[Staff Cost]:[Logistics Cost]])</f>
        <v>105196</v>
      </c>
      <c r="I55" s="18">
        <f t="shared" si="1"/>
        <v>45231</v>
      </c>
      <c r="J55" s="15" t="str">
        <f>VLOOKUP(Table2[[#This Row],[Store ID]],Table4[[Store ID]:[Store Location]],2)</f>
        <v>Glasgow</v>
      </c>
    </row>
    <row r="56" spans="1:10" ht="14.25" customHeight="1" x14ac:dyDescent="0.25">
      <c r="A56" s="1" t="s">
        <v>528</v>
      </c>
      <c r="B56" s="1" t="s">
        <v>56</v>
      </c>
      <c r="C56" s="14">
        <v>51398</v>
      </c>
      <c r="D56" s="14">
        <v>24572</v>
      </c>
      <c r="E56" s="14">
        <v>8223</v>
      </c>
      <c r="F56" s="14">
        <v>11131</v>
      </c>
      <c r="G56" s="14">
        <v>7124</v>
      </c>
      <c r="H56" s="15">
        <f>SUM(Table2[[#This Row],[Staff Cost]:[Logistics Cost]])</f>
        <v>102448</v>
      </c>
      <c r="I56" s="18">
        <f t="shared" si="1"/>
        <v>45261</v>
      </c>
      <c r="J56" s="15" t="str">
        <f>VLOOKUP(Table2[[#This Row],[Store ID]],Table4[[Store ID]:[Store Location]],2)</f>
        <v>Leeds</v>
      </c>
    </row>
    <row r="57" spans="1:10" ht="14.25" customHeight="1" x14ac:dyDescent="0.25">
      <c r="A57" s="1" t="s">
        <v>574</v>
      </c>
      <c r="B57" s="1" t="s">
        <v>40</v>
      </c>
      <c r="C57" s="14">
        <v>49978</v>
      </c>
      <c r="D57" s="14">
        <v>23550</v>
      </c>
      <c r="E57" s="14">
        <v>8522</v>
      </c>
      <c r="F57" s="14">
        <v>13180</v>
      </c>
      <c r="G57" s="14">
        <v>7293</v>
      </c>
      <c r="H57" s="15">
        <f>SUM(Table2[[#This Row],[Staff Cost]:[Logistics Cost]])</f>
        <v>102523</v>
      </c>
      <c r="I57" s="18">
        <f t="shared" si="1"/>
        <v>45261</v>
      </c>
      <c r="J57" s="15" t="str">
        <f>VLOOKUP(Table2[[#This Row],[Store ID]],Table4[[Store ID]:[Store Location]],2)</f>
        <v>Manchester</v>
      </c>
    </row>
    <row r="58" spans="1:10" ht="14.25" customHeight="1" x14ac:dyDescent="0.25">
      <c r="A58" s="1" t="s">
        <v>574</v>
      </c>
      <c r="B58" s="1" t="s">
        <v>44</v>
      </c>
      <c r="C58" s="14">
        <v>45489</v>
      </c>
      <c r="D58" s="14">
        <v>25400</v>
      </c>
      <c r="E58" s="14">
        <v>7238</v>
      </c>
      <c r="F58" s="14">
        <v>14631</v>
      </c>
      <c r="G58" s="14">
        <v>7571</v>
      </c>
      <c r="H58" s="15">
        <f>SUM(Table2[[#This Row],[Staff Cost]:[Logistics Cost]])</f>
        <v>100329</v>
      </c>
      <c r="I58" s="18">
        <f t="shared" si="1"/>
        <v>45261</v>
      </c>
      <c r="J58" s="15" t="str">
        <f>VLOOKUP(Table2[[#This Row],[Store ID]],Table4[[Store ID]:[Store Location]],2)</f>
        <v>Birmingham</v>
      </c>
    </row>
    <row r="59" spans="1:10" ht="14.25" customHeight="1" x14ac:dyDescent="0.25">
      <c r="A59" s="1" t="s">
        <v>574</v>
      </c>
      <c r="B59" s="1" t="s">
        <v>48</v>
      </c>
      <c r="C59" s="14">
        <v>45702</v>
      </c>
      <c r="D59" s="14">
        <v>23141</v>
      </c>
      <c r="E59" s="14">
        <v>6010</v>
      </c>
      <c r="F59" s="14">
        <v>14625</v>
      </c>
      <c r="G59" s="14">
        <v>8233</v>
      </c>
      <c r="H59" s="15">
        <f>SUM(Table2[[#This Row],[Staff Cost]:[Logistics Cost]])</f>
        <v>97711</v>
      </c>
      <c r="I59" s="18">
        <f t="shared" si="1"/>
        <v>45261</v>
      </c>
      <c r="J59" s="15" t="str">
        <f>VLOOKUP(Table2[[#This Row],[Store ID]],Table4[[Store ID]:[Store Location]],2)</f>
        <v>London Stratford</v>
      </c>
    </row>
    <row r="60" spans="1:10" ht="14.25" customHeight="1" x14ac:dyDescent="0.25">
      <c r="A60" s="1" t="s">
        <v>574</v>
      </c>
      <c r="B60" s="1" t="s">
        <v>52</v>
      </c>
      <c r="C60" s="14">
        <v>48265</v>
      </c>
      <c r="D60" s="14">
        <v>24041</v>
      </c>
      <c r="E60" s="14">
        <v>8595</v>
      </c>
      <c r="F60" s="14">
        <v>16119</v>
      </c>
      <c r="G60" s="14">
        <v>7238</v>
      </c>
      <c r="H60" s="15">
        <f>SUM(Table2[[#This Row],[Staff Cost]:[Logistics Cost]])</f>
        <v>104258</v>
      </c>
      <c r="I60" s="18">
        <f t="shared" si="1"/>
        <v>45261</v>
      </c>
      <c r="J60" s="15" t="str">
        <f>VLOOKUP(Table2[[#This Row],[Store ID]],Table4[[Store ID]:[Store Location]],2)</f>
        <v>Glasgow</v>
      </c>
    </row>
    <row r="61" spans="1:10" ht="14.25" customHeight="1" x14ac:dyDescent="0.25">
      <c r="A61" s="1" t="s">
        <v>574</v>
      </c>
      <c r="B61" s="1" t="s">
        <v>56</v>
      </c>
      <c r="C61" s="14">
        <v>47521</v>
      </c>
      <c r="D61" s="14">
        <v>23605</v>
      </c>
      <c r="E61" s="14">
        <v>8907</v>
      </c>
      <c r="F61" s="14">
        <v>12623</v>
      </c>
      <c r="G61" s="14">
        <v>6215</v>
      </c>
      <c r="H61" s="15">
        <f>SUM(Table2[[#This Row],[Staff Cost]:[Logistics Cost]])</f>
        <v>98871</v>
      </c>
      <c r="I61" s="18">
        <f t="shared" si="1"/>
        <v>45292</v>
      </c>
      <c r="J61" s="15" t="str">
        <f>VLOOKUP(Table2[[#This Row],[Store ID]],Table4[[Store ID]:[Store Location]],2)</f>
        <v>Leeds</v>
      </c>
    </row>
    <row r="62" spans="1:10" ht="14.25" customHeight="1" x14ac:dyDescent="0.25">
      <c r="A62" s="1" t="s">
        <v>620</v>
      </c>
      <c r="B62" s="1" t="s">
        <v>40</v>
      </c>
      <c r="C62" s="14">
        <v>57551</v>
      </c>
      <c r="D62" s="14">
        <v>23140</v>
      </c>
      <c r="E62" s="14">
        <v>10207</v>
      </c>
      <c r="F62" s="14">
        <v>12866</v>
      </c>
      <c r="G62" s="14">
        <v>9263</v>
      </c>
      <c r="H62" s="15">
        <f>SUM(Table2[[#This Row],[Staff Cost]:[Logistics Cost]])</f>
        <v>113027</v>
      </c>
      <c r="I62" s="18">
        <f t="shared" si="1"/>
        <v>45292</v>
      </c>
      <c r="J62" s="15" t="str">
        <f>VLOOKUP(Table2[[#This Row],[Store ID]],Table4[[Store ID]:[Store Location]],2)</f>
        <v>Manchester</v>
      </c>
    </row>
    <row r="63" spans="1:10" ht="14.25" customHeight="1" x14ac:dyDescent="0.25">
      <c r="A63" s="1" t="s">
        <v>620</v>
      </c>
      <c r="B63" s="1" t="s">
        <v>44</v>
      </c>
      <c r="C63" s="14">
        <v>62849</v>
      </c>
      <c r="D63" s="14">
        <v>25561</v>
      </c>
      <c r="E63" s="14">
        <v>8523</v>
      </c>
      <c r="F63" s="14">
        <v>18768</v>
      </c>
      <c r="G63" s="14">
        <v>7078</v>
      </c>
      <c r="H63" s="15">
        <f>SUM(Table2[[#This Row],[Staff Cost]:[Logistics Cost]])</f>
        <v>122779</v>
      </c>
      <c r="I63" s="18">
        <f t="shared" si="1"/>
        <v>45292</v>
      </c>
      <c r="J63" s="15" t="str">
        <f>VLOOKUP(Table2[[#This Row],[Store ID]],Table4[[Store ID]:[Store Location]],2)</f>
        <v>Birmingham</v>
      </c>
    </row>
    <row r="64" spans="1:10" ht="14.25" customHeight="1" x14ac:dyDescent="0.25">
      <c r="A64" s="1" t="s">
        <v>620</v>
      </c>
      <c r="B64" s="1" t="s">
        <v>48</v>
      </c>
      <c r="C64" s="14">
        <v>53500</v>
      </c>
      <c r="D64" s="14">
        <v>22655</v>
      </c>
      <c r="E64" s="14">
        <v>10008</v>
      </c>
      <c r="F64" s="14">
        <v>13406</v>
      </c>
      <c r="G64" s="14">
        <v>9308</v>
      </c>
      <c r="H64" s="15">
        <f>SUM(Table2[[#This Row],[Staff Cost]:[Logistics Cost]])</f>
        <v>108877</v>
      </c>
      <c r="I64" s="18">
        <f t="shared" si="1"/>
        <v>45292</v>
      </c>
      <c r="J64" s="15" t="str">
        <f>VLOOKUP(Table2[[#This Row],[Store ID]],Table4[[Store ID]:[Store Location]],2)</f>
        <v>London Stratford</v>
      </c>
    </row>
    <row r="65" spans="1:10" ht="14.25" customHeight="1" x14ac:dyDescent="0.25">
      <c r="A65" s="1" t="s">
        <v>620</v>
      </c>
      <c r="B65" s="1" t="s">
        <v>52</v>
      </c>
      <c r="C65" s="14">
        <v>62390</v>
      </c>
      <c r="D65" s="14">
        <v>23927</v>
      </c>
      <c r="E65" s="14">
        <v>8521</v>
      </c>
      <c r="F65" s="14">
        <v>17482</v>
      </c>
      <c r="G65" s="14">
        <v>6933</v>
      </c>
      <c r="H65" s="15">
        <f>SUM(Table2[[#This Row],[Staff Cost]:[Logistics Cost]])</f>
        <v>119253</v>
      </c>
      <c r="I65" s="18">
        <f t="shared" si="1"/>
        <v>45292</v>
      </c>
      <c r="J65" s="15" t="str">
        <f>VLOOKUP(Table2[[#This Row],[Store ID]],Table4[[Store ID]:[Store Location]],2)</f>
        <v>Glasgow</v>
      </c>
    </row>
    <row r="66" spans="1:10" ht="14.25" customHeight="1" x14ac:dyDescent="0.25">
      <c r="A66" s="1" t="s">
        <v>620</v>
      </c>
      <c r="B66" s="1" t="s">
        <v>56</v>
      </c>
      <c r="C66" s="14">
        <v>57529</v>
      </c>
      <c r="D66" s="14">
        <v>25186</v>
      </c>
      <c r="E66" s="14">
        <v>9278</v>
      </c>
      <c r="F66" s="14">
        <v>19889</v>
      </c>
      <c r="G66" s="14">
        <v>9810</v>
      </c>
      <c r="H66" s="15">
        <f>SUM(Table2[[#This Row],[Staff Cost]:[Logistics Cost]])</f>
        <v>121692</v>
      </c>
      <c r="I66" s="18">
        <f t="shared" ref="I66:I97" si="2">DATE(YEAR(DATEVALUE(A67)),MONTH(DATEVALUE(A67)),1)</f>
        <v>45323</v>
      </c>
      <c r="J66" s="15" t="str">
        <f>VLOOKUP(Table2[[#This Row],[Store ID]],Table4[[Store ID]:[Store Location]],2)</f>
        <v>Leeds</v>
      </c>
    </row>
    <row r="67" spans="1:10" ht="14.25" customHeight="1" x14ac:dyDescent="0.25">
      <c r="A67" s="1" t="s">
        <v>666</v>
      </c>
      <c r="B67" s="1" t="s">
        <v>40</v>
      </c>
      <c r="C67" s="14">
        <v>54719</v>
      </c>
      <c r="D67" s="14">
        <v>23457</v>
      </c>
      <c r="E67" s="14">
        <v>8131</v>
      </c>
      <c r="F67" s="14">
        <v>18670</v>
      </c>
      <c r="G67" s="14">
        <v>7547</v>
      </c>
      <c r="H67" s="15">
        <f>SUM(Table2[[#This Row],[Staff Cost]:[Logistics Cost]])</f>
        <v>112524</v>
      </c>
      <c r="I67" s="18">
        <f t="shared" si="2"/>
        <v>45323</v>
      </c>
      <c r="J67" s="15" t="str">
        <f>VLOOKUP(Table2[[#This Row],[Store ID]],Table4[[Store ID]:[Store Location]],2)</f>
        <v>Manchester</v>
      </c>
    </row>
    <row r="68" spans="1:10" ht="14.25" customHeight="1" x14ac:dyDescent="0.25">
      <c r="A68" s="1" t="s">
        <v>666</v>
      </c>
      <c r="B68" s="1" t="s">
        <v>44</v>
      </c>
      <c r="C68" s="14">
        <v>59970</v>
      </c>
      <c r="D68" s="14">
        <v>22652</v>
      </c>
      <c r="E68" s="14">
        <v>10154</v>
      </c>
      <c r="F68" s="14">
        <v>18899</v>
      </c>
      <c r="G68" s="14">
        <v>9242</v>
      </c>
      <c r="H68" s="15">
        <f>SUM(Table2[[#This Row],[Staff Cost]:[Logistics Cost]])</f>
        <v>120917</v>
      </c>
      <c r="I68" s="18">
        <f t="shared" si="2"/>
        <v>45323</v>
      </c>
      <c r="J68" s="15" t="str">
        <f>VLOOKUP(Table2[[#This Row],[Store ID]],Table4[[Store ID]:[Store Location]],2)</f>
        <v>Birmingham</v>
      </c>
    </row>
    <row r="69" spans="1:10" ht="14.25" customHeight="1" x14ac:dyDescent="0.25">
      <c r="A69" s="1" t="s">
        <v>666</v>
      </c>
      <c r="B69" s="1" t="s">
        <v>48</v>
      </c>
      <c r="C69" s="14">
        <v>55809</v>
      </c>
      <c r="D69" s="14">
        <v>25413</v>
      </c>
      <c r="E69" s="14">
        <v>9602</v>
      </c>
      <c r="F69" s="14">
        <v>16032</v>
      </c>
      <c r="G69" s="14">
        <v>9664</v>
      </c>
      <c r="H69" s="15">
        <f>SUM(Table2[[#This Row],[Staff Cost]:[Logistics Cost]])</f>
        <v>116520</v>
      </c>
      <c r="I69" s="18">
        <f t="shared" si="2"/>
        <v>45323</v>
      </c>
      <c r="J69" s="15" t="str">
        <f>VLOOKUP(Table2[[#This Row],[Store ID]],Table4[[Store ID]:[Store Location]],2)</f>
        <v>London Stratford</v>
      </c>
    </row>
    <row r="70" spans="1:10" ht="14.25" customHeight="1" x14ac:dyDescent="0.25">
      <c r="A70" s="1" t="s">
        <v>666</v>
      </c>
      <c r="B70" s="1" t="s">
        <v>52</v>
      </c>
      <c r="C70" s="14">
        <v>60690</v>
      </c>
      <c r="D70" s="14">
        <v>25701</v>
      </c>
      <c r="E70" s="14">
        <v>9801</v>
      </c>
      <c r="F70" s="14">
        <v>16266</v>
      </c>
      <c r="G70" s="14">
        <v>10261</v>
      </c>
      <c r="H70" s="15">
        <f>SUM(Table2[[#This Row],[Staff Cost]:[Logistics Cost]])</f>
        <v>122719</v>
      </c>
      <c r="I70" s="18">
        <f t="shared" si="2"/>
        <v>45323</v>
      </c>
      <c r="J70" s="15" t="str">
        <f>VLOOKUP(Table2[[#This Row],[Store ID]],Table4[[Store ID]:[Store Location]],2)</f>
        <v>Glasgow</v>
      </c>
    </row>
    <row r="71" spans="1:10" ht="14.25" customHeight="1" x14ac:dyDescent="0.25">
      <c r="A71" s="1" t="s">
        <v>666</v>
      </c>
      <c r="B71" s="1" t="s">
        <v>56</v>
      </c>
      <c r="C71" s="14">
        <v>61283</v>
      </c>
      <c r="D71" s="14">
        <v>23938</v>
      </c>
      <c r="E71" s="14">
        <v>9182</v>
      </c>
      <c r="F71" s="14">
        <v>17829</v>
      </c>
      <c r="G71" s="14">
        <v>8418</v>
      </c>
      <c r="H71" s="15">
        <f>SUM(Table2[[#This Row],[Staff Cost]:[Logistics Cost]])</f>
        <v>120650</v>
      </c>
      <c r="I71" s="18">
        <f t="shared" si="2"/>
        <v>45352</v>
      </c>
      <c r="J71" s="15" t="str">
        <f>VLOOKUP(Table2[[#This Row],[Store ID]],Table4[[Store ID]:[Store Location]],2)</f>
        <v>Leeds</v>
      </c>
    </row>
    <row r="72" spans="1:10" ht="14.25" customHeight="1" x14ac:dyDescent="0.25">
      <c r="A72" s="1" t="s">
        <v>712</v>
      </c>
      <c r="B72" s="1" t="s">
        <v>40</v>
      </c>
      <c r="C72" s="14">
        <v>53815</v>
      </c>
      <c r="D72" s="14">
        <v>22650</v>
      </c>
      <c r="E72" s="14">
        <v>7292</v>
      </c>
      <c r="F72" s="14">
        <v>13136</v>
      </c>
      <c r="G72" s="14">
        <v>8827</v>
      </c>
      <c r="H72" s="15">
        <f>SUM(Table2[[#This Row],[Staff Cost]:[Logistics Cost]])</f>
        <v>105720</v>
      </c>
      <c r="I72" s="18">
        <f t="shared" si="2"/>
        <v>45352</v>
      </c>
      <c r="J72" s="15" t="str">
        <f>VLOOKUP(Table2[[#This Row],[Store ID]],Table4[[Store ID]:[Store Location]],2)</f>
        <v>Manchester</v>
      </c>
    </row>
    <row r="73" spans="1:10" ht="14.25" customHeight="1" x14ac:dyDescent="0.25">
      <c r="A73" s="1" t="s">
        <v>712</v>
      </c>
      <c r="B73" s="1" t="s">
        <v>44</v>
      </c>
      <c r="C73" s="14">
        <v>61976</v>
      </c>
      <c r="D73" s="14">
        <v>22155</v>
      </c>
      <c r="E73" s="14">
        <v>9766</v>
      </c>
      <c r="F73" s="14">
        <v>20052</v>
      </c>
      <c r="G73" s="14">
        <v>8177</v>
      </c>
      <c r="H73" s="15">
        <f>SUM(Table2[[#This Row],[Staff Cost]:[Logistics Cost]])</f>
        <v>122126</v>
      </c>
      <c r="I73" s="18">
        <f t="shared" si="2"/>
        <v>45352</v>
      </c>
      <c r="J73" s="15" t="str">
        <f>VLOOKUP(Table2[[#This Row],[Store ID]],Table4[[Store ID]:[Store Location]],2)</f>
        <v>Birmingham</v>
      </c>
    </row>
    <row r="74" spans="1:10" ht="14.25" customHeight="1" x14ac:dyDescent="0.25">
      <c r="A74" s="1" t="s">
        <v>712</v>
      </c>
      <c r="B74" s="1" t="s">
        <v>48</v>
      </c>
      <c r="C74" s="14">
        <v>59167</v>
      </c>
      <c r="D74" s="14">
        <v>24094</v>
      </c>
      <c r="E74" s="14">
        <v>8591</v>
      </c>
      <c r="F74" s="14">
        <v>16370</v>
      </c>
      <c r="G74" s="14">
        <v>8084</v>
      </c>
      <c r="H74" s="15">
        <f>SUM(Table2[[#This Row],[Staff Cost]:[Logistics Cost]])</f>
        <v>116306</v>
      </c>
      <c r="I74" s="18">
        <f t="shared" si="2"/>
        <v>45352</v>
      </c>
      <c r="J74" s="15" t="str">
        <f>VLOOKUP(Table2[[#This Row],[Store ID]],Table4[[Store ID]:[Store Location]],2)</f>
        <v>London Stratford</v>
      </c>
    </row>
    <row r="75" spans="1:10" ht="14.25" customHeight="1" x14ac:dyDescent="0.25">
      <c r="A75" s="1" t="s">
        <v>712</v>
      </c>
      <c r="B75" s="1" t="s">
        <v>52</v>
      </c>
      <c r="C75" s="14">
        <v>52053</v>
      </c>
      <c r="D75" s="14">
        <v>24375</v>
      </c>
      <c r="E75" s="14">
        <v>9624</v>
      </c>
      <c r="F75" s="14">
        <v>17336</v>
      </c>
      <c r="G75" s="14">
        <v>9589</v>
      </c>
      <c r="H75" s="15">
        <f>SUM(Table2[[#This Row],[Staff Cost]:[Logistics Cost]])</f>
        <v>112977</v>
      </c>
      <c r="I75" s="18">
        <f t="shared" si="2"/>
        <v>45352</v>
      </c>
      <c r="J75" s="15" t="str">
        <f>VLOOKUP(Table2[[#This Row],[Store ID]],Table4[[Store ID]:[Store Location]],2)</f>
        <v>Glasgow</v>
      </c>
    </row>
    <row r="76" spans="1:10" ht="14.25" customHeight="1" x14ac:dyDescent="0.25">
      <c r="A76" s="1" t="s">
        <v>712</v>
      </c>
      <c r="B76" s="1" t="s">
        <v>56</v>
      </c>
      <c r="C76" s="14">
        <v>55547</v>
      </c>
      <c r="D76" s="14">
        <v>22143</v>
      </c>
      <c r="E76" s="14">
        <v>9124</v>
      </c>
      <c r="F76" s="14">
        <v>12574</v>
      </c>
      <c r="G76" s="14">
        <v>9121</v>
      </c>
      <c r="H76" s="15">
        <f>SUM(Table2[[#This Row],[Staff Cost]:[Logistics Cost]])</f>
        <v>108509</v>
      </c>
      <c r="I76" s="18">
        <f t="shared" si="2"/>
        <v>45383</v>
      </c>
      <c r="J76" s="15" t="str">
        <f>VLOOKUP(Table2[[#This Row],[Store ID]],Table4[[Store ID]:[Store Location]],2)</f>
        <v>Leeds</v>
      </c>
    </row>
    <row r="77" spans="1:10" ht="14.25" customHeight="1" x14ac:dyDescent="0.25">
      <c r="A77" s="1" t="s">
        <v>758</v>
      </c>
      <c r="B77" s="1" t="s">
        <v>40</v>
      </c>
      <c r="C77" s="14">
        <v>61190</v>
      </c>
      <c r="D77" s="14">
        <v>25846</v>
      </c>
      <c r="E77" s="14">
        <v>6922</v>
      </c>
      <c r="F77" s="14">
        <v>19942</v>
      </c>
      <c r="G77" s="14">
        <v>9723</v>
      </c>
      <c r="H77" s="15">
        <f>SUM(Table2[[#This Row],[Staff Cost]:[Logistics Cost]])</f>
        <v>123623</v>
      </c>
      <c r="I77" s="18">
        <f t="shared" si="2"/>
        <v>45383</v>
      </c>
      <c r="J77" s="15" t="str">
        <f>VLOOKUP(Table2[[#This Row],[Store ID]],Table4[[Store ID]:[Store Location]],2)</f>
        <v>Manchester</v>
      </c>
    </row>
    <row r="78" spans="1:10" ht="14.25" customHeight="1" x14ac:dyDescent="0.25">
      <c r="A78" s="1" t="s">
        <v>758</v>
      </c>
      <c r="B78" s="1" t="s">
        <v>44</v>
      </c>
      <c r="C78" s="14">
        <v>56267</v>
      </c>
      <c r="D78" s="14">
        <v>24512</v>
      </c>
      <c r="E78" s="14">
        <v>7924</v>
      </c>
      <c r="F78" s="14">
        <v>14355</v>
      </c>
      <c r="G78" s="14">
        <v>7293</v>
      </c>
      <c r="H78" s="15">
        <f>SUM(Table2[[#This Row],[Staff Cost]:[Logistics Cost]])</f>
        <v>110351</v>
      </c>
      <c r="I78" s="18">
        <f t="shared" si="2"/>
        <v>45383</v>
      </c>
      <c r="J78" s="15" t="str">
        <f>VLOOKUP(Table2[[#This Row],[Store ID]],Table4[[Store ID]:[Store Location]],2)</f>
        <v>Birmingham</v>
      </c>
    </row>
    <row r="79" spans="1:10" ht="14.25" customHeight="1" x14ac:dyDescent="0.25">
      <c r="A79" s="1" t="s">
        <v>758</v>
      </c>
      <c r="B79" s="1" t="s">
        <v>48</v>
      </c>
      <c r="C79" s="14">
        <v>60296</v>
      </c>
      <c r="D79" s="14">
        <v>23474</v>
      </c>
      <c r="E79" s="14">
        <v>7964</v>
      </c>
      <c r="F79" s="14">
        <v>12386</v>
      </c>
      <c r="G79" s="14">
        <v>9929</v>
      </c>
      <c r="H79" s="15">
        <f>SUM(Table2[[#This Row],[Staff Cost]:[Logistics Cost]])</f>
        <v>114049</v>
      </c>
      <c r="I79" s="18">
        <f t="shared" si="2"/>
        <v>45383</v>
      </c>
      <c r="J79" s="15" t="str">
        <f>VLOOKUP(Table2[[#This Row],[Store ID]],Table4[[Store ID]:[Store Location]],2)</f>
        <v>London Stratford</v>
      </c>
    </row>
    <row r="80" spans="1:10" ht="14.25" customHeight="1" x14ac:dyDescent="0.25">
      <c r="A80" s="1" t="s">
        <v>758</v>
      </c>
      <c r="B80" s="1" t="s">
        <v>52</v>
      </c>
      <c r="C80" s="14">
        <v>57610</v>
      </c>
      <c r="D80" s="14">
        <v>25944</v>
      </c>
      <c r="E80" s="14">
        <v>7439</v>
      </c>
      <c r="F80" s="14">
        <v>14322</v>
      </c>
      <c r="G80" s="14">
        <v>7142</v>
      </c>
      <c r="H80" s="15">
        <f>SUM(Table2[[#This Row],[Staff Cost]:[Logistics Cost]])</f>
        <v>112457</v>
      </c>
      <c r="I80" s="18">
        <f t="shared" si="2"/>
        <v>45383</v>
      </c>
      <c r="J80" s="15" t="str">
        <f>VLOOKUP(Table2[[#This Row],[Store ID]],Table4[[Store ID]:[Store Location]],2)</f>
        <v>Glasgow</v>
      </c>
    </row>
    <row r="81" spans="1:10" ht="14.25" customHeight="1" x14ac:dyDescent="0.25">
      <c r="A81" s="1" t="s">
        <v>758</v>
      </c>
      <c r="B81" s="1" t="s">
        <v>56</v>
      </c>
      <c r="C81" s="14">
        <v>60744</v>
      </c>
      <c r="D81" s="14">
        <v>22738</v>
      </c>
      <c r="E81" s="14">
        <v>9231</v>
      </c>
      <c r="F81" s="14">
        <v>19780</v>
      </c>
      <c r="G81" s="14">
        <v>9425</v>
      </c>
      <c r="H81" s="15">
        <f>SUM(Table2[[#This Row],[Staff Cost]:[Logistics Cost]])</f>
        <v>121918</v>
      </c>
      <c r="I81" s="18">
        <f t="shared" si="2"/>
        <v>45413</v>
      </c>
      <c r="J81" s="15" t="str">
        <f>VLOOKUP(Table2[[#This Row],[Store ID]],Table4[[Store ID]:[Store Location]],2)</f>
        <v>Leeds</v>
      </c>
    </row>
    <row r="82" spans="1:10" ht="14.25" customHeight="1" x14ac:dyDescent="0.25">
      <c r="A82" s="1" t="s">
        <v>804</v>
      </c>
      <c r="B82" s="1" t="s">
        <v>40</v>
      </c>
      <c r="C82" s="14">
        <v>54327</v>
      </c>
      <c r="D82" s="14">
        <v>22048</v>
      </c>
      <c r="E82" s="14">
        <v>8920</v>
      </c>
      <c r="F82" s="14">
        <v>18854</v>
      </c>
      <c r="G82" s="14">
        <v>7334</v>
      </c>
      <c r="H82" s="15">
        <f>SUM(Table2[[#This Row],[Staff Cost]:[Logistics Cost]])</f>
        <v>111483</v>
      </c>
      <c r="I82" s="18">
        <f t="shared" si="2"/>
        <v>45413</v>
      </c>
      <c r="J82" s="15" t="str">
        <f>VLOOKUP(Table2[[#This Row],[Store ID]],Table4[[Store ID]:[Store Location]],2)</f>
        <v>Manchester</v>
      </c>
    </row>
    <row r="83" spans="1:10" ht="14.25" customHeight="1" x14ac:dyDescent="0.25">
      <c r="A83" s="1" t="s">
        <v>804</v>
      </c>
      <c r="B83" s="1" t="s">
        <v>44</v>
      </c>
      <c r="C83" s="14">
        <v>59382</v>
      </c>
      <c r="D83" s="14">
        <v>22967</v>
      </c>
      <c r="E83" s="14">
        <v>7405</v>
      </c>
      <c r="F83" s="14">
        <v>18426</v>
      </c>
      <c r="G83" s="14">
        <v>9625</v>
      </c>
      <c r="H83" s="15">
        <f>SUM(Table2[[#This Row],[Staff Cost]:[Logistics Cost]])</f>
        <v>117805</v>
      </c>
      <c r="I83" s="18">
        <f t="shared" si="2"/>
        <v>45413</v>
      </c>
      <c r="J83" s="15" t="str">
        <f>VLOOKUP(Table2[[#This Row],[Store ID]],Table4[[Store ID]:[Store Location]],2)</f>
        <v>Birmingham</v>
      </c>
    </row>
    <row r="84" spans="1:10" ht="14.25" customHeight="1" x14ac:dyDescent="0.25">
      <c r="A84" s="1" t="s">
        <v>804</v>
      </c>
      <c r="B84" s="1" t="s">
        <v>48</v>
      </c>
      <c r="C84" s="14">
        <v>55605</v>
      </c>
      <c r="D84" s="14">
        <v>22686</v>
      </c>
      <c r="E84" s="14">
        <v>7312</v>
      </c>
      <c r="F84" s="14">
        <v>13903</v>
      </c>
      <c r="G84" s="14">
        <v>10054</v>
      </c>
      <c r="H84" s="15">
        <f>SUM(Table2[[#This Row],[Staff Cost]:[Logistics Cost]])</f>
        <v>109560</v>
      </c>
      <c r="I84" s="18">
        <f t="shared" si="2"/>
        <v>45413</v>
      </c>
      <c r="J84" s="15" t="str">
        <f>VLOOKUP(Table2[[#This Row],[Store ID]],Table4[[Store ID]:[Store Location]],2)</f>
        <v>London Stratford</v>
      </c>
    </row>
    <row r="85" spans="1:10" ht="14.25" customHeight="1" x14ac:dyDescent="0.25">
      <c r="A85" s="1" t="s">
        <v>804</v>
      </c>
      <c r="B85" s="1" t="s">
        <v>52</v>
      </c>
      <c r="C85" s="14">
        <v>58822</v>
      </c>
      <c r="D85" s="14">
        <v>23254</v>
      </c>
      <c r="E85" s="14">
        <v>9126</v>
      </c>
      <c r="F85" s="14">
        <v>20127</v>
      </c>
      <c r="G85" s="14">
        <v>8512</v>
      </c>
      <c r="H85" s="15">
        <f>SUM(Table2[[#This Row],[Staff Cost]:[Logistics Cost]])</f>
        <v>119841</v>
      </c>
      <c r="I85" s="18">
        <f t="shared" si="2"/>
        <v>45413</v>
      </c>
      <c r="J85" s="15" t="str">
        <f>VLOOKUP(Table2[[#This Row],[Store ID]],Table4[[Store ID]:[Store Location]],2)</f>
        <v>Glasgow</v>
      </c>
    </row>
    <row r="86" spans="1:10" ht="14.25" customHeight="1" x14ac:dyDescent="0.25">
      <c r="A86" s="1" t="s">
        <v>804</v>
      </c>
      <c r="B86" s="1" t="s">
        <v>56</v>
      </c>
      <c r="C86" s="14">
        <v>53929</v>
      </c>
      <c r="D86" s="14">
        <v>23116</v>
      </c>
      <c r="E86" s="14">
        <v>8327</v>
      </c>
      <c r="F86" s="14">
        <v>12870</v>
      </c>
      <c r="G86" s="14">
        <v>9711</v>
      </c>
      <c r="H86" s="15">
        <f>SUM(Table2[[#This Row],[Staff Cost]:[Logistics Cost]])</f>
        <v>107953</v>
      </c>
      <c r="I86" s="18">
        <f t="shared" si="2"/>
        <v>45444</v>
      </c>
      <c r="J86" s="15" t="str">
        <f>VLOOKUP(Table2[[#This Row],[Store ID]],Table4[[Store ID]:[Store Location]],2)</f>
        <v>Leeds</v>
      </c>
    </row>
    <row r="87" spans="1:10" ht="14.25" customHeight="1" x14ac:dyDescent="0.25">
      <c r="A87" s="1" t="s">
        <v>850</v>
      </c>
      <c r="B87" s="1" t="s">
        <v>40</v>
      </c>
      <c r="C87" s="14">
        <v>56866</v>
      </c>
      <c r="D87" s="14">
        <v>24397</v>
      </c>
      <c r="E87" s="14">
        <v>7112</v>
      </c>
      <c r="F87" s="14">
        <v>17057</v>
      </c>
      <c r="G87" s="14">
        <v>9672</v>
      </c>
      <c r="H87" s="15">
        <f>SUM(Table2[[#This Row],[Staff Cost]:[Logistics Cost]])</f>
        <v>115104</v>
      </c>
      <c r="I87" s="18">
        <f t="shared" si="2"/>
        <v>45444</v>
      </c>
      <c r="J87" s="15" t="str">
        <f>VLOOKUP(Table2[[#This Row],[Store ID]],Table4[[Store ID]:[Store Location]],2)</f>
        <v>Manchester</v>
      </c>
    </row>
    <row r="88" spans="1:10" ht="14.25" customHeight="1" x14ac:dyDescent="0.25">
      <c r="A88" s="1" t="s">
        <v>850</v>
      </c>
      <c r="B88" s="1" t="s">
        <v>44</v>
      </c>
      <c r="C88" s="14">
        <v>61084</v>
      </c>
      <c r="D88" s="14">
        <v>22975</v>
      </c>
      <c r="E88" s="14">
        <v>9104</v>
      </c>
      <c r="F88" s="14">
        <v>20624</v>
      </c>
      <c r="G88" s="14">
        <v>10037</v>
      </c>
      <c r="H88" s="15">
        <f>SUM(Table2[[#This Row],[Staff Cost]:[Logistics Cost]])</f>
        <v>123824</v>
      </c>
      <c r="I88" s="18">
        <f t="shared" si="2"/>
        <v>45444</v>
      </c>
      <c r="J88" s="15" t="str">
        <f>VLOOKUP(Table2[[#This Row],[Store ID]],Table4[[Store ID]:[Store Location]],2)</f>
        <v>Birmingham</v>
      </c>
    </row>
    <row r="89" spans="1:10" ht="14.25" customHeight="1" x14ac:dyDescent="0.25">
      <c r="A89" s="1" t="s">
        <v>850</v>
      </c>
      <c r="B89" s="1" t="s">
        <v>48</v>
      </c>
      <c r="C89" s="14">
        <v>53732</v>
      </c>
      <c r="D89" s="14">
        <v>22981</v>
      </c>
      <c r="E89" s="14">
        <v>9139</v>
      </c>
      <c r="F89" s="14">
        <v>12073</v>
      </c>
      <c r="G89" s="14">
        <v>9392</v>
      </c>
      <c r="H89" s="15">
        <f>SUM(Table2[[#This Row],[Staff Cost]:[Logistics Cost]])</f>
        <v>107317</v>
      </c>
      <c r="I89" s="18">
        <f t="shared" si="2"/>
        <v>45444</v>
      </c>
      <c r="J89" s="15" t="str">
        <f>VLOOKUP(Table2[[#This Row],[Store ID]],Table4[[Store ID]:[Store Location]],2)</f>
        <v>London Stratford</v>
      </c>
    </row>
    <row r="90" spans="1:10" ht="14.25" customHeight="1" x14ac:dyDescent="0.25">
      <c r="A90" s="1" t="s">
        <v>850</v>
      </c>
      <c r="B90" s="1" t="s">
        <v>52</v>
      </c>
      <c r="C90" s="14">
        <v>62267</v>
      </c>
      <c r="D90" s="14">
        <v>24766</v>
      </c>
      <c r="E90" s="14">
        <v>10185</v>
      </c>
      <c r="F90" s="14">
        <v>11949</v>
      </c>
      <c r="G90" s="14">
        <v>8104</v>
      </c>
      <c r="H90" s="15">
        <f>SUM(Table2[[#This Row],[Staff Cost]:[Logistics Cost]])</f>
        <v>117271</v>
      </c>
      <c r="I90" s="18">
        <f t="shared" si="2"/>
        <v>45444</v>
      </c>
      <c r="J90" s="15" t="str">
        <f>VLOOKUP(Table2[[#This Row],[Store ID]],Table4[[Store ID]:[Store Location]],2)</f>
        <v>Glasgow</v>
      </c>
    </row>
    <row r="91" spans="1:10" ht="14.25" customHeight="1" x14ac:dyDescent="0.25">
      <c r="A91" s="1" t="s">
        <v>850</v>
      </c>
      <c r="B91" s="1" t="s">
        <v>56</v>
      </c>
      <c r="C91" s="14">
        <v>56563</v>
      </c>
      <c r="D91" s="14">
        <v>23246</v>
      </c>
      <c r="E91" s="14">
        <v>9306</v>
      </c>
      <c r="F91" s="14">
        <v>13256</v>
      </c>
      <c r="G91" s="14">
        <v>10302</v>
      </c>
      <c r="H91" s="15">
        <f>SUM(Table2[[#This Row],[Staff Cost]:[Logistics Cost]])</f>
        <v>112673</v>
      </c>
      <c r="I91" s="18">
        <f t="shared" si="2"/>
        <v>45474</v>
      </c>
      <c r="J91" s="15" t="str">
        <f>VLOOKUP(Table2[[#This Row],[Store ID]],Table4[[Store ID]:[Store Location]],2)</f>
        <v>Leeds</v>
      </c>
    </row>
    <row r="92" spans="1:10" ht="14.25" customHeight="1" x14ac:dyDescent="0.25">
      <c r="A92" s="1" t="s">
        <v>896</v>
      </c>
      <c r="B92" s="1" t="s">
        <v>40</v>
      </c>
      <c r="C92" s="14">
        <v>54276</v>
      </c>
      <c r="D92" s="14">
        <v>25120</v>
      </c>
      <c r="E92" s="14">
        <v>6921</v>
      </c>
      <c r="F92" s="14">
        <v>16875</v>
      </c>
      <c r="G92" s="14">
        <v>9777</v>
      </c>
      <c r="H92" s="15">
        <f>SUM(Table2[[#This Row],[Staff Cost]:[Logistics Cost]])</f>
        <v>112969</v>
      </c>
      <c r="I92" s="18">
        <f t="shared" si="2"/>
        <v>45474</v>
      </c>
      <c r="J92" s="15" t="str">
        <f>VLOOKUP(Table2[[#This Row],[Store ID]],Table4[[Store ID]:[Store Location]],2)</f>
        <v>Manchester</v>
      </c>
    </row>
    <row r="93" spans="1:10" ht="14.25" customHeight="1" x14ac:dyDescent="0.25">
      <c r="A93" s="1" t="s">
        <v>896</v>
      </c>
      <c r="B93" s="1" t="s">
        <v>44</v>
      </c>
      <c r="C93" s="14">
        <v>59006</v>
      </c>
      <c r="D93" s="14">
        <v>25876</v>
      </c>
      <c r="E93" s="14">
        <v>9347</v>
      </c>
      <c r="F93" s="14">
        <v>15997</v>
      </c>
      <c r="G93" s="14">
        <v>6906</v>
      </c>
      <c r="H93" s="15">
        <f>SUM(Table2[[#This Row],[Staff Cost]:[Logistics Cost]])</f>
        <v>117132</v>
      </c>
      <c r="I93" s="18">
        <f t="shared" si="2"/>
        <v>45474</v>
      </c>
      <c r="J93" s="15" t="str">
        <f>VLOOKUP(Table2[[#This Row],[Store ID]],Table4[[Store ID]:[Store Location]],2)</f>
        <v>Birmingham</v>
      </c>
    </row>
    <row r="94" spans="1:10" ht="14.25" customHeight="1" x14ac:dyDescent="0.25">
      <c r="A94" s="1" t="s">
        <v>896</v>
      </c>
      <c r="B94" s="1" t="s">
        <v>48</v>
      </c>
      <c r="C94" s="14">
        <v>58063</v>
      </c>
      <c r="D94" s="14">
        <v>25678</v>
      </c>
      <c r="E94" s="14">
        <v>10237</v>
      </c>
      <c r="F94" s="14">
        <v>20422</v>
      </c>
      <c r="G94" s="14">
        <v>10192</v>
      </c>
      <c r="H94" s="15">
        <f>SUM(Table2[[#This Row],[Staff Cost]:[Logistics Cost]])</f>
        <v>124592</v>
      </c>
      <c r="I94" s="18">
        <f t="shared" si="2"/>
        <v>45474</v>
      </c>
      <c r="J94" s="15" t="str">
        <f>VLOOKUP(Table2[[#This Row],[Store ID]],Table4[[Store ID]:[Store Location]],2)</f>
        <v>London Stratford</v>
      </c>
    </row>
    <row r="95" spans="1:10" ht="14.25" customHeight="1" x14ac:dyDescent="0.25">
      <c r="A95" s="1" t="s">
        <v>896</v>
      </c>
      <c r="B95" s="1" t="s">
        <v>52</v>
      </c>
      <c r="C95" s="14">
        <v>56727</v>
      </c>
      <c r="D95" s="14">
        <v>25350</v>
      </c>
      <c r="E95" s="14">
        <v>8855</v>
      </c>
      <c r="F95" s="14">
        <v>15697</v>
      </c>
      <c r="G95" s="14">
        <v>9697</v>
      </c>
      <c r="H95" s="15">
        <f>SUM(Table2[[#This Row],[Staff Cost]:[Logistics Cost]])</f>
        <v>116326</v>
      </c>
      <c r="I95" s="18">
        <f t="shared" si="2"/>
        <v>45474</v>
      </c>
      <c r="J95" s="15" t="str">
        <f>VLOOKUP(Table2[[#This Row],[Store ID]],Table4[[Store ID]:[Store Location]],2)</f>
        <v>Glasgow</v>
      </c>
    </row>
    <row r="96" spans="1:10" ht="14.25" customHeight="1" x14ac:dyDescent="0.25">
      <c r="A96" s="1" t="s">
        <v>896</v>
      </c>
      <c r="B96" s="1" t="s">
        <v>56</v>
      </c>
      <c r="C96" s="14">
        <v>62317</v>
      </c>
      <c r="D96" s="14">
        <v>25431</v>
      </c>
      <c r="E96" s="14">
        <v>7148</v>
      </c>
      <c r="F96" s="14">
        <v>14377</v>
      </c>
      <c r="G96" s="14">
        <v>7861</v>
      </c>
      <c r="H96" s="15">
        <f>SUM(Table2[[#This Row],[Staff Cost]:[Logistics Cost]])</f>
        <v>117134</v>
      </c>
      <c r="I96" s="18">
        <f t="shared" si="2"/>
        <v>45505</v>
      </c>
      <c r="J96" s="15" t="str">
        <f>VLOOKUP(Table2[[#This Row],[Store ID]],Table4[[Store ID]:[Store Location]],2)</f>
        <v>Leeds</v>
      </c>
    </row>
    <row r="97" spans="1:10" ht="14.25" customHeight="1" x14ac:dyDescent="0.25">
      <c r="A97" s="1" t="s">
        <v>942</v>
      </c>
      <c r="B97" s="1" t="s">
        <v>40</v>
      </c>
      <c r="C97" s="14">
        <v>54766</v>
      </c>
      <c r="D97" s="14">
        <v>25959</v>
      </c>
      <c r="E97" s="14">
        <v>8506</v>
      </c>
      <c r="F97" s="14">
        <v>20442</v>
      </c>
      <c r="G97" s="14">
        <v>9303</v>
      </c>
      <c r="H97" s="15">
        <f>SUM(Table2[[#This Row],[Staff Cost]:[Logistics Cost]])</f>
        <v>118976</v>
      </c>
      <c r="I97" s="18">
        <f t="shared" si="2"/>
        <v>45505</v>
      </c>
      <c r="J97" s="15" t="str">
        <f>VLOOKUP(Table2[[#This Row],[Store ID]],Table4[[Store ID]:[Store Location]],2)</f>
        <v>Manchester</v>
      </c>
    </row>
    <row r="98" spans="1:10" ht="14.25" customHeight="1" x14ac:dyDescent="0.25">
      <c r="A98" s="1" t="s">
        <v>942</v>
      </c>
      <c r="B98" s="1" t="s">
        <v>44</v>
      </c>
      <c r="C98" s="14">
        <v>55211</v>
      </c>
      <c r="D98" s="14">
        <v>22231</v>
      </c>
      <c r="E98" s="14">
        <v>6942</v>
      </c>
      <c r="F98" s="14">
        <v>15044</v>
      </c>
      <c r="G98" s="14">
        <v>7317</v>
      </c>
      <c r="H98" s="15">
        <f>SUM(Table2[[#This Row],[Staff Cost]:[Logistics Cost]])</f>
        <v>106745</v>
      </c>
      <c r="I98" s="18">
        <f t="shared" ref="I98:I121" si="3">DATE(YEAR(DATEVALUE(A99)),MONTH(DATEVALUE(A99)),1)</f>
        <v>45505</v>
      </c>
      <c r="J98" s="15" t="str">
        <f>VLOOKUP(Table2[[#This Row],[Store ID]],Table4[[Store ID]:[Store Location]],2)</f>
        <v>Birmingham</v>
      </c>
    </row>
    <row r="99" spans="1:10" ht="14.25" customHeight="1" x14ac:dyDescent="0.25">
      <c r="A99" s="1" t="s">
        <v>942</v>
      </c>
      <c r="B99" s="1" t="s">
        <v>48</v>
      </c>
      <c r="C99" s="14">
        <v>62112</v>
      </c>
      <c r="D99" s="14">
        <v>23035</v>
      </c>
      <c r="E99" s="14">
        <v>7831</v>
      </c>
      <c r="F99" s="14">
        <v>12031</v>
      </c>
      <c r="G99" s="14">
        <v>8774</v>
      </c>
      <c r="H99" s="15">
        <f>SUM(Table2[[#This Row],[Staff Cost]:[Logistics Cost]])</f>
        <v>113783</v>
      </c>
      <c r="I99" s="18">
        <f t="shared" si="3"/>
        <v>45505</v>
      </c>
      <c r="J99" s="15" t="str">
        <f>VLOOKUP(Table2[[#This Row],[Store ID]],Table4[[Store ID]:[Store Location]],2)</f>
        <v>London Stratford</v>
      </c>
    </row>
    <row r="100" spans="1:10" ht="14.25" customHeight="1" x14ac:dyDescent="0.25">
      <c r="A100" s="1" t="s">
        <v>942</v>
      </c>
      <c r="B100" s="1" t="s">
        <v>52</v>
      </c>
      <c r="C100" s="14">
        <v>60592</v>
      </c>
      <c r="D100" s="14">
        <v>25800</v>
      </c>
      <c r="E100" s="14">
        <v>8616</v>
      </c>
      <c r="F100" s="14">
        <v>16757</v>
      </c>
      <c r="G100" s="14">
        <v>7285</v>
      </c>
      <c r="H100" s="15">
        <f>SUM(Table2[[#This Row],[Staff Cost]:[Logistics Cost]])</f>
        <v>119050</v>
      </c>
      <c r="I100" s="18">
        <f t="shared" si="3"/>
        <v>45505</v>
      </c>
      <c r="J100" s="15" t="str">
        <f>VLOOKUP(Table2[[#This Row],[Store ID]],Table4[[Store ID]:[Store Location]],2)</f>
        <v>Glasgow</v>
      </c>
    </row>
    <row r="101" spans="1:10" ht="14.25" customHeight="1" x14ac:dyDescent="0.25">
      <c r="A101" s="1" t="s">
        <v>942</v>
      </c>
      <c r="B101" s="1" t="s">
        <v>56</v>
      </c>
      <c r="C101" s="14">
        <v>61384</v>
      </c>
      <c r="D101" s="14">
        <v>22444</v>
      </c>
      <c r="E101" s="14">
        <v>9530</v>
      </c>
      <c r="F101" s="14">
        <v>12967</v>
      </c>
      <c r="G101" s="14">
        <v>8740</v>
      </c>
      <c r="H101" s="15">
        <f>SUM(Table2[[#This Row],[Staff Cost]:[Logistics Cost]])</f>
        <v>115065</v>
      </c>
      <c r="I101" s="18">
        <f t="shared" si="3"/>
        <v>45536</v>
      </c>
      <c r="J101" s="15" t="str">
        <f>VLOOKUP(Table2[[#This Row],[Store ID]],Table4[[Store ID]:[Store Location]],2)</f>
        <v>Leeds</v>
      </c>
    </row>
    <row r="102" spans="1:10" ht="14.25" customHeight="1" x14ac:dyDescent="0.25">
      <c r="A102" s="1" t="s">
        <v>988</v>
      </c>
      <c r="B102" s="1" t="s">
        <v>40</v>
      </c>
      <c r="C102" s="14">
        <v>59020</v>
      </c>
      <c r="D102" s="14">
        <v>24395</v>
      </c>
      <c r="E102" s="14">
        <v>9150</v>
      </c>
      <c r="F102" s="14">
        <v>19976</v>
      </c>
      <c r="G102" s="14">
        <v>8976</v>
      </c>
      <c r="H102" s="15">
        <f>SUM(Table2[[#This Row],[Staff Cost]:[Logistics Cost]])</f>
        <v>121517</v>
      </c>
      <c r="I102" s="18">
        <f t="shared" si="3"/>
        <v>45536</v>
      </c>
      <c r="J102" s="15" t="str">
        <f>VLOOKUP(Table2[[#This Row],[Store ID]],Table4[[Store ID]:[Store Location]],2)</f>
        <v>Manchester</v>
      </c>
    </row>
    <row r="103" spans="1:10" ht="14.25" customHeight="1" x14ac:dyDescent="0.25">
      <c r="A103" s="1" t="s">
        <v>988</v>
      </c>
      <c r="B103" s="1" t="s">
        <v>44</v>
      </c>
      <c r="C103" s="14">
        <v>60251</v>
      </c>
      <c r="D103" s="14">
        <v>25865</v>
      </c>
      <c r="E103" s="14">
        <v>9204</v>
      </c>
      <c r="F103" s="14">
        <v>15858</v>
      </c>
      <c r="G103" s="14">
        <v>8629</v>
      </c>
      <c r="H103" s="15">
        <f>SUM(Table2[[#This Row],[Staff Cost]:[Logistics Cost]])</f>
        <v>119807</v>
      </c>
      <c r="I103" s="18">
        <f t="shared" si="3"/>
        <v>45536</v>
      </c>
      <c r="J103" s="15" t="str">
        <f>VLOOKUP(Table2[[#This Row],[Store ID]],Table4[[Store ID]:[Store Location]],2)</f>
        <v>Birmingham</v>
      </c>
    </row>
    <row r="104" spans="1:10" ht="14.25" customHeight="1" x14ac:dyDescent="0.25">
      <c r="A104" s="1" t="s">
        <v>988</v>
      </c>
      <c r="B104" s="1" t="s">
        <v>48</v>
      </c>
      <c r="C104" s="14">
        <v>56209</v>
      </c>
      <c r="D104" s="14">
        <v>23973</v>
      </c>
      <c r="E104" s="14">
        <v>7607</v>
      </c>
      <c r="F104" s="14">
        <v>15715</v>
      </c>
      <c r="G104" s="14">
        <v>8842</v>
      </c>
      <c r="H104" s="15">
        <f>SUM(Table2[[#This Row],[Staff Cost]:[Logistics Cost]])</f>
        <v>112346</v>
      </c>
      <c r="I104" s="18">
        <f t="shared" si="3"/>
        <v>45536</v>
      </c>
      <c r="J104" s="15" t="str">
        <f>VLOOKUP(Table2[[#This Row],[Store ID]],Table4[[Store ID]:[Store Location]],2)</f>
        <v>London Stratford</v>
      </c>
    </row>
    <row r="105" spans="1:10" ht="14.25" customHeight="1" x14ac:dyDescent="0.25">
      <c r="A105" s="1" t="s">
        <v>988</v>
      </c>
      <c r="B105" s="1" t="s">
        <v>52</v>
      </c>
      <c r="C105" s="14">
        <v>51984</v>
      </c>
      <c r="D105" s="14">
        <v>25605</v>
      </c>
      <c r="E105" s="14">
        <v>7579</v>
      </c>
      <c r="F105" s="14">
        <v>15476</v>
      </c>
      <c r="G105" s="14">
        <v>7809</v>
      </c>
      <c r="H105" s="15">
        <f>SUM(Table2[[#This Row],[Staff Cost]:[Logistics Cost]])</f>
        <v>108453</v>
      </c>
      <c r="I105" s="18">
        <f t="shared" si="3"/>
        <v>45536</v>
      </c>
      <c r="J105" s="15" t="str">
        <f>VLOOKUP(Table2[[#This Row],[Store ID]],Table4[[Store ID]:[Store Location]],2)</f>
        <v>Glasgow</v>
      </c>
    </row>
    <row r="106" spans="1:10" ht="14.25" customHeight="1" x14ac:dyDescent="0.25">
      <c r="A106" s="1" t="s">
        <v>988</v>
      </c>
      <c r="B106" s="1" t="s">
        <v>56</v>
      </c>
      <c r="C106" s="14">
        <v>53755</v>
      </c>
      <c r="D106" s="14">
        <v>24787</v>
      </c>
      <c r="E106" s="14">
        <v>8932</v>
      </c>
      <c r="F106" s="14">
        <v>14400</v>
      </c>
      <c r="G106" s="14">
        <v>8215</v>
      </c>
      <c r="H106" s="15">
        <f>SUM(Table2[[#This Row],[Staff Cost]:[Logistics Cost]])</f>
        <v>110089</v>
      </c>
      <c r="I106" s="18">
        <f t="shared" si="3"/>
        <v>45566</v>
      </c>
      <c r="J106" s="15" t="str">
        <f>VLOOKUP(Table2[[#This Row],[Store ID]],Table4[[Store ID]:[Store Location]],2)</f>
        <v>Leeds</v>
      </c>
    </row>
    <row r="107" spans="1:10" ht="14.25" customHeight="1" x14ac:dyDescent="0.25">
      <c r="A107" s="1" t="s">
        <v>1034</v>
      </c>
      <c r="B107" s="1" t="s">
        <v>40</v>
      </c>
      <c r="C107" s="14">
        <v>52034</v>
      </c>
      <c r="D107" s="14">
        <v>23360</v>
      </c>
      <c r="E107" s="14">
        <v>8967</v>
      </c>
      <c r="F107" s="14">
        <v>14747</v>
      </c>
      <c r="G107" s="14">
        <v>7439</v>
      </c>
      <c r="H107" s="15">
        <f>SUM(Table2[[#This Row],[Staff Cost]:[Logistics Cost]])</f>
        <v>106547</v>
      </c>
      <c r="I107" s="18">
        <f t="shared" si="3"/>
        <v>45566</v>
      </c>
      <c r="J107" s="15" t="str">
        <f>VLOOKUP(Table2[[#This Row],[Store ID]],Table4[[Store ID]:[Store Location]],2)</f>
        <v>Manchester</v>
      </c>
    </row>
    <row r="108" spans="1:10" ht="14.25" customHeight="1" x14ac:dyDescent="0.25">
      <c r="A108" s="1" t="s">
        <v>1034</v>
      </c>
      <c r="B108" s="1" t="s">
        <v>44</v>
      </c>
      <c r="C108" s="14">
        <v>60558</v>
      </c>
      <c r="D108" s="14">
        <v>24731</v>
      </c>
      <c r="E108" s="14">
        <v>9045</v>
      </c>
      <c r="F108" s="14">
        <v>19992</v>
      </c>
      <c r="G108" s="14">
        <v>9574</v>
      </c>
      <c r="H108" s="15">
        <f>SUM(Table2[[#This Row],[Staff Cost]:[Logistics Cost]])</f>
        <v>123900</v>
      </c>
      <c r="I108" s="18">
        <f t="shared" si="3"/>
        <v>45566</v>
      </c>
      <c r="J108" s="15" t="str">
        <f>VLOOKUP(Table2[[#This Row],[Store ID]],Table4[[Store ID]:[Store Location]],2)</f>
        <v>Birmingham</v>
      </c>
    </row>
    <row r="109" spans="1:10" ht="14.25" customHeight="1" x14ac:dyDescent="0.25">
      <c r="A109" s="1" t="s">
        <v>1034</v>
      </c>
      <c r="B109" s="1" t="s">
        <v>48</v>
      </c>
      <c r="C109" s="14">
        <v>52596</v>
      </c>
      <c r="D109" s="14">
        <v>23931</v>
      </c>
      <c r="E109" s="14">
        <v>8912</v>
      </c>
      <c r="F109" s="14">
        <v>17661</v>
      </c>
      <c r="G109" s="14">
        <v>8020</v>
      </c>
      <c r="H109" s="15">
        <f>SUM(Table2[[#This Row],[Staff Cost]:[Logistics Cost]])</f>
        <v>111120</v>
      </c>
      <c r="I109" s="18">
        <f t="shared" si="3"/>
        <v>45566</v>
      </c>
      <c r="J109" s="15" t="str">
        <f>VLOOKUP(Table2[[#This Row],[Store ID]],Table4[[Store ID]:[Store Location]],2)</f>
        <v>London Stratford</v>
      </c>
    </row>
    <row r="110" spans="1:10" ht="14.25" customHeight="1" x14ac:dyDescent="0.25">
      <c r="A110" s="1" t="s">
        <v>1034</v>
      </c>
      <c r="B110" s="1" t="s">
        <v>52</v>
      </c>
      <c r="C110" s="14">
        <v>63065</v>
      </c>
      <c r="D110" s="14">
        <v>25389</v>
      </c>
      <c r="E110" s="14">
        <v>9601</v>
      </c>
      <c r="F110" s="14">
        <v>14694</v>
      </c>
      <c r="G110" s="14">
        <v>9216</v>
      </c>
      <c r="H110" s="15">
        <f>SUM(Table2[[#This Row],[Staff Cost]:[Logistics Cost]])</f>
        <v>121965</v>
      </c>
      <c r="I110" s="18">
        <f t="shared" si="3"/>
        <v>45566</v>
      </c>
      <c r="J110" s="15" t="str">
        <f>VLOOKUP(Table2[[#This Row],[Store ID]],Table4[[Store ID]:[Store Location]],2)</f>
        <v>Glasgow</v>
      </c>
    </row>
    <row r="111" spans="1:10" ht="14.25" customHeight="1" x14ac:dyDescent="0.25">
      <c r="A111" s="1" t="s">
        <v>1034</v>
      </c>
      <c r="B111" s="1" t="s">
        <v>56</v>
      </c>
      <c r="C111" s="14">
        <v>63148</v>
      </c>
      <c r="D111" s="14">
        <v>25953</v>
      </c>
      <c r="E111" s="14">
        <v>8987</v>
      </c>
      <c r="F111" s="14">
        <v>18518</v>
      </c>
      <c r="G111" s="14">
        <v>7439</v>
      </c>
      <c r="H111" s="15">
        <f>SUM(Table2[[#This Row],[Staff Cost]:[Logistics Cost]])</f>
        <v>124045</v>
      </c>
      <c r="I111" s="18">
        <f t="shared" si="3"/>
        <v>45597</v>
      </c>
      <c r="J111" s="15" t="str">
        <f>VLOOKUP(Table2[[#This Row],[Store ID]],Table4[[Store ID]:[Store Location]],2)</f>
        <v>Leeds</v>
      </c>
    </row>
    <row r="112" spans="1:10" ht="14.25" customHeight="1" x14ac:dyDescent="0.25">
      <c r="A112" s="1" t="s">
        <v>1080</v>
      </c>
      <c r="B112" s="1" t="s">
        <v>40</v>
      </c>
      <c r="C112" s="14">
        <v>54890</v>
      </c>
      <c r="D112" s="14">
        <v>22668</v>
      </c>
      <c r="E112" s="14">
        <v>8875</v>
      </c>
      <c r="F112" s="14">
        <v>13017</v>
      </c>
      <c r="G112" s="14">
        <v>7472</v>
      </c>
      <c r="H112" s="15">
        <f>SUM(Table2[[#This Row],[Staff Cost]:[Logistics Cost]])</f>
        <v>106922</v>
      </c>
      <c r="I112" s="18">
        <f t="shared" si="3"/>
        <v>45597</v>
      </c>
      <c r="J112" s="15" t="str">
        <f>VLOOKUP(Table2[[#This Row],[Store ID]],Table4[[Store ID]:[Store Location]],2)</f>
        <v>Manchester</v>
      </c>
    </row>
    <row r="113" spans="1:10" ht="14.25" customHeight="1" x14ac:dyDescent="0.25">
      <c r="A113" s="1" t="s">
        <v>1080</v>
      </c>
      <c r="B113" s="1" t="s">
        <v>44</v>
      </c>
      <c r="C113" s="14">
        <v>53923</v>
      </c>
      <c r="D113" s="14">
        <v>24779</v>
      </c>
      <c r="E113" s="14">
        <v>10184</v>
      </c>
      <c r="F113" s="14">
        <v>17529</v>
      </c>
      <c r="G113" s="14">
        <v>8783</v>
      </c>
      <c r="H113" s="15">
        <f>SUM(Table2[[#This Row],[Staff Cost]:[Logistics Cost]])</f>
        <v>115198</v>
      </c>
      <c r="I113" s="18">
        <f t="shared" si="3"/>
        <v>45597</v>
      </c>
      <c r="J113" s="15" t="str">
        <f>VLOOKUP(Table2[[#This Row],[Store ID]],Table4[[Store ID]:[Store Location]],2)</f>
        <v>Birmingham</v>
      </c>
    </row>
    <row r="114" spans="1:10" ht="14.25" customHeight="1" x14ac:dyDescent="0.25">
      <c r="A114" s="1" t="s">
        <v>1080</v>
      </c>
      <c r="B114" s="1" t="s">
        <v>48</v>
      </c>
      <c r="C114" s="14">
        <v>58330</v>
      </c>
      <c r="D114" s="14">
        <v>23083</v>
      </c>
      <c r="E114" s="14">
        <v>8140</v>
      </c>
      <c r="F114" s="14">
        <v>18713</v>
      </c>
      <c r="G114" s="14">
        <v>7409</v>
      </c>
      <c r="H114" s="15">
        <f>SUM(Table2[[#This Row],[Staff Cost]:[Logistics Cost]])</f>
        <v>115675</v>
      </c>
      <c r="I114" s="18">
        <f t="shared" si="3"/>
        <v>45597</v>
      </c>
      <c r="J114" s="15" t="str">
        <f>VLOOKUP(Table2[[#This Row],[Store ID]],Table4[[Store ID]:[Store Location]],2)</f>
        <v>London Stratford</v>
      </c>
    </row>
    <row r="115" spans="1:10" ht="14.25" customHeight="1" x14ac:dyDescent="0.25">
      <c r="A115" s="1" t="s">
        <v>1080</v>
      </c>
      <c r="B115" s="1" t="s">
        <v>52</v>
      </c>
      <c r="C115" s="14">
        <v>53777</v>
      </c>
      <c r="D115" s="14">
        <v>23384</v>
      </c>
      <c r="E115" s="14">
        <v>7450</v>
      </c>
      <c r="F115" s="14">
        <v>11593</v>
      </c>
      <c r="G115" s="14">
        <v>7826</v>
      </c>
      <c r="H115" s="15">
        <f>SUM(Table2[[#This Row],[Staff Cost]:[Logistics Cost]])</f>
        <v>104030</v>
      </c>
      <c r="I115" s="18">
        <f t="shared" si="3"/>
        <v>45597</v>
      </c>
      <c r="J115" s="15" t="str">
        <f>VLOOKUP(Table2[[#This Row],[Store ID]],Table4[[Store ID]:[Store Location]],2)</f>
        <v>Glasgow</v>
      </c>
    </row>
    <row r="116" spans="1:10" ht="14.25" customHeight="1" x14ac:dyDescent="0.25">
      <c r="A116" s="1" t="s">
        <v>1080</v>
      </c>
      <c r="B116" s="1" t="s">
        <v>56</v>
      </c>
      <c r="C116" s="14">
        <v>52169</v>
      </c>
      <c r="D116" s="14">
        <v>24236</v>
      </c>
      <c r="E116" s="14">
        <v>7339</v>
      </c>
      <c r="F116" s="14">
        <v>13396</v>
      </c>
      <c r="G116" s="14">
        <v>9476</v>
      </c>
      <c r="H116" s="15">
        <f>SUM(Table2[[#This Row],[Staff Cost]:[Logistics Cost]])</f>
        <v>106616</v>
      </c>
      <c r="I116" s="18">
        <f t="shared" si="3"/>
        <v>45627</v>
      </c>
      <c r="J116" s="15" t="str">
        <f>VLOOKUP(Table2[[#This Row],[Store ID]],Table4[[Store ID]:[Store Location]],2)</f>
        <v>Leeds</v>
      </c>
    </row>
    <row r="117" spans="1:10" ht="14.25" customHeight="1" x14ac:dyDescent="0.25">
      <c r="A117" s="1" t="s">
        <v>1126</v>
      </c>
      <c r="B117" s="1" t="s">
        <v>40</v>
      </c>
      <c r="C117" s="14">
        <v>54219</v>
      </c>
      <c r="D117" s="14">
        <v>23348</v>
      </c>
      <c r="E117" s="14">
        <v>10011</v>
      </c>
      <c r="F117" s="14">
        <v>15763</v>
      </c>
      <c r="G117" s="14">
        <v>7964</v>
      </c>
      <c r="H117" s="15">
        <f>SUM(Table2[[#This Row],[Staff Cost]:[Logistics Cost]])</f>
        <v>111305</v>
      </c>
      <c r="I117" s="18">
        <f t="shared" si="3"/>
        <v>45627</v>
      </c>
      <c r="J117" s="15" t="str">
        <f>VLOOKUP(Table2[[#This Row],[Store ID]],Table4[[Store ID]:[Store Location]],2)</f>
        <v>Manchester</v>
      </c>
    </row>
    <row r="118" spans="1:10" ht="14.25" customHeight="1" x14ac:dyDescent="0.25">
      <c r="A118" s="1" t="s">
        <v>1126</v>
      </c>
      <c r="B118" s="1" t="s">
        <v>44</v>
      </c>
      <c r="C118" s="14">
        <v>61340</v>
      </c>
      <c r="D118" s="14">
        <v>22419</v>
      </c>
      <c r="E118" s="14">
        <v>9489</v>
      </c>
      <c r="F118" s="14">
        <v>20067</v>
      </c>
      <c r="G118" s="14">
        <v>8991</v>
      </c>
      <c r="H118" s="15">
        <f>SUM(Table2[[#This Row],[Staff Cost]:[Logistics Cost]])</f>
        <v>122306</v>
      </c>
      <c r="I118" s="18">
        <f t="shared" si="3"/>
        <v>45627</v>
      </c>
      <c r="J118" s="15" t="str">
        <f>VLOOKUP(Table2[[#This Row],[Store ID]],Table4[[Store ID]:[Store Location]],2)</f>
        <v>Birmingham</v>
      </c>
    </row>
    <row r="119" spans="1:10" ht="14.25" customHeight="1" x14ac:dyDescent="0.25">
      <c r="A119" s="1" t="s">
        <v>1126</v>
      </c>
      <c r="B119" s="1" t="s">
        <v>48</v>
      </c>
      <c r="C119" s="14">
        <v>53371</v>
      </c>
      <c r="D119" s="14">
        <v>22587</v>
      </c>
      <c r="E119" s="14">
        <v>10045</v>
      </c>
      <c r="F119" s="14">
        <v>15658</v>
      </c>
      <c r="G119" s="14">
        <v>7109</v>
      </c>
      <c r="H119" s="15">
        <f>SUM(Table2[[#This Row],[Staff Cost]:[Logistics Cost]])</f>
        <v>108770</v>
      </c>
      <c r="I119" s="18">
        <f t="shared" si="3"/>
        <v>45627</v>
      </c>
      <c r="J119" s="15" t="str">
        <f>VLOOKUP(Table2[[#This Row],[Store ID]],Table4[[Store ID]:[Store Location]],2)</f>
        <v>London Stratford</v>
      </c>
    </row>
    <row r="120" spans="1:10" ht="14.25" customHeight="1" x14ac:dyDescent="0.25">
      <c r="A120" s="1" t="s">
        <v>1126</v>
      </c>
      <c r="B120" s="1" t="s">
        <v>52</v>
      </c>
      <c r="C120" s="14">
        <v>54092</v>
      </c>
      <c r="D120" s="14">
        <v>24941</v>
      </c>
      <c r="E120" s="14">
        <v>7627</v>
      </c>
      <c r="F120" s="14">
        <v>17406</v>
      </c>
      <c r="G120" s="14">
        <v>7230</v>
      </c>
      <c r="H120" s="15">
        <f>SUM(Table2[[#This Row],[Staff Cost]:[Logistics Cost]])</f>
        <v>111296</v>
      </c>
      <c r="I120" s="18">
        <f t="shared" si="3"/>
        <v>45627</v>
      </c>
      <c r="J120" s="15" t="str">
        <f>VLOOKUP(Table2[[#This Row],[Store ID]],Table4[[Store ID]:[Store Location]],2)</f>
        <v>Glasgow</v>
      </c>
    </row>
    <row r="121" spans="1:10" ht="14.25" customHeight="1" x14ac:dyDescent="0.25">
      <c r="A121" s="1" t="s">
        <v>1126</v>
      </c>
      <c r="B121" s="1" t="s">
        <v>56</v>
      </c>
      <c r="C121" s="14">
        <v>52376</v>
      </c>
      <c r="D121" s="14">
        <v>25087</v>
      </c>
      <c r="E121" s="14">
        <v>8283</v>
      </c>
      <c r="F121" s="14">
        <v>17300</v>
      </c>
      <c r="G121" s="14">
        <v>9187</v>
      </c>
      <c r="H121" s="15">
        <f>SUM(Table2[[#This Row],[Staff Cost]:[Logistics Cost]])</f>
        <v>112233</v>
      </c>
      <c r="I121" s="25" t="e">
        <f t="shared" si="3"/>
        <v>#VALUE!</v>
      </c>
      <c r="J121" s="15" t="str">
        <f>VLOOKUP(Table2[[#This Row],[Store ID]],Table4[[Store ID]:[Store Location]],2)</f>
        <v>Leeds</v>
      </c>
    </row>
    <row r="122" spans="1:10" ht="14.25" customHeight="1" x14ac:dyDescent="0.25"/>
    <row r="123" spans="1:10" ht="14.25" customHeight="1" x14ac:dyDescent="0.25"/>
    <row r="124" spans="1:10" ht="14.25" customHeight="1" x14ac:dyDescent="0.25"/>
    <row r="125" spans="1:10" ht="14.25" customHeight="1" x14ac:dyDescent="0.25"/>
    <row r="126" spans="1:10" ht="14.25" customHeight="1" x14ac:dyDescent="0.25"/>
    <row r="127" spans="1:10" ht="14.25" customHeight="1" x14ac:dyDescent="0.25"/>
    <row r="128" spans="1:10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  <ignoredErrors>
    <ignoredError sqref="I121" evalError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14.140625" customWidth="1"/>
    <col min="2" max="2" width="18.140625" customWidth="1"/>
    <col min="3" max="3" width="20" customWidth="1"/>
    <col min="4" max="4" width="16.140625" style="3" customWidth="1"/>
    <col min="5" max="5" width="17.7109375" style="3" customWidth="1"/>
    <col min="6" max="26" width="8.7109375" customWidth="1"/>
  </cols>
  <sheetData>
    <row r="1" spans="1:6" ht="14.25" customHeight="1" x14ac:dyDescent="0.25">
      <c r="A1" s="1" t="s">
        <v>1177</v>
      </c>
      <c r="B1" s="1" t="s">
        <v>1178</v>
      </c>
      <c r="C1" s="1" t="s">
        <v>1179</v>
      </c>
      <c r="D1" s="2" t="s">
        <v>1180</v>
      </c>
      <c r="E1" s="2" t="s">
        <v>1181</v>
      </c>
      <c r="F1" t="s">
        <v>1275</v>
      </c>
    </row>
    <row r="2" spans="1:6" ht="14.25" customHeight="1" x14ac:dyDescent="0.25">
      <c r="A2" s="1" t="s">
        <v>1182</v>
      </c>
      <c r="B2" s="1" t="s">
        <v>1183</v>
      </c>
      <c r="C2" s="1" t="s">
        <v>1184</v>
      </c>
      <c r="D2" s="2">
        <v>165338</v>
      </c>
      <c r="E2" s="2">
        <v>516673.64</v>
      </c>
      <c r="F2">
        <f>Table3[[#This Row],[Sales Generated]]/Table3[[#This Row],[Campaign Cost]]</f>
        <v>3.1249539730733407</v>
      </c>
    </row>
    <row r="3" spans="1:6" ht="14.25" customHeight="1" x14ac:dyDescent="0.25">
      <c r="A3" s="1" t="s">
        <v>1185</v>
      </c>
      <c r="B3" s="1" t="s">
        <v>1186</v>
      </c>
      <c r="C3" s="1" t="s">
        <v>1187</v>
      </c>
      <c r="D3" s="2">
        <v>100323</v>
      </c>
      <c r="E3" s="2">
        <v>327261.59999999998</v>
      </c>
      <c r="F3">
        <f>Table3[[#This Row],[Sales Generated]]/Table3[[#This Row],[Campaign Cost]]</f>
        <v>3.2620794832690407</v>
      </c>
    </row>
    <row r="4" spans="1:6" ht="14.25" customHeight="1" x14ac:dyDescent="0.25">
      <c r="A4" s="1" t="s">
        <v>1188</v>
      </c>
      <c r="B4" s="1" t="s">
        <v>1189</v>
      </c>
      <c r="C4" s="1" t="s">
        <v>1184</v>
      </c>
      <c r="D4" s="2">
        <v>164456</v>
      </c>
      <c r="E4" s="2">
        <v>494226.07</v>
      </c>
      <c r="F4">
        <f>Table3[[#This Row],[Sales Generated]]/Table3[[#This Row],[Campaign Cost]]</f>
        <v>3.0052176265992121</v>
      </c>
    </row>
    <row r="5" spans="1:6" ht="14.25" customHeight="1" x14ac:dyDescent="0.25">
      <c r="A5" s="1" t="s">
        <v>1190</v>
      </c>
      <c r="B5" s="1" t="s">
        <v>1191</v>
      </c>
      <c r="C5" s="1" t="s">
        <v>1192</v>
      </c>
      <c r="D5" s="2">
        <v>127365</v>
      </c>
      <c r="E5" s="2">
        <v>399537.83</v>
      </c>
      <c r="F5">
        <f>Table3[[#This Row],[Sales Generated]]/Table3[[#This Row],[Campaign Cost]]</f>
        <v>3.13695151729282</v>
      </c>
    </row>
    <row r="6" spans="1:6" ht="14.25" customHeight="1" x14ac:dyDescent="0.25">
      <c r="A6" s="1" t="s">
        <v>1193</v>
      </c>
      <c r="B6" s="1" t="s">
        <v>1194</v>
      </c>
      <c r="C6" s="1" t="s">
        <v>1192</v>
      </c>
      <c r="D6" s="2">
        <v>106383</v>
      </c>
      <c r="E6" s="2">
        <v>321779.88</v>
      </c>
      <c r="F6">
        <f>Table3[[#This Row],[Sales Generated]]/Table3[[#This Row],[Campaign Cost]]</f>
        <v>3.0247302670539464</v>
      </c>
    </row>
    <row r="7" spans="1:6" ht="14.25" customHeight="1" x14ac:dyDescent="0.25">
      <c r="A7" s="1" t="s">
        <v>1195</v>
      </c>
      <c r="B7" s="1" t="s">
        <v>1196</v>
      </c>
      <c r="C7" s="1" t="s">
        <v>1197</v>
      </c>
      <c r="D7" s="2">
        <v>78660</v>
      </c>
      <c r="E7" s="2">
        <v>253364.06</v>
      </c>
      <c r="F7">
        <f>Table3[[#This Row],[Sales Generated]]/Table3[[#This Row],[Campaign Cost]]</f>
        <v>3.2210025425883551</v>
      </c>
    </row>
    <row r="8" spans="1:6" ht="14.25" customHeight="1" x14ac:dyDescent="0.25">
      <c r="A8" s="1" t="s">
        <v>1198</v>
      </c>
      <c r="B8" s="1" t="s">
        <v>1199</v>
      </c>
      <c r="C8" s="1" t="s">
        <v>1200</v>
      </c>
      <c r="D8" s="2">
        <v>137026</v>
      </c>
      <c r="E8" s="2">
        <v>467299.32</v>
      </c>
      <c r="F8">
        <f>Table3[[#This Row],[Sales Generated]]/Table3[[#This Row],[Campaign Cost]]</f>
        <v>3.4102967320070645</v>
      </c>
    </row>
    <row r="9" spans="1:6" ht="14.25" customHeight="1" x14ac:dyDescent="0.25">
      <c r="A9" s="1" t="s">
        <v>1201</v>
      </c>
      <c r="B9" s="1" t="s">
        <v>1202</v>
      </c>
      <c r="C9" s="1" t="s">
        <v>1200</v>
      </c>
      <c r="D9" s="2">
        <v>189114</v>
      </c>
      <c r="E9" s="2">
        <v>596829.75</v>
      </c>
      <c r="F9">
        <f>Table3[[#This Row],[Sales Generated]]/Table3[[#This Row],[Campaign Cost]]</f>
        <v>3.1559257907928551</v>
      </c>
    </row>
    <row r="10" spans="1:6" ht="14.25" customHeight="1" x14ac:dyDescent="0.25">
      <c r="A10" s="1" t="s">
        <v>1203</v>
      </c>
      <c r="B10" s="1" t="s">
        <v>1204</v>
      </c>
      <c r="C10" s="1" t="s">
        <v>1192</v>
      </c>
      <c r="D10" s="2">
        <v>121245</v>
      </c>
      <c r="E10" s="2">
        <v>415511.32</v>
      </c>
      <c r="F10">
        <f>Table3[[#This Row],[Sales Generated]]/Table3[[#This Row],[Campaign Cost]]</f>
        <v>3.4270388057239476</v>
      </c>
    </row>
    <row r="11" spans="1:6" ht="14.25" customHeight="1" x14ac:dyDescent="0.25">
      <c r="A11" s="1" t="s">
        <v>1205</v>
      </c>
      <c r="B11" s="1" t="s">
        <v>1206</v>
      </c>
      <c r="C11" s="1" t="s">
        <v>1187</v>
      </c>
      <c r="D11" s="2">
        <v>117821</v>
      </c>
      <c r="E11" s="2">
        <v>396719.62</v>
      </c>
      <c r="F11">
        <f>Table3[[#This Row],[Sales Generated]]/Table3[[#This Row],[Campaign Cost]]</f>
        <v>3.3671384557931097</v>
      </c>
    </row>
    <row r="12" spans="1:6" ht="14.25" customHeight="1" x14ac:dyDescent="0.25">
      <c r="A12" s="1" t="s">
        <v>1207</v>
      </c>
      <c r="B12" s="1" t="s">
        <v>1208</v>
      </c>
      <c r="C12" s="1" t="s">
        <v>1200</v>
      </c>
      <c r="D12" s="2">
        <v>175857</v>
      </c>
      <c r="E12" s="2">
        <v>550762.94999999995</v>
      </c>
      <c r="F12">
        <f>Table3[[#This Row],[Sales Generated]]/Table3[[#This Row],[Campaign Cost]]</f>
        <v>3.1318795953530421</v>
      </c>
    </row>
    <row r="13" spans="1:6" ht="14.25" customHeight="1" x14ac:dyDescent="0.25">
      <c r="A13" s="1" t="s">
        <v>1209</v>
      </c>
      <c r="B13" s="1" t="s">
        <v>1210</v>
      </c>
      <c r="C13" s="1" t="s">
        <v>1197</v>
      </c>
      <c r="D13" s="2">
        <v>194036</v>
      </c>
      <c r="E13" s="2">
        <v>661591.77</v>
      </c>
      <c r="F13">
        <f>Table3[[#This Row],[Sales Generated]]/Table3[[#This Row],[Campaign Cost]]</f>
        <v>3.4096341400564842</v>
      </c>
    </row>
    <row r="14" spans="1:6" ht="14.25" customHeight="1" x14ac:dyDescent="0.25">
      <c r="A14" s="1" t="s">
        <v>1211</v>
      </c>
      <c r="B14" s="1" t="s">
        <v>1212</v>
      </c>
      <c r="C14" s="1" t="s">
        <v>1192</v>
      </c>
      <c r="D14" s="2">
        <v>97370</v>
      </c>
      <c r="E14" s="2">
        <v>217697.35</v>
      </c>
      <c r="F14">
        <f>Table3[[#This Row],[Sales Generated]]/Table3[[#This Row],[Campaign Cost]]</f>
        <v>2.2357743658210949</v>
      </c>
    </row>
    <row r="15" spans="1:6" ht="14.25" customHeight="1" x14ac:dyDescent="0.25">
      <c r="A15" s="1" t="s">
        <v>1213</v>
      </c>
      <c r="B15" s="1" t="s">
        <v>1214</v>
      </c>
      <c r="C15" s="1" t="s">
        <v>1197</v>
      </c>
      <c r="D15" s="2">
        <v>180609</v>
      </c>
      <c r="E15" s="2">
        <v>384638.55</v>
      </c>
      <c r="F15">
        <f>Table3[[#This Row],[Sales Generated]]/Table3[[#This Row],[Campaign Cost]]</f>
        <v>2.1296754314569042</v>
      </c>
    </row>
    <row r="16" spans="1:6" ht="14.25" customHeight="1" x14ac:dyDescent="0.25">
      <c r="A16" s="1" t="s">
        <v>1215</v>
      </c>
      <c r="B16" s="1" t="s">
        <v>1216</v>
      </c>
      <c r="C16" s="1" t="s">
        <v>1187</v>
      </c>
      <c r="D16" s="2">
        <v>86211</v>
      </c>
      <c r="E16" s="2">
        <v>172821.66</v>
      </c>
      <c r="F16">
        <f>Table3[[#This Row],[Sales Generated]]/Table3[[#This Row],[Campaign Cost]]</f>
        <v>2.0046358353342382</v>
      </c>
    </row>
    <row r="17" spans="1:6" ht="14.25" customHeight="1" x14ac:dyDescent="0.25">
      <c r="A17" s="1" t="s">
        <v>1217</v>
      </c>
      <c r="B17" s="1" t="s">
        <v>1218</v>
      </c>
      <c r="C17" s="1" t="s">
        <v>1184</v>
      </c>
      <c r="D17" s="2">
        <v>160953</v>
      </c>
      <c r="E17" s="2">
        <v>356662.93</v>
      </c>
      <c r="F17">
        <f>Table3[[#This Row],[Sales Generated]]/Table3[[#This Row],[Campaign Cost]]</f>
        <v>2.2159445925207981</v>
      </c>
    </row>
    <row r="18" spans="1:6" ht="14.25" customHeight="1" x14ac:dyDescent="0.25">
      <c r="A18" s="1" t="s">
        <v>1219</v>
      </c>
      <c r="B18" s="1" t="s">
        <v>1220</v>
      </c>
      <c r="C18" s="1" t="s">
        <v>1200</v>
      </c>
      <c r="D18" s="2">
        <v>76662</v>
      </c>
      <c r="E18" s="2">
        <v>171340.67</v>
      </c>
      <c r="F18">
        <f>Table3[[#This Row],[Sales Generated]]/Table3[[#This Row],[Campaign Cost]]</f>
        <v>2.2350143486994862</v>
      </c>
    </row>
    <row r="19" spans="1:6" ht="14.25" customHeight="1" x14ac:dyDescent="0.25">
      <c r="A19" s="1" t="s">
        <v>1221</v>
      </c>
      <c r="B19" s="1" t="s">
        <v>1222</v>
      </c>
      <c r="C19" s="1" t="s">
        <v>1197</v>
      </c>
      <c r="D19" s="2">
        <v>138774</v>
      </c>
      <c r="E19" s="2">
        <v>298899.76</v>
      </c>
      <c r="F19">
        <f>Table3[[#This Row],[Sales Generated]]/Table3[[#This Row],[Campaign Cost]]</f>
        <v>2.1538599449464599</v>
      </c>
    </row>
    <row r="20" spans="1:6" ht="14.25" customHeight="1" x14ac:dyDescent="0.25">
      <c r="A20" s="1" t="s">
        <v>1223</v>
      </c>
      <c r="B20" s="1" t="s">
        <v>1224</v>
      </c>
      <c r="C20" s="1" t="s">
        <v>1192</v>
      </c>
      <c r="D20" s="2">
        <v>93114</v>
      </c>
      <c r="E20" s="2">
        <v>202144.34</v>
      </c>
      <c r="F20">
        <f>Table3[[#This Row],[Sales Generated]]/Table3[[#This Row],[Campaign Cost]]</f>
        <v>2.1709339089717981</v>
      </c>
    </row>
    <row r="21" spans="1:6" ht="14.25" customHeight="1" x14ac:dyDescent="0.25">
      <c r="A21" s="1" t="s">
        <v>1225</v>
      </c>
      <c r="B21" s="1" t="s">
        <v>1226</v>
      </c>
      <c r="C21" s="1" t="s">
        <v>1197</v>
      </c>
      <c r="D21" s="2">
        <v>80503</v>
      </c>
      <c r="E21" s="2">
        <v>197138.68</v>
      </c>
      <c r="F21">
        <f>Table3[[#This Row],[Sales Generated]]/Table3[[#This Row],[Campaign Cost]]</f>
        <v>2.4488364408779795</v>
      </c>
    </row>
    <row r="22" spans="1:6" ht="14.25" customHeight="1" x14ac:dyDescent="0.25">
      <c r="A22" s="1" t="s">
        <v>1227</v>
      </c>
      <c r="B22" s="1" t="s">
        <v>1228</v>
      </c>
      <c r="C22" s="1" t="s">
        <v>1192</v>
      </c>
      <c r="D22" s="2">
        <v>62993</v>
      </c>
      <c r="E22" s="2">
        <v>131759.75</v>
      </c>
      <c r="F22">
        <f>Table3[[#This Row],[Sales Generated]]/Table3[[#This Row],[Campaign Cost]]</f>
        <v>2.0916570095089932</v>
      </c>
    </row>
    <row r="23" spans="1:6" ht="14.25" customHeight="1" x14ac:dyDescent="0.25">
      <c r="A23" s="1" t="s">
        <v>1229</v>
      </c>
      <c r="B23" s="1" t="s">
        <v>1230</v>
      </c>
      <c r="C23" s="1" t="s">
        <v>1187</v>
      </c>
      <c r="D23" s="2">
        <v>84320</v>
      </c>
      <c r="E23" s="2">
        <v>176148.13</v>
      </c>
      <c r="F23">
        <f>Table3[[#This Row],[Sales Generated]]/Table3[[#This Row],[Campaign Cost]]</f>
        <v>2.0890432874762808</v>
      </c>
    </row>
    <row r="24" spans="1:6" ht="14.25" customHeight="1" x14ac:dyDescent="0.25">
      <c r="A24" s="1" t="s">
        <v>1231</v>
      </c>
      <c r="B24" s="1" t="s">
        <v>1232</v>
      </c>
      <c r="C24" s="1" t="s">
        <v>1197</v>
      </c>
      <c r="D24" s="2">
        <v>183879</v>
      </c>
      <c r="E24" s="2">
        <v>451105.63</v>
      </c>
      <c r="F24">
        <f>Table3[[#This Row],[Sales Generated]]/Table3[[#This Row],[Campaign Cost]]</f>
        <v>2.4532743271390425</v>
      </c>
    </row>
    <row r="25" spans="1:6" ht="14.25" customHeight="1" x14ac:dyDescent="0.25">
      <c r="A25" s="1" t="s">
        <v>1233</v>
      </c>
      <c r="B25" s="1" t="s">
        <v>1234</v>
      </c>
      <c r="C25" s="1" t="s">
        <v>1197</v>
      </c>
      <c r="D25" s="2">
        <v>77252</v>
      </c>
      <c r="E25" s="2">
        <v>191210.19</v>
      </c>
      <c r="F25">
        <f>Table3[[#This Row],[Sales Generated]]/Table3[[#This Row],[Campaign Cost]]</f>
        <v>2.4751487340133589</v>
      </c>
    </row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DE23-BE69-4625-8DBA-A35F69FFCC11}">
  <dimension ref="A1:C44"/>
  <sheetViews>
    <sheetView topLeftCell="A29" workbookViewId="0">
      <selection activeCell="D7" sqref="D7"/>
    </sheetView>
  </sheetViews>
  <sheetFormatPr defaultRowHeight="15" x14ac:dyDescent="0.25"/>
  <cols>
    <col min="1" max="1" width="31.5703125" customWidth="1"/>
    <col min="3" max="3" width="64.5703125" customWidth="1"/>
  </cols>
  <sheetData>
    <row r="1" spans="1:3" x14ac:dyDescent="0.25">
      <c r="A1" t="s">
        <v>1235</v>
      </c>
    </row>
    <row r="3" spans="1:3" x14ac:dyDescent="0.25">
      <c r="A3" s="7" t="s">
        <v>1236</v>
      </c>
      <c r="C3" s="7" t="s">
        <v>1237</v>
      </c>
    </row>
    <row r="4" spans="1:3" ht="45" x14ac:dyDescent="0.25">
      <c r="A4" s="5" t="s">
        <v>1250</v>
      </c>
      <c r="C4" s="6" t="s">
        <v>1248</v>
      </c>
    </row>
    <row r="5" spans="1:3" ht="30" x14ac:dyDescent="0.25">
      <c r="A5" s="5" t="s">
        <v>1249</v>
      </c>
      <c r="C5" s="5" t="s">
        <v>1267</v>
      </c>
    </row>
    <row r="6" spans="1:3" ht="45" x14ac:dyDescent="0.25">
      <c r="A6" s="8" t="s">
        <v>1251</v>
      </c>
      <c r="C6" s="4" t="s">
        <v>1266</v>
      </c>
    </row>
    <row r="7" spans="1:3" ht="45" x14ac:dyDescent="0.25">
      <c r="A7" s="8" t="s">
        <v>1252</v>
      </c>
      <c r="C7" s="4" t="s">
        <v>1265</v>
      </c>
    </row>
    <row r="8" spans="1:3" ht="45" x14ac:dyDescent="0.25">
      <c r="A8" s="8" t="s">
        <v>1253</v>
      </c>
      <c r="C8" s="4" t="s">
        <v>1264</v>
      </c>
    </row>
    <row r="9" spans="1:3" ht="30" x14ac:dyDescent="0.25">
      <c r="A9" s="8" t="s">
        <v>1254</v>
      </c>
      <c r="C9" s="4" t="s">
        <v>1263</v>
      </c>
    </row>
    <row r="10" spans="1:3" ht="30" x14ac:dyDescent="0.25">
      <c r="A10" s="8" t="s">
        <v>1255</v>
      </c>
      <c r="C10" s="5" t="s">
        <v>1262</v>
      </c>
    </row>
    <row r="11" spans="1:3" ht="60" x14ac:dyDescent="0.25">
      <c r="A11" s="8" t="s">
        <v>1256</v>
      </c>
      <c r="C11" s="5" t="s">
        <v>1261</v>
      </c>
    </row>
    <row r="12" spans="1:3" ht="45" x14ac:dyDescent="0.25">
      <c r="A12" s="8" t="s">
        <v>1257</v>
      </c>
      <c r="C12" s="13" t="s">
        <v>1272</v>
      </c>
    </row>
    <row r="13" spans="1:3" ht="45" x14ac:dyDescent="0.25">
      <c r="A13" s="8" t="s">
        <v>1258</v>
      </c>
      <c r="C13" s="4" t="s">
        <v>1268</v>
      </c>
    </row>
    <row r="14" spans="1:3" ht="45" x14ac:dyDescent="0.25">
      <c r="A14" s="8" t="s">
        <v>1259</v>
      </c>
      <c r="C14" s="4" t="s">
        <v>1260</v>
      </c>
    </row>
    <row r="18" spans="1:1" ht="23.25" x14ac:dyDescent="0.25">
      <c r="A18" s="9" t="s">
        <v>1269</v>
      </c>
    </row>
    <row r="20" spans="1:1" ht="18" x14ac:dyDescent="0.25">
      <c r="A20" s="10" t="s">
        <v>1270</v>
      </c>
    </row>
    <row r="21" spans="1:1" x14ac:dyDescent="0.25">
      <c r="A21" s="11"/>
    </row>
    <row r="22" spans="1:1" x14ac:dyDescent="0.25">
      <c r="A22" s="12" t="s">
        <v>1238</v>
      </c>
    </row>
    <row r="23" spans="1:1" x14ac:dyDescent="0.25">
      <c r="A23" s="11"/>
    </row>
    <row r="24" spans="1:1" x14ac:dyDescent="0.25">
      <c r="A24" s="12" t="s">
        <v>1240</v>
      </c>
    </row>
    <row r="25" spans="1:1" x14ac:dyDescent="0.25">
      <c r="A25" s="11"/>
    </row>
    <row r="26" spans="1:1" x14ac:dyDescent="0.25">
      <c r="A26" s="12" t="s">
        <v>1241</v>
      </c>
    </row>
    <row r="27" spans="1:1" x14ac:dyDescent="0.25">
      <c r="A27" s="11"/>
    </row>
    <row r="28" spans="1:1" x14ac:dyDescent="0.25">
      <c r="A28" s="12" t="s">
        <v>1246</v>
      </c>
    </row>
    <row r="29" spans="1:1" x14ac:dyDescent="0.25">
      <c r="A29" s="11"/>
    </row>
    <row r="30" spans="1:1" x14ac:dyDescent="0.25">
      <c r="A30" s="12" t="s">
        <v>1247</v>
      </c>
    </row>
    <row r="32" spans="1:1" ht="18" x14ac:dyDescent="0.25">
      <c r="A32" s="10" t="s">
        <v>1271</v>
      </c>
    </row>
    <row r="33" spans="1:1" x14ac:dyDescent="0.25">
      <c r="A33" s="11"/>
    </row>
    <row r="34" spans="1:1" x14ac:dyDescent="0.25">
      <c r="A34" s="12" t="s">
        <v>1239</v>
      </c>
    </row>
    <row r="35" spans="1:1" x14ac:dyDescent="0.25">
      <c r="A35" s="11"/>
    </row>
    <row r="36" spans="1:1" x14ac:dyDescent="0.25">
      <c r="A36" s="12" t="s">
        <v>63</v>
      </c>
    </row>
    <row r="37" spans="1:1" x14ac:dyDescent="0.25">
      <c r="A37" s="11"/>
    </row>
    <row r="38" spans="1:1" x14ac:dyDescent="0.25">
      <c r="A38" s="12" t="s">
        <v>1242</v>
      </c>
    </row>
    <row r="39" spans="1:1" x14ac:dyDescent="0.25">
      <c r="A39" s="11"/>
    </row>
    <row r="40" spans="1:1" x14ac:dyDescent="0.25">
      <c r="A40" s="12" t="s">
        <v>1243</v>
      </c>
    </row>
    <row r="41" spans="1:1" x14ac:dyDescent="0.25">
      <c r="A41" s="11"/>
    </row>
    <row r="42" spans="1:1" x14ac:dyDescent="0.25">
      <c r="A42" s="12" t="s">
        <v>1244</v>
      </c>
    </row>
    <row r="43" spans="1:1" x14ac:dyDescent="0.25">
      <c r="A43" s="11"/>
    </row>
    <row r="44" spans="1:1" x14ac:dyDescent="0.25">
      <c r="A44" s="12" t="s">
        <v>1245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0F97-9EAE-4661-9E83-B11A07C89AFF}">
  <dimension ref="A1:F28"/>
  <sheetViews>
    <sheetView workbookViewId="0">
      <selection activeCell="F8" sqref="F8"/>
    </sheetView>
  </sheetViews>
  <sheetFormatPr defaultRowHeight="15" x14ac:dyDescent="0.25"/>
  <cols>
    <col min="1" max="1" width="12" customWidth="1"/>
    <col min="2" max="2" width="17.140625" style="15" customWidth="1"/>
    <col min="3" max="3" width="12.7109375" style="17" customWidth="1"/>
    <col min="4" max="4" width="14.5703125" style="30" customWidth="1"/>
    <col min="5" max="5" width="13" customWidth="1"/>
    <col min="6" max="6" width="11.5703125" customWidth="1"/>
  </cols>
  <sheetData>
    <row r="1" spans="1:6" ht="20.25" x14ac:dyDescent="0.3">
      <c r="A1" s="26" t="s">
        <v>1288</v>
      </c>
    </row>
    <row r="4" spans="1:6" ht="45" x14ac:dyDescent="0.25">
      <c r="A4" s="20" t="s">
        <v>1171</v>
      </c>
      <c r="B4" s="27" t="s">
        <v>64</v>
      </c>
      <c r="C4" s="29" t="s">
        <v>1277</v>
      </c>
      <c r="D4" s="31" t="s">
        <v>1278</v>
      </c>
      <c r="E4" s="20" t="s">
        <v>1279</v>
      </c>
      <c r="F4" s="20" t="s">
        <v>1309</v>
      </c>
    </row>
    <row r="5" spans="1:6" x14ac:dyDescent="0.25">
      <c r="A5" s="18" t="str">
        <f>Calender!A5</f>
        <v>2023-01</v>
      </c>
      <c r="B5" s="15">
        <f>SUMIFS(Table5[Net Sales Revenue],Table5[month Key],'Revenue Trend Report'!A5)</f>
        <v>2329918.2399999998</v>
      </c>
      <c r="C5" s="17" t="s">
        <v>1297</v>
      </c>
      <c r="D5" s="30" t="s">
        <v>1297</v>
      </c>
    </row>
    <row r="6" spans="1:6" x14ac:dyDescent="0.25">
      <c r="A6" s="18" t="str">
        <f>Calender!A6</f>
        <v>2023-02</v>
      </c>
      <c r="B6" s="15">
        <f>SUMIFS(Table5[Net Sales Revenue],Table5[month Key],'Revenue Trend Report'!A6)</f>
        <v>2487689.44</v>
      </c>
      <c r="C6" s="30">
        <f>(B6-B5)/B5</f>
        <v>6.7715337513302706E-2</v>
      </c>
      <c r="D6" s="30" t="s">
        <v>1297</v>
      </c>
    </row>
    <row r="7" spans="1:6" x14ac:dyDescent="0.25">
      <c r="A7" s="18" t="str">
        <f>Calender!A7</f>
        <v>2023-03</v>
      </c>
      <c r="B7" s="15">
        <f>SUMIFS(Table5[Net Sales Revenue],Table5[month Key],'Revenue Trend Report'!A7)</f>
        <v>2444790.6</v>
      </c>
      <c r="C7" s="30">
        <f t="shared" ref="C7:C28" si="0">(B7-B6)/B6</f>
        <v>-1.7244451542150634E-2</v>
      </c>
      <c r="D7" s="30" t="s">
        <v>1297</v>
      </c>
      <c r="E7" s="15">
        <f>AVERAGE(B5:B7)</f>
        <v>2420799.4266666663</v>
      </c>
    </row>
    <row r="8" spans="1:6" x14ac:dyDescent="0.25">
      <c r="A8" s="18" t="str">
        <f>Calender!A8</f>
        <v>2023-04</v>
      </c>
      <c r="B8" s="15">
        <f>SUMIFS(Table5[Net Sales Revenue],Table5[month Key],'Revenue Trend Report'!A8)</f>
        <v>2436376.56</v>
      </c>
      <c r="C8" s="30">
        <f t="shared" si="0"/>
        <v>-3.4416199080608526E-3</v>
      </c>
      <c r="D8" s="30" t="s">
        <v>1297</v>
      </c>
      <c r="E8" s="15">
        <f t="shared" ref="E8:E28" si="1">AVERAGE(B6:B8)</f>
        <v>2456285.5333333332</v>
      </c>
    </row>
    <row r="9" spans="1:6" x14ac:dyDescent="0.25">
      <c r="A9" s="18" t="str">
        <f>Calender!A9</f>
        <v>2023-05</v>
      </c>
      <c r="B9" s="15">
        <f>SUMIFS(Table5[Net Sales Revenue],Table5[month Key],'Revenue Trend Report'!A9)</f>
        <v>2336372.2800000007</v>
      </c>
      <c r="C9" s="30">
        <f t="shared" si="0"/>
        <v>-4.1046315106561086E-2</v>
      </c>
      <c r="D9" s="30" t="s">
        <v>1297</v>
      </c>
      <c r="E9" s="15">
        <f t="shared" si="1"/>
        <v>2405846.4800000004</v>
      </c>
    </row>
    <row r="10" spans="1:6" x14ac:dyDescent="0.25">
      <c r="A10" s="18" t="str">
        <f>Calender!A10</f>
        <v>2023-06</v>
      </c>
      <c r="B10" s="15">
        <f>SUMIFS(Table5[Net Sales Revenue],Table5[month Key],'Revenue Trend Report'!A10)</f>
        <v>2423490.7999999998</v>
      </c>
      <c r="C10" s="30">
        <f t="shared" si="0"/>
        <v>3.7287944539386102E-2</v>
      </c>
      <c r="D10" s="30" t="s">
        <v>1297</v>
      </c>
      <c r="E10" s="15">
        <f t="shared" si="1"/>
        <v>2398746.5466666669</v>
      </c>
    </row>
    <row r="11" spans="1:6" x14ac:dyDescent="0.25">
      <c r="A11" s="18" t="str">
        <f>Calender!A11</f>
        <v>2023-07</v>
      </c>
      <c r="B11" s="15">
        <f>SUMIFS(Table5[Net Sales Revenue],Table5[month Key],'Revenue Trend Report'!A11)</f>
        <v>2219220.1599999997</v>
      </c>
      <c r="C11" s="30">
        <f t="shared" si="0"/>
        <v>-8.42877720022705E-2</v>
      </c>
      <c r="D11" s="30" t="s">
        <v>1297</v>
      </c>
      <c r="E11" s="15">
        <f t="shared" si="1"/>
        <v>2326361.08</v>
      </c>
    </row>
    <row r="12" spans="1:6" x14ac:dyDescent="0.25">
      <c r="A12" s="18" t="str">
        <f>Calender!A12</f>
        <v>2023-08</v>
      </c>
      <c r="B12" s="15">
        <f>SUMIFS(Table5[Net Sales Revenue],Table5[month Key],'Revenue Trend Report'!A12)</f>
        <v>2450806.48</v>
      </c>
      <c r="C12" s="30">
        <f t="shared" si="0"/>
        <v>0.10435481984806785</v>
      </c>
      <c r="D12" s="30" t="s">
        <v>1297</v>
      </c>
      <c r="E12" s="15">
        <f t="shared" si="1"/>
        <v>2364505.813333333</v>
      </c>
    </row>
    <row r="13" spans="1:6" x14ac:dyDescent="0.25">
      <c r="A13" s="18" t="str">
        <f>Calender!A13</f>
        <v>2023-09</v>
      </c>
      <c r="B13" s="15">
        <f>SUMIFS(Table5[Net Sales Revenue],Table5[month Key],'Revenue Trend Report'!A13)</f>
        <v>2400931.36</v>
      </c>
      <c r="C13" s="30">
        <f t="shared" si="0"/>
        <v>-2.0350492952834087E-2</v>
      </c>
      <c r="D13" s="30" t="s">
        <v>1297</v>
      </c>
      <c r="E13" s="15">
        <f t="shared" si="1"/>
        <v>2356986</v>
      </c>
    </row>
    <row r="14" spans="1:6" x14ac:dyDescent="0.25">
      <c r="A14" s="18" t="str">
        <f>Calender!A14</f>
        <v>2023-10</v>
      </c>
      <c r="B14" s="15">
        <f>SUMIFS(Table5[Net Sales Revenue],Table5[month Key],'Revenue Trend Report'!A14)</f>
        <v>2284842.04</v>
      </c>
      <c r="C14" s="30">
        <f t="shared" si="0"/>
        <v>-4.8351786283469526E-2</v>
      </c>
      <c r="D14" s="30" t="s">
        <v>1297</v>
      </c>
      <c r="E14" s="15">
        <f t="shared" si="1"/>
        <v>2378859.96</v>
      </c>
    </row>
    <row r="15" spans="1:6" x14ac:dyDescent="0.25">
      <c r="A15" s="18" t="str">
        <f>Calender!A15</f>
        <v>2023-11</v>
      </c>
      <c r="B15" s="15">
        <f>SUMIFS(Table5[Net Sales Revenue],Table5[month Key],'Revenue Trend Report'!A15)</f>
        <v>2279626.16</v>
      </c>
      <c r="C15" s="30">
        <f t="shared" si="0"/>
        <v>-2.2828186407143876E-3</v>
      </c>
      <c r="D15" s="30" t="s">
        <v>1297</v>
      </c>
      <c r="E15" s="15">
        <f t="shared" si="1"/>
        <v>2321799.8533333335</v>
      </c>
    </row>
    <row r="16" spans="1:6" x14ac:dyDescent="0.25">
      <c r="A16" s="18" t="str">
        <f>Calender!A16</f>
        <v>2023-12</v>
      </c>
      <c r="B16" s="15">
        <f>SUMIFS(Table5[Net Sales Revenue],Table5[month Key],'Revenue Trend Report'!A16)</f>
        <v>2491954.3599999994</v>
      </c>
      <c r="C16" s="30">
        <f t="shared" si="0"/>
        <v>9.3141675475420599E-2</v>
      </c>
      <c r="D16" s="30" t="s">
        <v>1297</v>
      </c>
      <c r="E16" s="15">
        <f t="shared" si="1"/>
        <v>2352140.853333333</v>
      </c>
    </row>
    <row r="17" spans="1:5" x14ac:dyDescent="0.25">
      <c r="A17" s="18" t="str">
        <f>Calender!A17</f>
        <v>2024-01</v>
      </c>
      <c r="B17" s="15">
        <f>SUMIFS(Table5[Net Sales Revenue],Table5[month Key],'Revenue Trend Report'!A17)</f>
        <v>2423695.8599999994</v>
      </c>
      <c r="C17" s="30">
        <f t="shared" si="0"/>
        <v>-2.7391553029887761E-2</v>
      </c>
      <c r="D17" s="30">
        <f>(B17-B5)/B5</f>
        <v>4.0249317933147587E-2</v>
      </c>
      <c r="E17" s="15">
        <f t="shared" si="1"/>
        <v>2398425.4599999995</v>
      </c>
    </row>
    <row r="18" spans="1:5" x14ac:dyDescent="0.25">
      <c r="A18" s="18" t="str">
        <f>Calender!A18</f>
        <v>2024-02</v>
      </c>
      <c r="B18" s="15">
        <f>SUMIFS(Table5[Net Sales Revenue],Table5[month Key],'Revenue Trend Report'!A18)</f>
        <v>2357448.6500000004</v>
      </c>
      <c r="C18" s="30">
        <f t="shared" si="0"/>
        <v>-2.7333136592476191E-2</v>
      </c>
      <c r="D18" s="30">
        <f t="shared" ref="D18:D28" si="2">(B18-B6)/B6</f>
        <v>-5.2354119411303836E-2</v>
      </c>
      <c r="E18" s="15">
        <f t="shared" si="1"/>
        <v>2424366.2899999996</v>
      </c>
    </row>
    <row r="19" spans="1:5" x14ac:dyDescent="0.25">
      <c r="A19" s="18" t="str">
        <f>Calender!A19</f>
        <v>2024-03</v>
      </c>
      <c r="B19" s="15">
        <f>SUMIFS(Table5[Net Sales Revenue],Table5[month Key],'Revenue Trend Report'!A19)</f>
        <v>2338098.14</v>
      </c>
      <c r="C19" s="30">
        <f t="shared" si="0"/>
        <v>-8.2082424149515359E-3</v>
      </c>
      <c r="D19" s="30">
        <f t="shared" si="2"/>
        <v>-4.3640735529660475E-2</v>
      </c>
      <c r="E19" s="15">
        <f t="shared" si="1"/>
        <v>2373080.8833333333</v>
      </c>
    </row>
    <row r="20" spans="1:5" x14ac:dyDescent="0.25">
      <c r="A20" s="18" t="str">
        <f>Calender!A20</f>
        <v>2024-04</v>
      </c>
      <c r="B20" s="15">
        <f>SUMIFS(Table5[Net Sales Revenue],Table5[month Key],'Revenue Trend Report'!A20)</f>
        <v>2357454.1</v>
      </c>
      <c r="C20" s="30">
        <f t="shared" si="0"/>
        <v>8.278506222155398E-3</v>
      </c>
      <c r="D20" s="30">
        <f t="shared" si="2"/>
        <v>-3.2393375184991913E-2</v>
      </c>
      <c r="E20" s="15">
        <f t="shared" si="1"/>
        <v>2351000.2966666669</v>
      </c>
    </row>
    <row r="21" spans="1:5" x14ac:dyDescent="0.25">
      <c r="A21" s="18" t="str">
        <f>Calender!A21</f>
        <v>2024-05</v>
      </c>
      <c r="B21" s="15">
        <f>SUMIFS(Table5[Net Sales Revenue],Table5[month Key],'Revenue Trend Report'!A21)</f>
        <v>2542740.06</v>
      </c>
      <c r="C21" s="30">
        <f t="shared" si="0"/>
        <v>7.8595786870251247E-2</v>
      </c>
      <c r="D21" s="30">
        <f t="shared" si="2"/>
        <v>8.8328295009560409E-2</v>
      </c>
      <c r="E21" s="15">
        <f t="shared" si="1"/>
        <v>2412764.1</v>
      </c>
    </row>
    <row r="22" spans="1:5" x14ac:dyDescent="0.25">
      <c r="A22" s="18" t="str">
        <f>Calender!A22</f>
        <v>2024-06</v>
      </c>
      <c r="B22" s="15">
        <f>SUMIFS(Table5[Net Sales Revenue],Table5[month Key],'Revenue Trend Report'!A22)</f>
        <v>2447755.63</v>
      </c>
      <c r="C22" s="30">
        <f t="shared" si="0"/>
        <v>-3.7355147501785993E-2</v>
      </c>
      <c r="D22" s="30">
        <f t="shared" si="2"/>
        <v>1.0012346653018067E-2</v>
      </c>
      <c r="E22" s="15">
        <f t="shared" si="1"/>
        <v>2449316.5966666667</v>
      </c>
    </row>
    <row r="23" spans="1:5" x14ac:dyDescent="0.25">
      <c r="A23" s="18" t="str">
        <f>Calender!A23</f>
        <v>2024-07</v>
      </c>
      <c r="B23" s="15">
        <f>SUMIFS(Table5[Net Sales Revenue],Table5[month Key],'Revenue Trend Report'!A23)</f>
        <v>2297132.6600000011</v>
      </c>
      <c r="C23" s="30">
        <f t="shared" si="0"/>
        <v>-6.1535133717575727E-2</v>
      </c>
      <c r="D23" s="30">
        <f t="shared" si="2"/>
        <v>3.5108053452435027E-2</v>
      </c>
      <c r="E23" s="15">
        <f t="shared" si="1"/>
        <v>2429209.4500000002</v>
      </c>
    </row>
    <row r="24" spans="1:5" x14ac:dyDescent="0.25">
      <c r="A24" s="18" t="str">
        <f>Calender!A24</f>
        <v>2024-08</v>
      </c>
      <c r="B24" s="15">
        <f>SUMIFS(Table5[Net Sales Revenue],Table5[month Key],'Revenue Trend Report'!A24)</f>
        <v>2377319.5699999998</v>
      </c>
      <c r="C24" s="30">
        <f t="shared" si="0"/>
        <v>3.490739189612093E-2</v>
      </c>
      <c r="D24" s="30">
        <f t="shared" si="2"/>
        <v>-2.9984786885335863E-2</v>
      </c>
      <c r="E24" s="15">
        <f t="shared" si="1"/>
        <v>2374069.2866666671</v>
      </c>
    </row>
    <row r="25" spans="1:5" x14ac:dyDescent="0.25">
      <c r="A25" s="18" t="str">
        <f>Calender!A25</f>
        <v>2024-09</v>
      </c>
      <c r="B25" s="15">
        <f>SUMIFS(Table5[Net Sales Revenue],Table5[month Key],'Revenue Trend Report'!A25)</f>
        <v>2373028.5599999991</v>
      </c>
      <c r="C25" s="30">
        <f t="shared" si="0"/>
        <v>-1.8049782007223826E-3</v>
      </c>
      <c r="D25" s="30">
        <f t="shared" si="2"/>
        <v>-1.1621656689094496E-2</v>
      </c>
      <c r="E25" s="15">
        <f t="shared" si="1"/>
        <v>2349160.2633333332</v>
      </c>
    </row>
    <row r="26" spans="1:5" x14ac:dyDescent="0.25">
      <c r="A26" s="18" t="str">
        <f>Calender!A26</f>
        <v>2024-10</v>
      </c>
      <c r="B26" s="15">
        <f>SUMIFS(Table5[Net Sales Revenue],Table5[month Key],'Revenue Trend Report'!A26)</f>
        <v>2437406.1600000006</v>
      </c>
      <c r="C26" s="30">
        <f t="shared" si="0"/>
        <v>2.712887703298502E-2</v>
      </c>
      <c r="D26" s="30">
        <f t="shared" si="2"/>
        <v>6.6772283304101218E-2</v>
      </c>
      <c r="E26" s="15">
        <f t="shared" si="1"/>
        <v>2395918.0966666662</v>
      </c>
    </row>
    <row r="27" spans="1:5" x14ac:dyDescent="0.25">
      <c r="A27" s="18" t="str">
        <f>Calender!A27</f>
        <v>2024-11</v>
      </c>
      <c r="B27" s="15">
        <f>SUMIFS(Table5[Net Sales Revenue],Table5[month Key],'Revenue Trend Report'!A27)</f>
        <v>2538509.6299999994</v>
      </c>
      <c r="C27" s="30">
        <f t="shared" si="0"/>
        <v>4.1479943580678726E-2</v>
      </c>
      <c r="D27" s="30">
        <f t="shared" si="2"/>
        <v>0.11356400209058808</v>
      </c>
      <c r="E27" s="15">
        <f t="shared" si="1"/>
        <v>2449648.1166666667</v>
      </c>
    </row>
    <row r="28" spans="1:5" x14ac:dyDescent="0.25">
      <c r="A28" s="18" t="str">
        <f>Calender!A28</f>
        <v>2024-12</v>
      </c>
      <c r="B28" s="15">
        <f>SUMIFS(Table5[Net Sales Revenue],Table5[month Key],'Revenue Trend Report'!A28)</f>
        <v>2455424.96</v>
      </c>
      <c r="C28" s="30">
        <f t="shared" si="0"/>
        <v>-3.2729704476243994E-2</v>
      </c>
      <c r="D28" s="30">
        <f t="shared" si="2"/>
        <v>-1.4658936209409329E-2</v>
      </c>
      <c r="E28" s="15">
        <f t="shared" si="1"/>
        <v>2477113.5833333335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C967-2D05-474C-919B-070FA05FF3D7}">
  <dimension ref="A1:T25"/>
  <sheetViews>
    <sheetView workbookViewId="0">
      <selection activeCell="H3" sqref="H3"/>
    </sheetView>
  </sheetViews>
  <sheetFormatPr defaultColWidth="8.7109375" defaultRowHeight="15" x14ac:dyDescent="0.25"/>
  <cols>
    <col min="1" max="1" width="12" customWidth="1"/>
    <col min="2" max="2" width="15" customWidth="1"/>
    <col min="3" max="4" width="13" customWidth="1"/>
    <col min="5" max="7" width="12" customWidth="1"/>
    <col min="8" max="8" width="13" customWidth="1"/>
    <col min="9" max="9" width="14" customWidth="1"/>
    <col min="10" max="10" width="13" customWidth="1"/>
    <col min="11" max="11" width="16" customWidth="1"/>
    <col min="12" max="12" width="14" customWidth="1"/>
    <col min="13" max="13" width="15" customWidth="1"/>
    <col min="14" max="14" width="16" customWidth="1"/>
    <col min="15" max="15" width="18" customWidth="1"/>
    <col min="16" max="16" width="16" customWidth="1"/>
    <col min="17" max="17" width="18" customWidth="1"/>
    <col min="18" max="18" width="19" customWidth="1"/>
    <col min="19" max="20" width="20" customWidth="1"/>
  </cols>
  <sheetData>
    <row r="1" spans="1:20" ht="45" x14ac:dyDescent="0.25">
      <c r="A1" s="20" t="s">
        <v>1171</v>
      </c>
      <c r="B1" s="20" t="s">
        <v>64</v>
      </c>
      <c r="C1" s="20" t="s">
        <v>65</v>
      </c>
      <c r="D1" s="20" t="s">
        <v>1312</v>
      </c>
      <c r="E1" s="20" t="s">
        <v>1240</v>
      </c>
      <c r="F1" s="20" t="s">
        <v>1172</v>
      </c>
      <c r="G1" s="20" t="s">
        <v>1173</v>
      </c>
      <c r="H1" s="20" t="s">
        <v>1174</v>
      </c>
      <c r="I1" s="20" t="s">
        <v>1175</v>
      </c>
      <c r="J1" s="20" t="s">
        <v>1176</v>
      </c>
      <c r="K1" s="20" t="s">
        <v>1323</v>
      </c>
      <c r="L1" s="20" t="s">
        <v>1324</v>
      </c>
      <c r="M1" s="20" t="s">
        <v>1241</v>
      </c>
      <c r="N1" s="20" t="s">
        <v>1277</v>
      </c>
      <c r="O1" s="20" t="s">
        <v>1326</v>
      </c>
      <c r="P1" s="20" t="s">
        <v>1327</v>
      </c>
      <c r="Q1" s="20" t="s">
        <v>1328</v>
      </c>
      <c r="R1" s="20" t="s">
        <v>1329</v>
      </c>
      <c r="S1" s="20" t="s">
        <v>1330</v>
      </c>
      <c r="T1" s="20" t="s">
        <v>1331</v>
      </c>
    </row>
    <row r="2" spans="1:20" x14ac:dyDescent="0.25">
      <c r="A2" s="45">
        <v>44927</v>
      </c>
      <c r="B2" s="38">
        <f>'[1]Revenue Trend Report'!B2</f>
        <v>2329918.2399999998</v>
      </c>
      <c r="C2" s="38">
        <f>SUMIFS('[1]Sales Transactions (Clean)'!$J$2:$J$1081,'[1]Sales Transactions (Clean)'!$L$2:$L$1081,A2)</f>
        <v>1272148</v>
      </c>
      <c r="D2" s="39">
        <f t="shared" ref="D2:D25" si="0">B2-C2</f>
        <v>1057770.2399999998</v>
      </c>
      <c r="E2" s="40">
        <f t="shared" ref="E2:E25" si="1">D2/B2</f>
        <v>0.45399457450489761</v>
      </c>
      <c r="F2" s="38">
        <f>SUMIFS('[1]Operating Expenses (Clean)'!$C$2:$C$121,'[1]Operating Expenses (Clean)'!$I$2:$I$121,A2)</f>
        <v>249672</v>
      </c>
      <c r="G2" s="38">
        <f>SUMIFS('[1]Operating Expenses (Clean)'!$D$2:$D$121,'[1]Operating Expenses (Clean)'!$I$2:$I$121,A2)</f>
        <v>121299</v>
      </c>
      <c r="H2" s="38">
        <f>SUMIFS('[1]Operating Expenses (Clean)'!$E$2:$E$121,'[1]Operating Expenses (Clean)'!$I$2:$I$121,A2)</f>
        <v>34354</v>
      </c>
      <c r="I2" s="38">
        <f>SUMIFS('[1]Operating Expenses (Clean)'!$F$2:$F$121,'[1]Operating Expenses (Clean)'!$I$2:$I$121,A2)</f>
        <v>66643</v>
      </c>
      <c r="J2" s="38">
        <f>SUMIFS('[1]Operating Expenses (Clean)'!$G$2:$G$121,'[1]Operating Expenses (Clean)'!$I$2:$I$121,A2)</f>
        <v>35533</v>
      </c>
      <c r="K2" s="39">
        <f t="shared" ref="K2:K25" si="2">SUM(F2:J2)</f>
        <v>507501</v>
      </c>
      <c r="L2" s="39">
        <f t="shared" ref="L2:L25" si="3">D2-K2</f>
        <v>550269.23999999976</v>
      </c>
      <c r="M2" s="40">
        <f t="shared" ref="M2:M25" si="4">L2/B2</f>
        <v>0.23617534321719366</v>
      </c>
      <c r="N2" s="46" t="s">
        <v>1332</v>
      </c>
      <c r="O2" s="46" t="s">
        <v>1332</v>
      </c>
      <c r="P2" s="46" t="s">
        <v>1332</v>
      </c>
      <c r="Q2" s="46" t="s">
        <v>1332</v>
      </c>
      <c r="R2" s="46" t="s">
        <v>1332</v>
      </c>
      <c r="S2" s="46" t="s">
        <v>1332</v>
      </c>
      <c r="T2" s="46" t="s">
        <v>1332</v>
      </c>
    </row>
    <row r="3" spans="1:20" x14ac:dyDescent="0.25">
      <c r="A3" s="45">
        <v>44958</v>
      </c>
      <c r="B3" s="38">
        <f>'[1]Revenue Trend Report'!B3</f>
        <v>2487689.44</v>
      </c>
      <c r="C3" s="38">
        <f>SUMIFS('[1]Sales Transactions (Clean)'!$J$2:$J$1081,'[1]Sales Transactions (Clean)'!$L$2:$L$1081,A3)</f>
        <v>1362756</v>
      </c>
      <c r="D3" s="39">
        <f t="shared" si="0"/>
        <v>1124933.44</v>
      </c>
      <c r="E3" s="40">
        <f t="shared" si="1"/>
        <v>0.45220011063760435</v>
      </c>
      <c r="F3" s="38">
        <f>SUMIFS('[1]Operating Expenses (Clean)'!$C$2:$C$121,'[1]Operating Expenses (Clean)'!$I$2:$I$121,A3)</f>
        <v>239461</v>
      </c>
      <c r="G3" s="38">
        <f>SUMIFS('[1]Operating Expenses (Clean)'!$D$2:$D$121,'[1]Operating Expenses (Clean)'!$I$2:$I$121,A3)</f>
        <v>116313</v>
      </c>
      <c r="H3" s="38">
        <f>SUMIFS('[1]Operating Expenses (Clean)'!$E$2:$E$121,'[1]Operating Expenses (Clean)'!$I$2:$I$121,A3)</f>
        <v>37979</v>
      </c>
      <c r="I3" s="38">
        <f>SUMIFS('[1]Operating Expenses (Clean)'!$F$2:$F$121,'[1]Operating Expenses (Clean)'!$I$2:$I$121,A3)</f>
        <v>72138</v>
      </c>
      <c r="J3" s="38">
        <f>SUMIFS('[1]Operating Expenses (Clean)'!$G$2:$G$121,'[1]Operating Expenses (Clean)'!$I$2:$I$121,A3)</f>
        <v>41137</v>
      </c>
      <c r="K3" s="39">
        <f t="shared" si="2"/>
        <v>507028</v>
      </c>
      <c r="L3" s="39">
        <f t="shared" si="3"/>
        <v>617905.43999999994</v>
      </c>
      <c r="M3" s="40">
        <f t="shared" si="4"/>
        <v>0.24838528076076891</v>
      </c>
      <c r="N3" s="40">
        <f t="shared" ref="N3:N25" si="5">(B3-B2)/B2</f>
        <v>6.7715337513302706E-2</v>
      </c>
      <c r="O3" s="40">
        <f t="shared" ref="O3:O25" si="6">((C3+K3)-(C2+K2))/(C2+K2)</f>
        <v>5.0647627706362323E-2</v>
      </c>
      <c r="P3" s="40">
        <f t="shared" ref="P3:P25" si="7">N3-O3</f>
        <v>1.7067709806940383E-2</v>
      </c>
      <c r="Q3" s="40">
        <f t="shared" ref="Q3:Q25" si="8">(F3-F2)/F2</f>
        <v>-4.0897657726937743E-2</v>
      </c>
      <c r="R3" s="40">
        <f t="shared" ref="R3:R25" si="9">(J3-J2)/J2</f>
        <v>0.15771254889820729</v>
      </c>
      <c r="S3" s="40">
        <f t="shared" ref="S3:S25" si="10">E3-E2</f>
        <v>-1.7944638672932611E-3</v>
      </c>
      <c r="T3" s="40">
        <f t="shared" ref="T3:T25" si="11">M3-M2</f>
        <v>1.2209937543575244E-2</v>
      </c>
    </row>
    <row r="4" spans="1:20" x14ac:dyDescent="0.25">
      <c r="A4" s="45">
        <v>44986</v>
      </c>
      <c r="B4" s="38">
        <f>'[1]Revenue Trend Report'!B4</f>
        <v>2444790.6</v>
      </c>
      <c r="C4" s="38">
        <f>SUMIFS('[1]Sales Transactions (Clean)'!$J$2:$J$1081,'[1]Sales Transactions (Clean)'!$L$2:$L$1081,A4)</f>
        <v>1333340</v>
      </c>
      <c r="D4" s="39">
        <f t="shared" si="0"/>
        <v>1111450.6000000001</v>
      </c>
      <c r="E4" s="40">
        <f t="shared" si="1"/>
        <v>0.45461995804466854</v>
      </c>
      <c r="F4" s="38">
        <f>SUMIFS('[1]Operating Expenses (Clean)'!$C$2:$C$121,'[1]Operating Expenses (Clean)'!$I$2:$I$121,A4)</f>
        <v>244608</v>
      </c>
      <c r="G4" s="38">
        <f>SUMIFS('[1]Operating Expenses (Clean)'!$D$2:$D$121,'[1]Operating Expenses (Clean)'!$I$2:$I$121,A4)</f>
        <v>123717</v>
      </c>
      <c r="H4" s="38">
        <f>SUMIFS('[1]Operating Expenses (Clean)'!$E$2:$E$121,'[1]Operating Expenses (Clean)'!$I$2:$I$121,A4)</f>
        <v>36125</v>
      </c>
      <c r="I4" s="38">
        <f>SUMIFS('[1]Operating Expenses (Clean)'!$F$2:$F$121,'[1]Operating Expenses (Clean)'!$I$2:$I$121,A4)</f>
        <v>59720</v>
      </c>
      <c r="J4" s="38">
        <f>SUMIFS('[1]Operating Expenses (Clean)'!$G$2:$G$121,'[1]Operating Expenses (Clean)'!$I$2:$I$121,A4)</f>
        <v>38291</v>
      </c>
      <c r="K4" s="39">
        <f t="shared" si="2"/>
        <v>502461</v>
      </c>
      <c r="L4" s="39">
        <f t="shared" si="3"/>
        <v>608989.60000000009</v>
      </c>
      <c r="M4" s="40">
        <f t="shared" si="4"/>
        <v>0.24909683471459684</v>
      </c>
      <c r="N4" s="40">
        <f t="shared" si="5"/>
        <v>-1.7244451542150634E-2</v>
      </c>
      <c r="O4" s="40">
        <f t="shared" si="6"/>
        <v>-1.817482661098822E-2</v>
      </c>
      <c r="P4" s="40">
        <f t="shared" si="7"/>
        <v>9.3037506883758558E-4</v>
      </c>
      <c r="Q4" s="40">
        <f t="shared" si="8"/>
        <v>2.1494105511962281E-2</v>
      </c>
      <c r="R4" s="40">
        <f t="shared" si="9"/>
        <v>-6.9183460145367914E-2</v>
      </c>
      <c r="S4" s="40">
        <f t="shared" si="10"/>
        <v>2.4198474070641907E-3</v>
      </c>
      <c r="T4" s="40">
        <f t="shared" si="11"/>
        <v>7.1155395382793696E-4</v>
      </c>
    </row>
    <row r="5" spans="1:20" x14ac:dyDescent="0.25">
      <c r="A5" s="45">
        <v>45017</v>
      </c>
      <c r="B5" s="38">
        <f>'[1]Revenue Trend Report'!B5</f>
        <v>2436376.56</v>
      </c>
      <c r="C5" s="38">
        <f>SUMIFS('[1]Sales Transactions (Clean)'!$J$2:$J$1081,'[1]Sales Transactions (Clean)'!$L$2:$L$1081,A5)</f>
        <v>1334128</v>
      </c>
      <c r="D5" s="39">
        <f t="shared" si="0"/>
        <v>1102248.56</v>
      </c>
      <c r="E5" s="40">
        <f t="shared" si="1"/>
        <v>0.45241305391642744</v>
      </c>
      <c r="F5" s="38">
        <f>SUMIFS('[1]Operating Expenses (Clean)'!$C$2:$C$121,'[1]Operating Expenses (Clean)'!$I$2:$I$121,A5)</f>
        <v>258178</v>
      </c>
      <c r="G5" s="38">
        <f>SUMIFS('[1]Operating Expenses (Clean)'!$D$2:$D$121,'[1]Operating Expenses (Clean)'!$I$2:$I$121,A5)</f>
        <v>119341</v>
      </c>
      <c r="H5" s="38">
        <f>SUMIFS('[1]Operating Expenses (Clean)'!$E$2:$E$121,'[1]Operating Expenses (Clean)'!$I$2:$I$121,A5)</f>
        <v>34757</v>
      </c>
      <c r="I5" s="38">
        <f>SUMIFS('[1]Operating Expenses (Clean)'!$F$2:$F$121,'[1]Operating Expenses (Clean)'!$I$2:$I$121,A5)</f>
        <v>72825</v>
      </c>
      <c r="J5" s="38">
        <f>SUMIFS('[1]Operating Expenses (Clean)'!$G$2:$G$121,'[1]Operating Expenses (Clean)'!$I$2:$I$121,A5)</f>
        <v>34244</v>
      </c>
      <c r="K5" s="39">
        <f t="shared" si="2"/>
        <v>519345</v>
      </c>
      <c r="L5" s="39">
        <f t="shared" si="3"/>
        <v>582903.56000000006</v>
      </c>
      <c r="M5" s="40">
        <f t="shared" si="4"/>
        <v>0.23925019209674223</v>
      </c>
      <c r="N5" s="40">
        <f t="shared" si="5"/>
        <v>-3.4416199080608526E-3</v>
      </c>
      <c r="O5" s="40">
        <f t="shared" si="6"/>
        <v>9.6263157063320049E-3</v>
      </c>
      <c r="P5" s="40">
        <f t="shared" si="7"/>
        <v>-1.3067935614392857E-2</v>
      </c>
      <c r="Q5" s="40">
        <f t="shared" si="8"/>
        <v>5.5476517530088962E-2</v>
      </c>
      <c r="R5" s="40">
        <f t="shared" si="9"/>
        <v>-0.10569063226345617</v>
      </c>
      <c r="S5" s="40">
        <f t="shared" si="10"/>
        <v>-2.2069041282410939E-3</v>
      </c>
      <c r="T5" s="40">
        <f t="shared" si="11"/>
        <v>-9.8466426178546174E-3</v>
      </c>
    </row>
    <row r="6" spans="1:20" x14ac:dyDescent="0.25">
      <c r="A6" s="45">
        <v>45047</v>
      </c>
      <c r="B6" s="38">
        <f>'[1]Revenue Trend Report'!B6</f>
        <v>2336372.2800000007</v>
      </c>
      <c r="C6" s="38">
        <f>SUMIFS('[1]Sales Transactions (Clean)'!$J$2:$J$1081,'[1]Sales Transactions (Clean)'!$L$2:$L$1081,A6)</f>
        <v>1277596</v>
      </c>
      <c r="D6" s="39">
        <f t="shared" si="0"/>
        <v>1058776.2800000007</v>
      </c>
      <c r="E6" s="40">
        <f t="shared" si="1"/>
        <v>0.45317105029169424</v>
      </c>
      <c r="F6" s="38">
        <f>SUMIFS('[1]Operating Expenses (Clean)'!$C$2:$C$121,'[1]Operating Expenses (Clean)'!$I$2:$I$121,A6)</f>
        <v>242106</v>
      </c>
      <c r="G6" s="38">
        <f>SUMIFS('[1]Operating Expenses (Clean)'!$D$2:$D$121,'[1]Operating Expenses (Clean)'!$I$2:$I$121,A6)</f>
        <v>122561</v>
      </c>
      <c r="H6" s="38">
        <f>SUMIFS('[1]Operating Expenses (Clean)'!$E$2:$E$121,'[1]Operating Expenses (Clean)'!$I$2:$I$121,A6)</f>
        <v>37100</v>
      </c>
      <c r="I6" s="38">
        <f>SUMIFS('[1]Operating Expenses (Clean)'!$F$2:$F$121,'[1]Operating Expenses (Clean)'!$I$2:$I$121,A6)</f>
        <v>65379</v>
      </c>
      <c r="J6" s="38">
        <f>SUMIFS('[1]Operating Expenses (Clean)'!$G$2:$G$121,'[1]Operating Expenses (Clean)'!$I$2:$I$121,A6)</f>
        <v>38418</v>
      </c>
      <c r="K6" s="39">
        <f t="shared" si="2"/>
        <v>505564</v>
      </c>
      <c r="L6" s="39">
        <f t="shared" si="3"/>
        <v>553212.28000000073</v>
      </c>
      <c r="M6" s="40">
        <f t="shared" si="4"/>
        <v>0.23678259014440992</v>
      </c>
      <c r="N6" s="40">
        <f t="shared" si="5"/>
        <v>-4.1046315106561086E-2</v>
      </c>
      <c r="O6" s="40">
        <f t="shared" si="6"/>
        <v>-3.7935810233005823E-2</v>
      </c>
      <c r="P6" s="40">
        <f t="shared" si="7"/>
        <v>-3.1105048735552629E-3</v>
      </c>
      <c r="Q6" s="40">
        <f t="shared" si="8"/>
        <v>-6.2251624847973107E-2</v>
      </c>
      <c r="R6" s="40">
        <f t="shared" si="9"/>
        <v>0.12188996612545264</v>
      </c>
      <c r="S6" s="40">
        <f t="shared" si="10"/>
        <v>7.5799637526680064E-4</v>
      </c>
      <c r="T6" s="40">
        <f t="shared" si="11"/>
        <v>-2.4676019523323101E-3</v>
      </c>
    </row>
    <row r="7" spans="1:20" x14ac:dyDescent="0.25">
      <c r="A7" s="45">
        <v>45078</v>
      </c>
      <c r="B7" s="38">
        <f>'[1]Revenue Trend Report'!B7</f>
        <v>2423490.7999999998</v>
      </c>
      <c r="C7" s="38">
        <f>SUMIFS('[1]Sales Transactions (Clean)'!$J$2:$J$1081,'[1]Sales Transactions (Clean)'!$L$2:$L$1081,A7)</f>
        <v>1331348</v>
      </c>
      <c r="D7" s="39">
        <f t="shared" si="0"/>
        <v>1092142.7999999998</v>
      </c>
      <c r="E7" s="40">
        <f t="shared" si="1"/>
        <v>0.45064862635335767</v>
      </c>
      <c r="F7" s="38">
        <f>SUMIFS('[1]Operating Expenses (Clean)'!$C$2:$C$121,'[1]Operating Expenses (Clean)'!$I$2:$I$121,A7)</f>
        <v>254708</v>
      </c>
      <c r="G7" s="38">
        <f>SUMIFS('[1]Operating Expenses (Clean)'!$D$2:$D$121,'[1]Operating Expenses (Clean)'!$I$2:$I$121,A7)</f>
        <v>118068</v>
      </c>
      <c r="H7" s="38">
        <f>SUMIFS('[1]Operating Expenses (Clean)'!$E$2:$E$121,'[1]Operating Expenses (Clean)'!$I$2:$I$121,A7)</f>
        <v>37088</v>
      </c>
      <c r="I7" s="38">
        <f>SUMIFS('[1]Operating Expenses (Clean)'!$F$2:$F$121,'[1]Operating Expenses (Clean)'!$I$2:$I$121,A7)</f>
        <v>70214</v>
      </c>
      <c r="J7" s="38">
        <f>SUMIFS('[1]Operating Expenses (Clean)'!$G$2:$G$121,'[1]Operating Expenses (Clean)'!$I$2:$I$121,A7)</f>
        <v>39308</v>
      </c>
      <c r="K7" s="39">
        <f t="shared" si="2"/>
        <v>519386</v>
      </c>
      <c r="L7" s="39">
        <f t="shared" si="3"/>
        <v>572756.79999999981</v>
      </c>
      <c r="M7" s="40">
        <f t="shared" si="4"/>
        <v>0.23633545462602948</v>
      </c>
      <c r="N7" s="40">
        <f t="shared" si="5"/>
        <v>3.7287944539386102E-2</v>
      </c>
      <c r="O7" s="40">
        <f t="shared" si="6"/>
        <v>3.7895645931941051E-2</v>
      </c>
      <c r="P7" s="40">
        <f t="shared" si="7"/>
        <v>-6.0770139255494904E-4</v>
      </c>
      <c r="Q7" s="40">
        <f t="shared" si="8"/>
        <v>5.2051580712580439E-2</v>
      </c>
      <c r="R7" s="40">
        <f t="shared" si="9"/>
        <v>2.3166224165755634E-2</v>
      </c>
      <c r="S7" s="40">
        <f t="shared" si="10"/>
        <v>-2.522423938336571E-3</v>
      </c>
      <c r="T7" s="40">
        <f t="shared" si="11"/>
        <v>-4.4713551838043708E-4</v>
      </c>
    </row>
    <row r="8" spans="1:20" x14ac:dyDescent="0.25">
      <c r="A8" s="45">
        <v>45108</v>
      </c>
      <c r="B8" s="38">
        <f>'[1]Revenue Trend Report'!B8</f>
        <v>2219220.1599999997</v>
      </c>
      <c r="C8" s="38">
        <f>SUMIFS('[1]Sales Transactions (Clean)'!$J$2:$J$1081,'[1]Sales Transactions (Clean)'!$L$2:$L$1081,A8)</f>
        <v>1212364</v>
      </c>
      <c r="D8" s="39">
        <f t="shared" si="0"/>
        <v>1006856.1599999997</v>
      </c>
      <c r="E8" s="40">
        <f t="shared" si="1"/>
        <v>0.45369818558245245</v>
      </c>
      <c r="F8" s="38">
        <f>SUMIFS('[1]Operating Expenses (Clean)'!$C$2:$C$121,'[1]Operating Expenses (Clean)'!$I$2:$I$121,A8)</f>
        <v>246420</v>
      </c>
      <c r="G8" s="38">
        <f>SUMIFS('[1]Operating Expenses (Clean)'!$D$2:$D$121,'[1]Operating Expenses (Clean)'!$I$2:$I$121,A8)</f>
        <v>118303</v>
      </c>
      <c r="H8" s="38">
        <f>SUMIFS('[1]Operating Expenses (Clean)'!$E$2:$E$121,'[1]Operating Expenses (Clean)'!$I$2:$I$121,A8)</f>
        <v>36153</v>
      </c>
      <c r="I8" s="38">
        <f>SUMIFS('[1]Operating Expenses (Clean)'!$F$2:$F$121,'[1]Operating Expenses (Clean)'!$I$2:$I$121,A8)</f>
        <v>75281</v>
      </c>
      <c r="J8" s="38">
        <f>SUMIFS('[1]Operating Expenses (Clean)'!$G$2:$G$121,'[1]Operating Expenses (Clean)'!$I$2:$I$121,A8)</f>
        <v>35778</v>
      </c>
      <c r="K8" s="39">
        <f t="shared" si="2"/>
        <v>511935</v>
      </c>
      <c r="L8" s="39">
        <f t="shared" si="3"/>
        <v>494921.15999999968</v>
      </c>
      <c r="M8" s="40">
        <f t="shared" si="4"/>
        <v>0.22301580028905277</v>
      </c>
      <c r="N8" s="40">
        <f t="shared" si="5"/>
        <v>-8.42877720022705E-2</v>
      </c>
      <c r="O8" s="40">
        <f t="shared" si="6"/>
        <v>-6.8316138353755856E-2</v>
      </c>
      <c r="P8" s="40">
        <f t="shared" si="7"/>
        <v>-1.5971633648514644E-2</v>
      </c>
      <c r="Q8" s="40">
        <f t="shared" si="8"/>
        <v>-3.2539221382916907E-2</v>
      </c>
      <c r="R8" s="40">
        <f t="shared" si="9"/>
        <v>-8.9803602320138398E-2</v>
      </c>
      <c r="S8" s="40">
        <f t="shared" si="10"/>
        <v>3.0495592290947782E-3</v>
      </c>
      <c r="T8" s="40">
        <f t="shared" si="11"/>
        <v>-1.3319654336976711E-2</v>
      </c>
    </row>
    <row r="9" spans="1:20" x14ac:dyDescent="0.25">
      <c r="A9" s="45">
        <v>45139</v>
      </c>
      <c r="B9" s="38">
        <f>'[1]Revenue Trend Report'!B9</f>
        <v>2450806.48</v>
      </c>
      <c r="C9" s="38">
        <f>SUMIFS('[1]Sales Transactions (Clean)'!$J$2:$J$1081,'[1]Sales Transactions (Clean)'!$L$2:$L$1081,A9)</f>
        <v>1342204</v>
      </c>
      <c r="D9" s="39">
        <f t="shared" si="0"/>
        <v>1108602.48</v>
      </c>
      <c r="E9" s="40">
        <f t="shared" si="1"/>
        <v>0.45234190828481896</v>
      </c>
      <c r="F9" s="38">
        <f>SUMIFS('[1]Operating Expenses (Clean)'!$C$2:$C$121,'[1]Operating Expenses (Clean)'!$I$2:$I$121,A9)</f>
        <v>254168</v>
      </c>
      <c r="G9" s="38">
        <f>SUMIFS('[1]Operating Expenses (Clean)'!$D$2:$D$121,'[1]Operating Expenses (Clean)'!$I$2:$I$121,A9)</f>
        <v>121038</v>
      </c>
      <c r="H9" s="38">
        <f>SUMIFS('[1]Operating Expenses (Clean)'!$E$2:$E$121,'[1]Operating Expenses (Clean)'!$I$2:$I$121,A9)</f>
        <v>41468</v>
      </c>
      <c r="I9" s="38">
        <f>SUMIFS('[1]Operating Expenses (Clean)'!$F$2:$F$121,'[1]Operating Expenses (Clean)'!$I$2:$I$121,A9)</f>
        <v>60773</v>
      </c>
      <c r="J9" s="38">
        <f>SUMIFS('[1]Operating Expenses (Clean)'!$G$2:$G$121,'[1]Operating Expenses (Clean)'!$I$2:$I$121,A9)</f>
        <v>37665</v>
      </c>
      <c r="K9" s="39">
        <f t="shared" si="2"/>
        <v>515112</v>
      </c>
      <c r="L9" s="39">
        <f t="shared" si="3"/>
        <v>593490.48</v>
      </c>
      <c r="M9" s="40">
        <f t="shared" si="4"/>
        <v>0.24216129867585465</v>
      </c>
      <c r="N9" s="40">
        <f t="shared" si="5"/>
        <v>0.10435481984806785</v>
      </c>
      <c r="O9" s="40">
        <f t="shared" si="6"/>
        <v>7.7142653333325595E-2</v>
      </c>
      <c r="P9" s="40">
        <f t="shared" si="7"/>
        <v>2.7212166514742259E-2</v>
      </c>
      <c r="Q9" s="40">
        <f t="shared" si="8"/>
        <v>3.1442253063874687E-2</v>
      </c>
      <c r="R9" s="40">
        <f t="shared" si="9"/>
        <v>5.2741908435351335E-2</v>
      </c>
      <c r="S9" s="40">
        <f t="shared" si="10"/>
        <v>-1.3562772976334903E-3</v>
      </c>
      <c r="T9" s="40">
        <f t="shared" si="11"/>
        <v>1.9145498386801879E-2</v>
      </c>
    </row>
    <row r="10" spans="1:20" x14ac:dyDescent="0.25">
      <c r="A10" s="45">
        <v>45170</v>
      </c>
      <c r="B10" s="38">
        <f>'[1]Revenue Trend Report'!B10</f>
        <v>2400931.36</v>
      </c>
      <c r="C10" s="38">
        <f>SUMIFS('[1]Sales Transactions (Clean)'!$J$2:$J$1081,'[1]Sales Transactions (Clean)'!$L$2:$L$1081,A10)</f>
        <v>1308912</v>
      </c>
      <c r="D10" s="39">
        <f t="shared" si="0"/>
        <v>1092019.3599999999</v>
      </c>
      <c r="E10" s="40">
        <f t="shared" si="1"/>
        <v>0.45483156169862343</v>
      </c>
      <c r="F10" s="38">
        <f>SUMIFS('[1]Operating Expenses (Clean)'!$C$2:$C$121,'[1]Operating Expenses (Clean)'!$I$2:$I$121,A10)</f>
        <v>246628</v>
      </c>
      <c r="G10" s="38">
        <f>SUMIFS('[1]Operating Expenses (Clean)'!$D$2:$D$121,'[1]Operating Expenses (Clean)'!$I$2:$I$121,A10)</f>
        <v>123020</v>
      </c>
      <c r="H10" s="38">
        <f>SUMIFS('[1]Operating Expenses (Clean)'!$E$2:$E$121,'[1]Operating Expenses (Clean)'!$I$2:$I$121,A10)</f>
        <v>32931</v>
      </c>
      <c r="I10" s="38">
        <f>SUMIFS('[1]Operating Expenses (Clean)'!$F$2:$F$121,'[1]Operating Expenses (Clean)'!$I$2:$I$121,A10)</f>
        <v>69307</v>
      </c>
      <c r="J10" s="38">
        <f>SUMIFS('[1]Operating Expenses (Clean)'!$G$2:$G$121,'[1]Operating Expenses (Clean)'!$I$2:$I$121,A10)</f>
        <v>37866</v>
      </c>
      <c r="K10" s="39">
        <f t="shared" si="2"/>
        <v>509752</v>
      </c>
      <c r="L10" s="39">
        <f t="shared" si="3"/>
        <v>582267.35999999987</v>
      </c>
      <c r="M10" s="40">
        <f t="shared" si="4"/>
        <v>0.24251728712477641</v>
      </c>
      <c r="N10" s="40">
        <f t="shared" si="5"/>
        <v>-2.0350492952834087E-2</v>
      </c>
      <c r="O10" s="40">
        <f t="shared" si="6"/>
        <v>-2.0810675189359269E-2</v>
      </c>
      <c r="P10" s="40">
        <f t="shared" si="7"/>
        <v>4.6018223652518134E-4</v>
      </c>
      <c r="Q10" s="40">
        <f t="shared" si="8"/>
        <v>-2.9665418148626107E-2</v>
      </c>
      <c r="R10" s="40">
        <f t="shared" si="9"/>
        <v>5.3365193150139391E-3</v>
      </c>
      <c r="S10" s="40">
        <f t="shared" si="10"/>
        <v>2.4896534138044712E-3</v>
      </c>
      <c r="T10" s="40">
        <f t="shared" si="11"/>
        <v>3.559884489217624E-4</v>
      </c>
    </row>
    <row r="11" spans="1:20" x14ac:dyDescent="0.25">
      <c r="A11" s="45">
        <v>45200</v>
      </c>
      <c r="B11" s="38">
        <f>'[1]Revenue Trend Report'!B11</f>
        <v>2284842.04</v>
      </c>
      <c r="C11" s="38">
        <f>SUMIFS('[1]Sales Transactions (Clean)'!$J$2:$J$1081,'[1]Sales Transactions (Clean)'!$L$2:$L$1081,A11)</f>
        <v>1243128</v>
      </c>
      <c r="D11" s="39">
        <f t="shared" si="0"/>
        <v>1041714.04</v>
      </c>
      <c r="E11" s="40">
        <f t="shared" si="1"/>
        <v>0.45592387647069027</v>
      </c>
      <c r="F11" s="38">
        <f>SUMIFS('[1]Operating Expenses (Clean)'!$C$2:$C$121,'[1]Operating Expenses (Clean)'!$I$2:$I$121,A11)</f>
        <v>252401</v>
      </c>
      <c r="G11" s="38">
        <f>SUMIFS('[1]Operating Expenses (Clean)'!$D$2:$D$121,'[1]Operating Expenses (Clean)'!$I$2:$I$121,A11)</f>
        <v>120110</v>
      </c>
      <c r="H11" s="38">
        <f>SUMIFS('[1]Operating Expenses (Clean)'!$E$2:$E$121,'[1]Operating Expenses (Clean)'!$I$2:$I$121,A11)</f>
        <v>36493</v>
      </c>
      <c r="I11" s="38">
        <f>SUMIFS('[1]Operating Expenses (Clean)'!$F$2:$F$121,'[1]Operating Expenses (Clean)'!$I$2:$I$121,A11)</f>
        <v>80035</v>
      </c>
      <c r="J11" s="38">
        <f>SUMIFS('[1]Operating Expenses (Clean)'!$G$2:$G$121,'[1]Operating Expenses (Clean)'!$I$2:$I$121,A11)</f>
        <v>37613</v>
      </c>
      <c r="K11" s="39">
        <f t="shared" si="2"/>
        <v>526652</v>
      </c>
      <c r="L11" s="39">
        <f t="shared" si="3"/>
        <v>515062.04000000004</v>
      </c>
      <c r="M11" s="40">
        <f t="shared" si="4"/>
        <v>0.22542566662507665</v>
      </c>
      <c r="N11" s="40">
        <f t="shared" si="5"/>
        <v>-4.8351786283469526E-2</v>
      </c>
      <c r="O11" s="40">
        <f t="shared" si="6"/>
        <v>-2.6879071670193065E-2</v>
      </c>
      <c r="P11" s="40">
        <f t="shared" si="7"/>
        <v>-2.1472714613276461E-2</v>
      </c>
      <c r="Q11" s="40">
        <f t="shared" si="8"/>
        <v>2.3407723372853042E-2</v>
      </c>
      <c r="R11" s="40">
        <f t="shared" si="9"/>
        <v>-6.681455659430624E-3</v>
      </c>
      <c r="S11" s="40">
        <f t="shared" si="10"/>
        <v>1.092314772066838E-3</v>
      </c>
      <c r="T11" s="40">
        <f t="shared" si="11"/>
        <v>-1.7091620499699756E-2</v>
      </c>
    </row>
    <row r="12" spans="1:20" x14ac:dyDescent="0.25">
      <c r="A12" s="45">
        <v>45231</v>
      </c>
      <c r="B12" s="38">
        <f>'[1]Revenue Trend Report'!B12</f>
        <v>2279626.16</v>
      </c>
      <c r="C12" s="38">
        <f>SUMIFS('[1]Sales Transactions (Clean)'!$J$2:$J$1081,'[1]Sales Transactions (Clean)'!$L$2:$L$1081,A12)</f>
        <v>1234992</v>
      </c>
      <c r="D12" s="39">
        <f t="shared" si="0"/>
        <v>1044634.1600000001</v>
      </c>
      <c r="E12" s="40">
        <f t="shared" si="1"/>
        <v>0.4582480137883661</v>
      </c>
      <c r="F12" s="38">
        <f>SUMIFS('[1]Operating Expenses (Clean)'!$C$2:$C$121,'[1]Operating Expenses (Clean)'!$I$2:$I$121,A12)</f>
        <v>248445</v>
      </c>
      <c r="G12" s="38">
        <f>SUMIFS('[1]Operating Expenses (Clean)'!$D$2:$D$121,'[1]Operating Expenses (Clean)'!$I$2:$I$121,A12)</f>
        <v>117433</v>
      </c>
      <c r="H12" s="38">
        <f>SUMIFS('[1]Operating Expenses (Clean)'!$E$2:$E$121,'[1]Operating Expenses (Clean)'!$I$2:$I$121,A12)</f>
        <v>38281</v>
      </c>
      <c r="I12" s="38">
        <f>SUMIFS('[1]Operating Expenses (Clean)'!$F$2:$F$121,'[1]Operating Expenses (Clean)'!$I$2:$I$121,A12)</f>
        <v>63066</v>
      </c>
      <c r="J12" s="38">
        <f>SUMIFS('[1]Operating Expenses (Clean)'!$G$2:$G$121,'[1]Operating Expenses (Clean)'!$I$2:$I$121,A12)</f>
        <v>35740</v>
      </c>
      <c r="K12" s="39">
        <f t="shared" si="2"/>
        <v>502965</v>
      </c>
      <c r="L12" s="39">
        <f t="shared" si="3"/>
        <v>541669.16000000015</v>
      </c>
      <c r="M12" s="40">
        <f t="shared" si="4"/>
        <v>0.23761315320227774</v>
      </c>
      <c r="N12" s="40">
        <f t="shared" si="5"/>
        <v>-2.2828186407143876E-3</v>
      </c>
      <c r="O12" s="40">
        <f t="shared" si="6"/>
        <v>-1.7981331012894258E-2</v>
      </c>
      <c r="P12" s="40">
        <f t="shared" si="7"/>
        <v>1.5698512372179872E-2</v>
      </c>
      <c r="Q12" s="40">
        <f t="shared" si="8"/>
        <v>-1.5673471975150653E-2</v>
      </c>
      <c r="R12" s="40">
        <f t="shared" si="9"/>
        <v>-4.9796612873208732E-2</v>
      </c>
      <c r="S12" s="40">
        <f t="shared" si="10"/>
        <v>2.324137317675834E-3</v>
      </c>
      <c r="T12" s="40">
        <f t="shared" si="11"/>
        <v>1.218748657720109E-2</v>
      </c>
    </row>
    <row r="13" spans="1:20" x14ac:dyDescent="0.25">
      <c r="A13" s="45">
        <v>45261</v>
      </c>
      <c r="B13" s="38">
        <f>'[1]Revenue Trend Report'!B13</f>
        <v>2491954.3599999994</v>
      </c>
      <c r="C13" s="38">
        <f>SUMIFS('[1]Sales Transactions (Clean)'!$J$2:$J$1081,'[1]Sales Transactions (Clean)'!$L$2:$L$1081,A13)</f>
        <v>1371600</v>
      </c>
      <c r="D13" s="39">
        <f t="shared" si="0"/>
        <v>1120354.3599999994</v>
      </c>
      <c r="E13" s="40">
        <f t="shared" si="1"/>
        <v>0.44958863532316046</v>
      </c>
      <c r="F13" s="38">
        <f>SUMIFS('[1]Operating Expenses (Clean)'!$C$2:$C$121,'[1]Operating Expenses (Clean)'!$I$2:$I$121,A13)</f>
        <v>236955</v>
      </c>
      <c r="G13" s="38">
        <f>SUMIFS('[1]Operating Expenses (Clean)'!$D$2:$D$121,'[1]Operating Expenses (Clean)'!$I$2:$I$121,A13)</f>
        <v>119737</v>
      </c>
      <c r="H13" s="38">
        <f>SUMIFS('[1]Operating Expenses (Clean)'!$E$2:$E$121,'[1]Operating Expenses (Clean)'!$I$2:$I$121,A13)</f>
        <v>39272</v>
      </c>
      <c r="I13" s="38">
        <f>SUMIFS('[1]Operating Expenses (Clean)'!$F$2:$F$121,'[1]Operating Expenses (Clean)'!$I$2:$I$121,A13)</f>
        <v>71178</v>
      </c>
      <c r="J13" s="38">
        <f>SUMIFS('[1]Operating Expenses (Clean)'!$G$2:$G$121,'[1]Operating Expenses (Clean)'!$I$2:$I$121,A13)</f>
        <v>36550</v>
      </c>
      <c r="K13" s="39">
        <f t="shared" si="2"/>
        <v>503692</v>
      </c>
      <c r="L13" s="39">
        <f t="shared" si="3"/>
        <v>616662.3599999994</v>
      </c>
      <c r="M13" s="40">
        <f t="shared" si="4"/>
        <v>0.24746133793557903</v>
      </c>
      <c r="N13" s="40">
        <f t="shared" si="5"/>
        <v>9.3141675475420599E-2</v>
      </c>
      <c r="O13" s="40">
        <f t="shared" si="6"/>
        <v>7.9020942405364461E-2</v>
      </c>
      <c r="P13" s="40">
        <f t="shared" si="7"/>
        <v>1.4120733070056138E-2</v>
      </c>
      <c r="Q13" s="40">
        <f t="shared" si="8"/>
        <v>-4.6247660447986477E-2</v>
      </c>
      <c r="R13" s="40">
        <f t="shared" si="9"/>
        <v>2.2663682148852827E-2</v>
      </c>
      <c r="S13" s="40">
        <f t="shared" si="10"/>
        <v>-8.6593784652056471E-3</v>
      </c>
      <c r="T13" s="40">
        <f t="shared" si="11"/>
        <v>9.8481847333012906E-3</v>
      </c>
    </row>
    <row r="14" spans="1:20" x14ac:dyDescent="0.25">
      <c r="A14" s="45">
        <v>45292</v>
      </c>
      <c r="B14" s="38">
        <f>'[1]Revenue Trend Report'!B14</f>
        <v>2423695.8599999994</v>
      </c>
      <c r="C14" s="38">
        <f>SUMIFS('[1]Sales Transactions (Clean)'!$J$2:$J$1081,'[1]Sales Transactions (Clean)'!$L$2:$L$1081,A14)</f>
        <v>1558012.3200000003</v>
      </c>
      <c r="D14" s="39">
        <f t="shared" si="0"/>
        <v>865683.53999999911</v>
      </c>
      <c r="E14" s="40">
        <f t="shared" si="1"/>
        <v>0.35717498811917736</v>
      </c>
      <c r="F14" s="38">
        <f>SUMIFS('[1]Operating Expenses (Clean)'!$C$2:$C$121,'[1]Operating Expenses (Clean)'!$I$2:$I$121,A14)</f>
        <v>293819</v>
      </c>
      <c r="G14" s="38">
        <f>SUMIFS('[1]Operating Expenses (Clean)'!$D$2:$D$121,'[1]Operating Expenses (Clean)'!$I$2:$I$121,A14)</f>
        <v>120469</v>
      </c>
      <c r="H14" s="38">
        <f>SUMIFS('[1]Operating Expenses (Clean)'!$E$2:$E$121,'[1]Operating Expenses (Clean)'!$I$2:$I$121,A14)</f>
        <v>46537</v>
      </c>
      <c r="I14" s="38">
        <f>SUMIFS('[1]Operating Expenses (Clean)'!$F$2:$F$121,'[1]Operating Expenses (Clean)'!$I$2:$I$121,A14)</f>
        <v>82411</v>
      </c>
      <c r="J14" s="38">
        <f>SUMIFS('[1]Operating Expenses (Clean)'!$G$2:$G$121,'[1]Operating Expenses (Clean)'!$I$2:$I$121,A14)</f>
        <v>42392</v>
      </c>
      <c r="K14" s="39">
        <f t="shared" si="2"/>
        <v>585628</v>
      </c>
      <c r="L14" s="39">
        <f t="shared" si="3"/>
        <v>280055.53999999911</v>
      </c>
      <c r="M14" s="40">
        <f t="shared" si="4"/>
        <v>0.11554896165891011</v>
      </c>
      <c r="N14" s="40">
        <f t="shared" si="5"/>
        <v>-2.7391553029887761E-2</v>
      </c>
      <c r="O14" s="40">
        <f t="shared" si="6"/>
        <v>0.14309681905537927</v>
      </c>
      <c r="P14" s="40">
        <f t="shared" si="7"/>
        <v>-0.17048837208526704</v>
      </c>
      <c r="Q14" s="40">
        <f t="shared" si="8"/>
        <v>0.23997805490493976</v>
      </c>
      <c r="R14" s="40">
        <f t="shared" si="9"/>
        <v>0.1598358413132695</v>
      </c>
      <c r="S14" s="40">
        <f t="shared" si="10"/>
        <v>-9.2413647203983096E-2</v>
      </c>
      <c r="T14" s="40">
        <f t="shared" si="11"/>
        <v>-0.13191237627666891</v>
      </c>
    </row>
    <row r="15" spans="1:20" x14ac:dyDescent="0.25">
      <c r="A15" s="45">
        <v>45323</v>
      </c>
      <c r="B15" s="38">
        <f>'[1]Revenue Trend Report'!B15</f>
        <v>2357448.6500000004</v>
      </c>
      <c r="C15" s="38">
        <f>SUMIFS('[1]Sales Transactions (Clean)'!$J$2:$J$1081,'[1]Sales Transactions (Clean)'!$L$2:$L$1081,A15)</f>
        <v>1500602.7600000002</v>
      </c>
      <c r="D15" s="39">
        <f t="shared" si="0"/>
        <v>856845.89000000013</v>
      </c>
      <c r="E15" s="40">
        <f t="shared" si="1"/>
        <v>0.36346322538138848</v>
      </c>
      <c r="F15" s="38">
        <f>SUMIFS('[1]Operating Expenses (Clean)'!$C$2:$C$121,'[1]Operating Expenses (Clean)'!$I$2:$I$121,A15)</f>
        <v>292471</v>
      </c>
      <c r="G15" s="38">
        <f>SUMIFS('[1]Operating Expenses (Clean)'!$D$2:$D$121,'[1]Operating Expenses (Clean)'!$I$2:$I$121,A15)</f>
        <v>121161</v>
      </c>
      <c r="H15" s="38">
        <f>SUMIFS('[1]Operating Expenses (Clean)'!$E$2:$E$121,'[1]Operating Expenses (Clean)'!$I$2:$I$121,A15)</f>
        <v>46870</v>
      </c>
      <c r="I15" s="38">
        <f>SUMIFS('[1]Operating Expenses (Clean)'!$F$2:$F$121,'[1]Operating Expenses (Clean)'!$I$2:$I$121,A15)</f>
        <v>87696</v>
      </c>
      <c r="J15" s="38">
        <f>SUMIFS('[1]Operating Expenses (Clean)'!$G$2:$G$121,'[1]Operating Expenses (Clean)'!$I$2:$I$121,A15)</f>
        <v>45132</v>
      </c>
      <c r="K15" s="39">
        <f t="shared" si="2"/>
        <v>593330</v>
      </c>
      <c r="L15" s="39">
        <f t="shared" si="3"/>
        <v>263515.89000000013</v>
      </c>
      <c r="M15" s="40">
        <f t="shared" si="4"/>
        <v>0.11178011873132426</v>
      </c>
      <c r="N15" s="40">
        <f t="shared" si="5"/>
        <v>-2.7333136592476191E-2</v>
      </c>
      <c r="O15" s="40">
        <f t="shared" si="6"/>
        <v>-2.3188386380043481E-2</v>
      </c>
      <c r="P15" s="40">
        <f t="shared" si="7"/>
        <v>-4.1447502124327094E-3</v>
      </c>
      <c r="Q15" s="40">
        <f t="shared" si="8"/>
        <v>-4.5878585115326099E-3</v>
      </c>
      <c r="R15" s="40">
        <f t="shared" si="9"/>
        <v>6.4634836761653144E-2</v>
      </c>
      <c r="S15" s="40">
        <f t="shared" si="10"/>
        <v>6.288237262211116E-3</v>
      </c>
      <c r="T15" s="40">
        <f t="shared" si="11"/>
        <v>-3.7688429275858498E-3</v>
      </c>
    </row>
    <row r="16" spans="1:20" x14ac:dyDescent="0.25">
      <c r="A16" s="45">
        <v>45352</v>
      </c>
      <c r="B16" s="38">
        <f>'[1]Revenue Trend Report'!B16</f>
        <v>2338098.14</v>
      </c>
      <c r="C16" s="38">
        <f>SUMIFS('[1]Sales Transactions (Clean)'!$J$2:$J$1081,'[1]Sales Transactions (Clean)'!$L$2:$L$1081,A16)</f>
        <v>1492375.3199999998</v>
      </c>
      <c r="D16" s="39">
        <f t="shared" si="0"/>
        <v>845722.8200000003</v>
      </c>
      <c r="E16" s="40">
        <f t="shared" si="1"/>
        <v>0.36171399546128558</v>
      </c>
      <c r="F16" s="38">
        <f>SUMIFS('[1]Operating Expenses (Clean)'!$C$2:$C$121,'[1]Operating Expenses (Clean)'!$I$2:$I$121,A16)</f>
        <v>282558</v>
      </c>
      <c r="G16" s="38">
        <f>SUMIFS('[1]Operating Expenses (Clean)'!$D$2:$D$121,'[1]Operating Expenses (Clean)'!$I$2:$I$121,A16)</f>
        <v>115417</v>
      </c>
      <c r="H16" s="38">
        <f>SUMIFS('[1]Operating Expenses (Clean)'!$E$2:$E$121,'[1]Operating Expenses (Clean)'!$I$2:$I$121,A16)</f>
        <v>44397</v>
      </c>
      <c r="I16" s="38">
        <f>SUMIFS('[1]Operating Expenses (Clean)'!$F$2:$F$121,'[1]Operating Expenses (Clean)'!$I$2:$I$121,A16)</f>
        <v>79468</v>
      </c>
      <c r="J16" s="38">
        <f>SUMIFS('[1]Operating Expenses (Clean)'!$G$2:$G$121,'[1]Operating Expenses (Clean)'!$I$2:$I$121,A16)</f>
        <v>43798</v>
      </c>
      <c r="K16" s="39">
        <f t="shared" si="2"/>
        <v>565638</v>
      </c>
      <c r="L16" s="39">
        <f t="shared" si="3"/>
        <v>280084.8200000003</v>
      </c>
      <c r="M16" s="40">
        <f t="shared" si="4"/>
        <v>0.11979172952936881</v>
      </c>
      <c r="N16" s="40">
        <f t="shared" si="5"/>
        <v>-8.2082424149515359E-3</v>
      </c>
      <c r="O16" s="40">
        <f t="shared" si="6"/>
        <v>-1.7154056083443867E-2</v>
      </c>
      <c r="P16" s="40">
        <f t="shared" si="7"/>
        <v>8.9458136684923313E-3</v>
      </c>
      <c r="Q16" s="40">
        <f t="shared" si="8"/>
        <v>-3.3893958717274533E-2</v>
      </c>
      <c r="R16" s="40">
        <f t="shared" si="9"/>
        <v>-2.9557741735354071E-2</v>
      </c>
      <c r="S16" s="40">
        <f t="shared" si="10"/>
        <v>-1.7492299201029016E-3</v>
      </c>
      <c r="T16" s="40">
        <f t="shared" si="11"/>
        <v>8.0116107980445495E-3</v>
      </c>
    </row>
    <row r="17" spans="1:20" x14ac:dyDescent="0.25">
      <c r="A17" s="45">
        <v>45383</v>
      </c>
      <c r="B17" s="38">
        <f>'[1]Revenue Trend Report'!B17</f>
        <v>2357454.1</v>
      </c>
      <c r="C17" s="38">
        <f>SUMIFS('[1]Sales Transactions (Clean)'!$J$2:$J$1081,'[1]Sales Transactions (Clean)'!$L$2:$L$1081,A17)</f>
        <v>1514369.5200000003</v>
      </c>
      <c r="D17" s="39">
        <f t="shared" si="0"/>
        <v>843084.57999999984</v>
      </c>
      <c r="E17" s="40">
        <f t="shared" si="1"/>
        <v>0.35762502438541638</v>
      </c>
      <c r="F17" s="38">
        <f>SUMIFS('[1]Operating Expenses (Clean)'!$C$2:$C$121,'[1]Operating Expenses (Clean)'!$I$2:$I$121,A17)</f>
        <v>296107</v>
      </c>
      <c r="G17" s="38">
        <f>SUMIFS('[1]Operating Expenses (Clean)'!$D$2:$D$121,'[1]Operating Expenses (Clean)'!$I$2:$I$121,A17)</f>
        <v>122514</v>
      </c>
      <c r="H17" s="38">
        <f>SUMIFS('[1]Operating Expenses (Clean)'!$E$2:$E$121,'[1]Operating Expenses (Clean)'!$I$2:$I$121,A17)</f>
        <v>39480</v>
      </c>
      <c r="I17" s="38">
        <f>SUMIFS('[1]Operating Expenses (Clean)'!$F$2:$F$121,'[1]Operating Expenses (Clean)'!$I$2:$I$121,A17)</f>
        <v>80785</v>
      </c>
      <c r="J17" s="38">
        <f>SUMIFS('[1]Operating Expenses (Clean)'!$G$2:$G$121,'[1]Operating Expenses (Clean)'!$I$2:$I$121,A17)</f>
        <v>43512</v>
      </c>
      <c r="K17" s="39">
        <f t="shared" si="2"/>
        <v>582398</v>
      </c>
      <c r="L17" s="39">
        <f t="shared" si="3"/>
        <v>260686.57999999984</v>
      </c>
      <c r="M17" s="40">
        <f t="shared" si="4"/>
        <v>0.1105797054542864</v>
      </c>
      <c r="N17" s="40">
        <f t="shared" si="5"/>
        <v>8.278506222155398E-3</v>
      </c>
      <c r="O17" s="40">
        <f t="shared" si="6"/>
        <v>1.8830879092658362E-2</v>
      </c>
      <c r="P17" s="40">
        <f t="shared" si="7"/>
        <v>-1.0552372870502964E-2</v>
      </c>
      <c r="Q17" s="40">
        <f t="shared" si="8"/>
        <v>4.7951217095251242E-2</v>
      </c>
      <c r="R17" s="40">
        <f t="shared" si="9"/>
        <v>-6.529978537832778E-3</v>
      </c>
      <c r="S17" s="40">
        <f t="shared" si="10"/>
        <v>-4.0889710758691966E-3</v>
      </c>
      <c r="T17" s="40">
        <f t="shared" si="11"/>
        <v>-9.2120240750824117E-3</v>
      </c>
    </row>
    <row r="18" spans="1:20" x14ac:dyDescent="0.25">
      <c r="A18" s="45">
        <v>45413</v>
      </c>
      <c r="B18" s="38">
        <f>'[1]Revenue Trend Report'!B18</f>
        <v>2542740.06</v>
      </c>
      <c r="C18" s="38">
        <f>SUMIFS('[1]Sales Transactions (Clean)'!$J$2:$J$1081,'[1]Sales Transactions (Clean)'!$L$2:$L$1081,A18)</f>
        <v>1619879.0399999998</v>
      </c>
      <c r="D18" s="39">
        <f t="shared" si="0"/>
        <v>922861.02000000025</v>
      </c>
      <c r="E18" s="40">
        <f t="shared" si="1"/>
        <v>0.36293958415867339</v>
      </c>
      <c r="F18" s="38">
        <f>SUMIFS('[1]Operating Expenses (Clean)'!$C$2:$C$121,'[1]Operating Expenses (Clean)'!$I$2:$I$121,A18)</f>
        <v>282065</v>
      </c>
      <c r="G18" s="38">
        <f>SUMIFS('[1]Operating Expenses (Clean)'!$D$2:$D$121,'[1]Operating Expenses (Clean)'!$I$2:$I$121,A18)</f>
        <v>114071</v>
      </c>
      <c r="H18" s="38">
        <f>SUMIFS('[1]Operating Expenses (Clean)'!$E$2:$E$121,'[1]Operating Expenses (Clean)'!$I$2:$I$121,A18)</f>
        <v>41090</v>
      </c>
      <c r="I18" s="38">
        <f>SUMIFS('[1]Operating Expenses (Clean)'!$F$2:$F$121,'[1]Operating Expenses (Clean)'!$I$2:$I$121,A18)</f>
        <v>84180</v>
      </c>
      <c r="J18" s="38">
        <f>SUMIFS('[1]Operating Expenses (Clean)'!$G$2:$G$121,'[1]Operating Expenses (Clean)'!$I$2:$I$121,A18)</f>
        <v>45236</v>
      </c>
      <c r="K18" s="39">
        <f t="shared" si="2"/>
        <v>566642</v>
      </c>
      <c r="L18" s="39">
        <f t="shared" si="3"/>
        <v>356219.02000000025</v>
      </c>
      <c r="M18" s="40">
        <f t="shared" si="4"/>
        <v>0.14009258185832815</v>
      </c>
      <c r="N18" s="40">
        <f t="shared" si="5"/>
        <v>7.8595786870251247E-2</v>
      </c>
      <c r="O18" s="40">
        <f t="shared" si="6"/>
        <v>4.2805661163618072E-2</v>
      </c>
      <c r="P18" s="40">
        <f t="shared" si="7"/>
        <v>3.5790125706633175E-2</v>
      </c>
      <c r="Q18" s="40">
        <f t="shared" si="8"/>
        <v>-4.7422046760123876E-2</v>
      </c>
      <c r="R18" s="40">
        <f t="shared" si="9"/>
        <v>3.962125390696819E-2</v>
      </c>
      <c r="S18" s="40">
        <f t="shared" si="10"/>
        <v>5.3145597732570105E-3</v>
      </c>
      <c r="T18" s="40">
        <f t="shared" si="11"/>
        <v>2.9512876404041752E-2</v>
      </c>
    </row>
    <row r="19" spans="1:20" x14ac:dyDescent="0.25">
      <c r="A19" s="45">
        <v>45444</v>
      </c>
      <c r="B19" s="38">
        <f>'[1]Revenue Trend Report'!B19</f>
        <v>2447755.63</v>
      </c>
      <c r="C19" s="38">
        <f>SUMIFS('[1]Sales Transactions (Clean)'!$J$2:$J$1081,'[1]Sales Transactions (Clean)'!$L$2:$L$1081,A19)</f>
        <v>1550527.9199999997</v>
      </c>
      <c r="D19" s="39">
        <f t="shared" si="0"/>
        <v>897227.7100000002</v>
      </c>
      <c r="E19" s="40">
        <f t="shared" si="1"/>
        <v>0.36655117815008365</v>
      </c>
      <c r="F19" s="38">
        <f>SUMIFS('[1]Operating Expenses (Clean)'!$C$2:$C$121,'[1]Operating Expenses (Clean)'!$I$2:$I$121,A19)</f>
        <v>290512</v>
      </c>
      <c r="G19" s="38">
        <f>SUMIFS('[1]Operating Expenses (Clean)'!$D$2:$D$121,'[1]Operating Expenses (Clean)'!$I$2:$I$121,A19)</f>
        <v>118365</v>
      </c>
      <c r="H19" s="38">
        <f>SUMIFS('[1]Operating Expenses (Clean)'!$E$2:$E$121,'[1]Operating Expenses (Clean)'!$I$2:$I$121,A19)</f>
        <v>44846</v>
      </c>
      <c r="I19" s="38">
        <f>SUMIFS('[1]Operating Expenses (Clean)'!$F$2:$F$121,'[1]Operating Expenses (Clean)'!$I$2:$I$121,A19)</f>
        <v>74959</v>
      </c>
      <c r="J19" s="38">
        <f>SUMIFS('[1]Operating Expenses (Clean)'!$G$2:$G$121,'[1]Operating Expenses (Clean)'!$I$2:$I$121,A19)</f>
        <v>47507</v>
      </c>
      <c r="K19" s="39">
        <f t="shared" si="2"/>
        <v>576189</v>
      </c>
      <c r="L19" s="39">
        <f t="shared" si="3"/>
        <v>321038.7100000002</v>
      </c>
      <c r="M19" s="40">
        <f t="shared" si="4"/>
        <v>0.13115635648645213</v>
      </c>
      <c r="N19" s="40">
        <f t="shared" si="5"/>
        <v>-3.7355147501785993E-2</v>
      </c>
      <c r="O19" s="40">
        <f t="shared" si="6"/>
        <v>-2.7351266649599727E-2</v>
      </c>
      <c r="P19" s="40">
        <f t="shared" si="7"/>
        <v>-1.0003880852186266E-2</v>
      </c>
      <c r="Q19" s="40">
        <f t="shared" si="8"/>
        <v>2.9946998032368426E-2</v>
      </c>
      <c r="R19" s="40">
        <f t="shared" si="9"/>
        <v>5.0203377840657884E-2</v>
      </c>
      <c r="S19" s="40">
        <f t="shared" si="10"/>
        <v>3.6115939914102557E-3</v>
      </c>
      <c r="T19" s="40">
        <f t="shared" si="11"/>
        <v>-8.9362253718760221E-3</v>
      </c>
    </row>
    <row r="20" spans="1:20" x14ac:dyDescent="0.25">
      <c r="A20" s="45">
        <v>45474</v>
      </c>
      <c r="B20" s="38">
        <f>'[1]Revenue Trend Report'!B20</f>
        <v>2297132.6600000011</v>
      </c>
      <c r="C20" s="38">
        <f>SUMIFS('[1]Sales Transactions (Clean)'!$J$2:$J$1081,'[1]Sales Transactions (Clean)'!$L$2:$L$1081,A20)</f>
        <v>1467852.84</v>
      </c>
      <c r="D20" s="39">
        <f t="shared" si="0"/>
        <v>829279.820000001</v>
      </c>
      <c r="E20" s="40">
        <f t="shared" si="1"/>
        <v>0.36100649929377637</v>
      </c>
      <c r="F20" s="38">
        <f>SUMIFS('[1]Operating Expenses (Clean)'!$C$2:$C$121,'[1]Operating Expenses (Clean)'!$I$2:$I$121,A20)</f>
        <v>290389</v>
      </c>
      <c r="G20" s="38">
        <f>SUMIFS('[1]Operating Expenses (Clean)'!$D$2:$D$121,'[1]Operating Expenses (Clean)'!$I$2:$I$121,A20)</f>
        <v>127455</v>
      </c>
      <c r="H20" s="38">
        <f>SUMIFS('[1]Operating Expenses (Clean)'!$E$2:$E$121,'[1]Operating Expenses (Clean)'!$I$2:$I$121,A20)</f>
        <v>42508</v>
      </c>
      <c r="I20" s="38">
        <f>SUMIFS('[1]Operating Expenses (Clean)'!$F$2:$F$121,'[1]Operating Expenses (Clean)'!$I$2:$I$121,A20)</f>
        <v>83368</v>
      </c>
      <c r="J20" s="38">
        <f>SUMIFS('[1]Operating Expenses (Clean)'!$G$2:$G$121,'[1]Operating Expenses (Clean)'!$I$2:$I$121,A20)</f>
        <v>44433</v>
      </c>
      <c r="K20" s="39">
        <f t="shared" si="2"/>
        <v>588153</v>
      </c>
      <c r="L20" s="39">
        <f t="shared" si="3"/>
        <v>241126.820000001</v>
      </c>
      <c r="M20" s="40">
        <f t="shared" si="4"/>
        <v>0.10496860899622613</v>
      </c>
      <c r="N20" s="40">
        <f t="shared" si="5"/>
        <v>-6.1535133717575727E-2</v>
      </c>
      <c r="O20" s="40">
        <f t="shared" si="6"/>
        <v>-3.3248938462388238E-2</v>
      </c>
      <c r="P20" s="40">
        <f t="shared" si="7"/>
        <v>-2.8286195255187489E-2</v>
      </c>
      <c r="Q20" s="40">
        <f t="shared" si="8"/>
        <v>-4.2339042793413008E-4</v>
      </c>
      <c r="R20" s="40">
        <f t="shared" si="9"/>
        <v>-6.4706253815227224E-2</v>
      </c>
      <c r="S20" s="40">
        <f t="shared" si="10"/>
        <v>-5.5446788563072724E-3</v>
      </c>
      <c r="T20" s="40">
        <f t="shared" si="11"/>
        <v>-2.6187747490225996E-2</v>
      </c>
    </row>
    <row r="21" spans="1:20" x14ac:dyDescent="0.25">
      <c r="A21" s="45">
        <v>45505</v>
      </c>
      <c r="B21" s="38">
        <f>'[1]Revenue Trend Report'!B21</f>
        <v>2377319.5699999998</v>
      </c>
      <c r="C21" s="38">
        <f>SUMIFS('[1]Sales Transactions (Clean)'!$J$2:$J$1081,'[1]Sales Transactions (Clean)'!$L$2:$L$1081,A21)</f>
        <v>1517066.2799999996</v>
      </c>
      <c r="D21" s="39">
        <f t="shared" si="0"/>
        <v>860253.29000000027</v>
      </c>
      <c r="E21" s="40">
        <f t="shared" si="1"/>
        <v>0.36185849847692136</v>
      </c>
      <c r="F21" s="38">
        <f>SUMIFS('[1]Operating Expenses (Clean)'!$C$2:$C$121,'[1]Operating Expenses (Clean)'!$I$2:$I$121,A21)</f>
        <v>294065</v>
      </c>
      <c r="G21" s="38">
        <f>SUMIFS('[1]Operating Expenses (Clean)'!$D$2:$D$121,'[1]Operating Expenses (Clean)'!$I$2:$I$121,A21)</f>
        <v>119469</v>
      </c>
      <c r="H21" s="38">
        <f>SUMIFS('[1]Operating Expenses (Clean)'!$E$2:$E$121,'[1]Operating Expenses (Clean)'!$I$2:$I$121,A21)</f>
        <v>41425</v>
      </c>
      <c r="I21" s="38">
        <f>SUMIFS('[1]Operating Expenses (Clean)'!$F$2:$F$121,'[1]Operating Expenses (Clean)'!$I$2:$I$121,A21)</f>
        <v>77241</v>
      </c>
      <c r="J21" s="38">
        <f>SUMIFS('[1]Operating Expenses (Clean)'!$G$2:$G$121,'[1]Operating Expenses (Clean)'!$I$2:$I$121,A21)</f>
        <v>41419</v>
      </c>
      <c r="K21" s="39">
        <f t="shared" si="2"/>
        <v>573619</v>
      </c>
      <c r="L21" s="39">
        <f t="shared" si="3"/>
        <v>286634.29000000027</v>
      </c>
      <c r="M21" s="40">
        <f t="shared" si="4"/>
        <v>0.12057036572495816</v>
      </c>
      <c r="N21" s="40">
        <f t="shared" si="5"/>
        <v>3.490739189612093E-2</v>
      </c>
      <c r="O21" s="40">
        <f t="shared" si="6"/>
        <v>1.6867383995368163E-2</v>
      </c>
      <c r="P21" s="40">
        <f t="shared" si="7"/>
        <v>1.8040007900752768E-2</v>
      </c>
      <c r="Q21" s="40">
        <f t="shared" si="8"/>
        <v>1.2658881706951709E-2</v>
      </c>
      <c r="R21" s="40">
        <f t="shared" si="9"/>
        <v>-6.7832466860216503E-2</v>
      </c>
      <c r="S21" s="40">
        <f t="shared" si="10"/>
        <v>8.5199918314499135E-4</v>
      </c>
      <c r="T21" s="40">
        <f t="shared" si="11"/>
        <v>1.5601756728732027E-2</v>
      </c>
    </row>
    <row r="22" spans="1:20" x14ac:dyDescent="0.25">
      <c r="A22" s="45">
        <v>45536</v>
      </c>
      <c r="B22" s="38">
        <f>'[1]Revenue Trend Report'!B22</f>
        <v>2373028.5599999991</v>
      </c>
      <c r="C22" s="38">
        <f>SUMIFS('[1]Sales Transactions (Clean)'!$J$2:$J$1081,'[1]Sales Transactions (Clean)'!$L$2:$L$1081,A22)</f>
        <v>1511053.9200000002</v>
      </c>
      <c r="D22" s="39">
        <f t="shared" si="0"/>
        <v>861974.63999999897</v>
      </c>
      <c r="E22" s="40">
        <f t="shared" si="1"/>
        <v>0.36323820729742895</v>
      </c>
      <c r="F22" s="38">
        <f>SUMIFS('[1]Operating Expenses (Clean)'!$C$2:$C$121,'[1]Operating Expenses (Clean)'!$I$2:$I$121,A22)</f>
        <v>281219</v>
      </c>
      <c r="G22" s="38">
        <f>SUMIFS('[1]Operating Expenses (Clean)'!$D$2:$D$121,'[1]Operating Expenses (Clean)'!$I$2:$I$121,A22)</f>
        <v>124625</v>
      </c>
      <c r="H22" s="38">
        <f>SUMIFS('[1]Operating Expenses (Clean)'!$E$2:$E$121,'[1]Operating Expenses (Clean)'!$I$2:$I$121,A22)</f>
        <v>42472</v>
      </c>
      <c r="I22" s="38">
        <f>SUMIFS('[1]Operating Expenses (Clean)'!$F$2:$F$121,'[1]Operating Expenses (Clean)'!$I$2:$I$121,A22)</f>
        <v>81425</v>
      </c>
      <c r="J22" s="38">
        <f>SUMIFS('[1]Operating Expenses (Clean)'!$G$2:$G$121,'[1]Operating Expenses (Clean)'!$I$2:$I$121,A22)</f>
        <v>42471</v>
      </c>
      <c r="K22" s="39">
        <f t="shared" si="2"/>
        <v>572212</v>
      </c>
      <c r="L22" s="39">
        <f t="shared" si="3"/>
        <v>289762.63999999897</v>
      </c>
      <c r="M22" s="40">
        <f t="shared" si="4"/>
        <v>0.1221066804185446</v>
      </c>
      <c r="N22" s="40">
        <f t="shared" si="5"/>
        <v>-1.8049782007223826E-3</v>
      </c>
      <c r="O22" s="40">
        <f t="shared" si="6"/>
        <v>-3.5487694254964122E-3</v>
      </c>
      <c r="P22" s="40">
        <f t="shared" si="7"/>
        <v>1.7437912247740296E-3</v>
      </c>
      <c r="Q22" s="40">
        <f t="shared" si="8"/>
        <v>-4.3684219475286078E-2</v>
      </c>
      <c r="R22" s="40">
        <f t="shared" si="9"/>
        <v>2.5398971486515851E-2</v>
      </c>
      <c r="S22" s="40">
        <f t="shared" si="10"/>
        <v>1.3797088205075858E-3</v>
      </c>
      <c r="T22" s="40">
        <f t="shared" si="11"/>
        <v>1.5363146935864352E-3</v>
      </c>
    </row>
    <row r="23" spans="1:20" x14ac:dyDescent="0.25">
      <c r="A23" s="45">
        <v>45566</v>
      </c>
      <c r="B23" s="38">
        <f>'[1]Revenue Trend Report'!B23</f>
        <v>2437406.1600000006</v>
      </c>
      <c r="C23" s="38">
        <f>SUMIFS('[1]Sales Transactions (Clean)'!$J$2:$J$1081,'[1]Sales Transactions (Clean)'!$L$2:$L$1081,A23)</f>
        <v>1548602.2800000003</v>
      </c>
      <c r="D23" s="39">
        <f t="shared" si="0"/>
        <v>888803.88000000035</v>
      </c>
      <c r="E23" s="40">
        <f t="shared" si="1"/>
        <v>0.36465152775358545</v>
      </c>
      <c r="F23" s="38">
        <f>SUMIFS('[1]Operating Expenses (Clean)'!$C$2:$C$121,'[1]Operating Expenses (Clean)'!$I$2:$I$121,A23)</f>
        <v>291401</v>
      </c>
      <c r="G23" s="38">
        <f>SUMIFS('[1]Operating Expenses (Clean)'!$D$2:$D$121,'[1]Operating Expenses (Clean)'!$I$2:$I$121,A23)</f>
        <v>123364</v>
      </c>
      <c r="H23" s="38">
        <f>SUMIFS('[1]Operating Expenses (Clean)'!$E$2:$E$121,'[1]Operating Expenses (Clean)'!$I$2:$I$121,A23)</f>
        <v>45512</v>
      </c>
      <c r="I23" s="38">
        <f>SUMIFS('[1]Operating Expenses (Clean)'!$F$2:$F$121,'[1]Operating Expenses (Clean)'!$I$2:$I$121,A23)</f>
        <v>85612</v>
      </c>
      <c r="J23" s="38">
        <f>SUMIFS('[1]Operating Expenses (Clean)'!$G$2:$G$121,'[1]Operating Expenses (Clean)'!$I$2:$I$121,A23)</f>
        <v>41688</v>
      </c>
      <c r="K23" s="39">
        <f t="shared" si="2"/>
        <v>587577</v>
      </c>
      <c r="L23" s="39">
        <f t="shared" si="3"/>
        <v>301226.88000000035</v>
      </c>
      <c r="M23" s="40">
        <f t="shared" si="4"/>
        <v>0.12358501629453512</v>
      </c>
      <c r="N23" s="40">
        <f t="shared" si="5"/>
        <v>2.712887703298502E-2</v>
      </c>
      <c r="O23" s="40">
        <f t="shared" si="6"/>
        <v>2.5399234678595471E-2</v>
      </c>
      <c r="P23" s="40">
        <f t="shared" si="7"/>
        <v>1.7296423543895489E-3</v>
      </c>
      <c r="Q23" s="40">
        <f t="shared" si="8"/>
        <v>3.6206657444909481E-2</v>
      </c>
      <c r="R23" s="40">
        <f t="shared" si="9"/>
        <v>-1.8436109345200253E-2</v>
      </c>
      <c r="S23" s="40">
        <f t="shared" si="10"/>
        <v>1.4133204561564972E-3</v>
      </c>
      <c r="T23" s="40">
        <f t="shared" si="11"/>
        <v>1.4783358759905274E-3</v>
      </c>
    </row>
    <row r="24" spans="1:20" x14ac:dyDescent="0.25">
      <c r="A24" s="45">
        <v>45597</v>
      </c>
      <c r="B24" s="38">
        <f>'[1]Revenue Trend Report'!B24</f>
        <v>2538509.6299999994</v>
      </c>
      <c r="C24" s="38">
        <f>SUMIFS('[1]Sales Transactions (Clean)'!$J$2:$J$1081,'[1]Sales Transactions (Clean)'!$L$2:$L$1081,A24)</f>
        <v>1635495.8399999999</v>
      </c>
      <c r="D24" s="39">
        <f t="shared" si="0"/>
        <v>903013.78999999957</v>
      </c>
      <c r="E24" s="40">
        <f t="shared" si="1"/>
        <v>0.35572596586919381</v>
      </c>
      <c r="F24" s="38">
        <f>SUMIFS('[1]Operating Expenses (Clean)'!$C$2:$C$121,'[1]Operating Expenses (Clean)'!$I$2:$I$121,A24)</f>
        <v>273089</v>
      </c>
      <c r="G24" s="38">
        <f>SUMIFS('[1]Operating Expenses (Clean)'!$D$2:$D$121,'[1]Operating Expenses (Clean)'!$I$2:$I$121,A24)</f>
        <v>118150</v>
      </c>
      <c r="H24" s="38">
        <f>SUMIFS('[1]Operating Expenses (Clean)'!$E$2:$E$121,'[1]Operating Expenses (Clean)'!$I$2:$I$121,A24)</f>
        <v>41988</v>
      </c>
      <c r="I24" s="38">
        <f>SUMIFS('[1]Operating Expenses (Clean)'!$F$2:$F$121,'[1]Operating Expenses (Clean)'!$I$2:$I$121,A24)</f>
        <v>74248</v>
      </c>
      <c r="J24" s="38">
        <f>SUMIFS('[1]Operating Expenses (Clean)'!$G$2:$G$121,'[1]Operating Expenses (Clean)'!$I$2:$I$121,A24)</f>
        <v>40966</v>
      </c>
      <c r="K24" s="39">
        <f t="shared" si="2"/>
        <v>548441</v>
      </c>
      <c r="L24" s="39">
        <f t="shared" si="3"/>
        <v>354572.78999999957</v>
      </c>
      <c r="M24" s="40">
        <f t="shared" si="4"/>
        <v>0.13967754378776953</v>
      </c>
      <c r="N24" s="40">
        <f t="shared" si="5"/>
        <v>4.1479943580678726E-2</v>
      </c>
      <c r="O24" s="40">
        <f t="shared" si="6"/>
        <v>2.2356531798211048E-2</v>
      </c>
      <c r="P24" s="40">
        <f t="shared" si="7"/>
        <v>1.9123411782467677E-2</v>
      </c>
      <c r="Q24" s="40">
        <f t="shared" si="8"/>
        <v>-6.2841239391765988E-2</v>
      </c>
      <c r="R24" s="40">
        <f t="shared" si="9"/>
        <v>-1.7319132604106696E-2</v>
      </c>
      <c r="S24" s="40">
        <f t="shared" si="10"/>
        <v>-8.9255618843916418E-3</v>
      </c>
      <c r="T24" s="40">
        <f t="shared" si="11"/>
        <v>1.6092527493234407E-2</v>
      </c>
    </row>
    <row r="25" spans="1:20" x14ac:dyDescent="0.25">
      <c r="A25" s="45">
        <v>45627</v>
      </c>
      <c r="B25" s="38">
        <f>'[1]Revenue Trend Report'!B25</f>
        <v>2455424.96</v>
      </c>
      <c r="C25" s="38">
        <f>SUMIFS('[1]Sales Transactions (Clean)'!$J$2:$J$1081,'[1]Sales Transactions (Clean)'!$L$2:$L$1081,A25)</f>
        <v>1574840.88</v>
      </c>
      <c r="D25" s="39">
        <f t="shared" si="0"/>
        <v>880584.08000000007</v>
      </c>
      <c r="E25" s="40">
        <f t="shared" si="1"/>
        <v>0.35862797452380712</v>
      </c>
      <c r="F25" s="38">
        <f>SUMIFS('[1]Operating Expenses (Clean)'!$C$2:$C$121,'[1]Operating Expenses (Clean)'!$I$2:$I$121,A25)</f>
        <v>275398</v>
      </c>
      <c r="G25" s="38">
        <f>SUMIFS('[1]Operating Expenses (Clean)'!$D$2:$D$121,'[1]Operating Expenses (Clean)'!$I$2:$I$121,A25)</f>
        <v>118382</v>
      </c>
      <c r="H25" s="38">
        <f>SUMIFS('[1]Operating Expenses (Clean)'!$E$2:$E$121,'[1]Operating Expenses (Clean)'!$I$2:$I$121,A25)</f>
        <v>45455</v>
      </c>
      <c r="I25" s="38">
        <f>SUMIFS('[1]Operating Expenses (Clean)'!$F$2:$F$121,'[1]Operating Expenses (Clean)'!$I$2:$I$121,A25)</f>
        <v>86194</v>
      </c>
      <c r="J25" s="38">
        <f>SUMIFS('[1]Operating Expenses (Clean)'!$G$2:$G$121,'[1]Operating Expenses (Clean)'!$I$2:$I$121,A25)</f>
        <v>40481</v>
      </c>
      <c r="K25" s="39">
        <f t="shared" si="2"/>
        <v>565910</v>
      </c>
      <c r="L25" s="39">
        <f t="shared" si="3"/>
        <v>314674.08000000007</v>
      </c>
      <c r="M25" s="40">
        <f t="shared" si="4"/>
        <v>0.12815463112340444</v>
      </c>
      <c r="N25" s="40">
        <f t="shared" si="5"/>
        <v>-3.2729704476243994E-2</v>
      </c>
      <c r="O25" s="40">
        <f t="shared" si="6"/>
        <v>-1.9774363071781858E-2</v>
      </c>
      <c r="P25" s="40">
        <f t="shared" si="7"/>
        <v>-1.2955341404462136E-2</v>
      </c>
      <c r="Q25" s="40">
        <f t="shared" si="8"/>
        <v>8.4551190271303488E-3</v>
      </c>
      <c r="R25" s="40">
        <f t="shared" si="9"/>
        <v>-1.1839086071376263E-2</v>
      </c>
      <c r="S25" s="40">
        <f t="shared" si="10"/>
        <v>2.9020086546133195E-3</v>
      </c>
      <c r="T25" s="40">
        <f t="shared" si="11"/>
        <v>-1.1522912664365087E-2</v>
      </c>
    </row>
  </sheetData>
  <pageMargins left="0.7" right="0.7" top="0.75" bottom="0.75" header="0.3" footer="0.3"/>
  <ignoredErrors>
    <ignoredError sqref="H10" evalError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B6F0-F932-49E7-B7EE-6480CCD70BD3}">
  <dimension ref="A1:N34"/>
  <sheetViews>
    <sheetView tabSelected="1" workbookViewId="0">
      <selection activeCell="L2" sqref="L2"/>
    </sheetView>
  </sheetViews>
  <sheetFormatPr defaultColWidth="8.7109375" defaultRowHeight="15" x14ac:dyDescent="0.25"/>
  <cols>
    <col min="1" max="1" width="12" customWidth="1"/>
    <col min="2" max="3" width="16" customWidth="1"/>
    <col min="4" max="4" width="13" customWidth="1"/>
    <col min="5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14" customWidth="1"/>
    <col min="11" max="11" width="15" customWidth="1"/>
    <col min="13" max="14" width="16" customWidth="1"/>
  </cols>
  <sheetData>
    <row r="1" spans="1:14" ht="18.75" x14ac:dyDescent="0.25">
      <c r="A1" s="47" t="s">
        <v>1335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4" ht="39.75" customHeight="1" x14ac:dyDescent="0.25">
      <c r="A2" s="48" t="s">
        <v>1336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4" ht="45" x14ac:dyDescent="0.25">
      <c r="A4" s="20" t="s">
        <v>1171</v>
      </c>
      <c r="B4" s="20" t="s">
        <v>1277</v>
      </c>
      <c r="C4" s="20" t="s">
        <v>1326</v>
      </c>
      <c r="D4" s="20" t="s">
        <v>1337</v>
      </c>
      <c r="E4" s="20" t="s">
        <v>1338</v>
      </c>
      <c r="F4" s="20" t="s">
        <v>1339</v>
      </c>
      <c r="G4" s="20" t="s">
        <v>1328</v>
      </c>
      <c r="H4" s="20" t="s">
        <v>1329</v>
      </c>
      <c r="I4" s="20" t="s">
        <v>1289</v>
      </c>
      <c r="J4" s="20" t="s">
        <v>1340</v>
      </c>
      <c r="K4" s="20" t="s">
        <v>1341</v>
      </c>
      <c r="M4" s="49" t="s">
        <v>1342</v>
      </c>
      <c r="N4" s="49" t="s">
        <v>1343</v>
      </c>
    </row>
    <row r="5" spans="1:14" x14ac:dyDescent="0.25">
      <c r="A5" s="45">
        <v>44927</v>
      </c>
      <c r="B5" s="50" t="str">
        <f>'[1]Margin Compression Analysis'!N2</f>
        <v>n/a</v>
      </c>
      <c r="C5" s="50" t="str">
        <f>'[1]Margin Compression Analysis'!O2</f>
        <v>n/a</v>
      </c>
      <c r="D5" s="50" t="str">
        <f>'[1]Margin Compression Analysis'!P2</f>
        <v>n/a</v>
      </c>
      <c r="E5" s="50" t="str">
        <f>'[1]Margin Compression Analysis'!S2</f>
        <v>n/a</v>
      </c>
      <c r="F5" s="50" t="str">
        <f>'[1]Margin Compression Analysis'!T2</f>
        <v>n/a</v>
      </c>
      <c r="G5" s="50" t="str">
        <f>'[1]Margin Compression Analysis'!Q2</f>
        <v>n/a</v>
      </c>
      <c r="H5" s="50" t="str">
        <f>'[1]Margin Compression Analysis'!R2</f>
        <v>n/a</v>
      </c>
      <c r="I5" s="50" t="str">
        <f>'[1]Volume vs Price Diagnostic'!C2</f>
        <v>n/a</v>
      </c>
      <c r="J5" s="51" t="s">
        <v>1332</v>
      </c>
      <c r="K5" s="52" t="s">
        <v>1344</v>
      </c>
      <c r="M5" s="50">
        <f>'[1]Margin Compression Analysis'!E2</f>
        <v>0.45399457450489761</v>
      </c>
      <c r="N5" s="50">
        <f>'[1]Margin Compression Analysis'!M2</f>
        <v>0.23617534321719366</v>
      </c>
    </row>
    <row r="6" spans="1:14" x14ac:dyDescent="0.25">
      <c r="A6" s="45">
        <v>44958</v>
      </c>
      <c r="B6" s="50">
        <f>'[1]Margin Compression Analysis'!N3</f>
        <v>6.7715337513302706E-2</v>
      </c>
      <c r="C6" s="50">
        <f>'[1]Margin Compression Analysis'!O3</f>
        <v>5.0647627706362323E-2</v>
      </c>
      <c r="D6" s="50">
        <f>'[1]Margin Compression Analysis'!P3</f>
        <v>1.7067709806940383E-2</v>
      </c>
      <c r="E6" s="50">
        <f>'[1]Margin Compression Analysis'!S3</f>
        <v>-1.7944638672932611E-3</v>
      </c>
      <c r="F6" s="50">
        <f>'[1]Margin Compression Analysis'!T3</f>
        <v>1.2209937543575244E-2</v>
      </c>
      <c r="G6" s="50">
        <f>'[1]Margin Compression Analysis'!Q3</f>
        <v>-4.0897657726937743E-2</v>
      </c>
      <c r="H6" s="50">
        <f>'[1]Margin Compression Analysis'!R3</f>
        <v>0.15771254889820729</v>
      </c>
      <c r="I6" s="50">
        <f>'[1]Volume vs Price Diagnostic'!C3</f>
        <v>4.7569849968556281E-2</v>
      </c>
      <c r="J6" s="53">
        <f t="shared" ref="J6:J28" si="0">IF(ABS(B6-$B$33)&gt;1.5*$B$34,1,0)+IF(ABS(C6-$C$33)&gt;1.5*$C$34,1,0)+IF(ABS(D6-$D$33)&gt;1.5*$D$34,1,0)+IF(ABS(E6-$E$33)&gt;1.5*$E$34,1,0)+IF(ABS(F6-$F$33)&gt;1.5*$F$34,1,0)+IF(ABS(G6-$G$33)&gt;1.5*$G$34,1,0)+IF(ABS(H6-$H$33)&gt;1.5*$H$34,1,0)+IF(ABS(I6-$I$33)&gt;1.5*$I$34,1,0)</f>
        <v>1</v>
      </c>
      <c r="K6" s="54" t="str">
        <f t="shared" ref="K6:K28" si="1">IF(J6&gt;=3,"High Variance","Normal")</f>
        <v>Normal</v>
      </c>
      <c r="M6" s="50">
        <f>'[1]Margin Compression Analysis'!E3</f>
        <v>0.45220011063760435</v>
      </c>
      <c r="N6" s="50">
        <f>'[1]Margin Compression Analysis'!M3</f>
        <v>0.24838528076076891</v>
      </c>
    </row>
    <row r="7" spans="1:14" x14ac:dyDescent="0.25">
      <c r="A7" s="45">
        <v>44986</v>
      </c>
      <c r="B7" s="50">
        <f>'[1]Margin Compression Analysis'!N4</f>
        <v>-1.7244451542150634E-2</v>
      </c>
      <c r="C7" s="50">
        <f>'[1]Margin Compression Analysis'!O4</f>
        <v>-1.817482661098822E-2</v>
      </c>
      <c r="D7" s="50">
        <f>'[1]Margin Compression Analysis'!P4</f>
        <v>9.3037506883758558E-4</v>
      </c>
      <c r="E7" s="50">
        <f>'[1]Margin Compression Analysis'!S4</f>
        <v>2.4198474070641907E-3</v>
      </c>
      <c r="F7" s="50">
        <f>'[1]Margin Compression Analysis'!T4</f>
        <v>7.1155395382793696E-4</v>
      </c>
      <c r="G7" s="50">
        <f>'[1]Margin Compression Analysis'!Q4</f>
        <v>2.1494105511962281E-2</v>
      </c>
      <c r="H7" s="50">
        <f>'[1]Margin Compression Analysis'!R4</f>
        <v>-6.9183460145367914E-2</v>
      </c>
      <c r="I7" s="50">
        <f>'[1]Volume vs Price Diagnostic'!C4</f>
        <v>2.6585480897045582E-3</v>
      </c>
      <c r="J7" s="53">
        <f t="shared" si="0"/>
        <v>0</v>
      </c>
      <c r="K7" s="54" t="str">
        <f t="shared" si="1"/>
        <v>Normal</v>
      </c>
      <c r="M7" s="50">
        <f>'[1]Margin Compression Analysis'!E4</f>
        <v>0.45461995804466854</v>
      </c>
      <c r="N7" s="50">
        <f>'[1]Margin Compression Analysis'!M4</f>
        <v>0.24909683471459684</v>
      </c>
    </row>
    <row r="8" spans="1:14" x14ac:dyDescent="0.25">
      <c r="A8" s="45">
        <v>45017</v>
      </c>
      <c r="B8" s="50">
        <f>'[1]Margin Compression Analysis'!N5</f>
        <v>-3.4416199080608526E-3</v>
      </c>
      <c r="C8" s="50">
        <f>'[1]Margin Compression Analysis'!O5</f>
        <v>9.6263157063320049E-3</v>
      </c>
      <c r="D8" s="50">
        <f>'[1]Margin Compression Analysis'!P5</f>
        <v>-1.3067935614392857E-2</v>
      </c>
      <c r="E8" s="50">
        <f>'[1]Margin Compression Analysis'!S5</f>
        <v>-2.2069041282410939E-3</v>
      </c>
      <c r="F8" s="50">
        <f>'[1]Margin Compression Analysis'!T5</f>
        <v>-9.8466426178546174E-3</v>
      </c>
      <c r="G8" s="50">
        <f>'[1]Margin Compression Analysis'!Q5</f>
        <v>5.5476517530088962E-2</v>
      </c>
      <c r="H8" s="50">
        <f>'[1]Margin Compression Analysis'!R5</f>
        <v>-0.10569063226345617</v>
      </c>
      <c r="I8" s="50">
        <f>'[1]Volume vs Price Diagnostic'!C5</f>
        <v>-1.5908993713381517E-2</v>
      </c>
      <c r="J8" s="53">
        <f t="shared" si="0"/>
        <v>1</v>
      </c>
      <c r="K8" s="54" t="str">
        <f t="shared" si="1"/>
        <v>Normal</v>
      </c>
      <c r="M8" s="50">
        <f>'[1]Margin Compression Analysis'!E5</f>
        <v>0.45241305391642744</v>
      </c>
      <c r="N8" s="50">
        <f>'[1]Margin Compression Analysis'!M5</f>
        <v>0.23925019209674223</v>
      </c>
    </row>
    <row r="9" spans="1:14" x14ac:dyDescent="0.25">
      <c r="A9" s="45">
        <v>45047</v>
      </c>
      <c r="B9" s="50">
        <f>'[1]Margin Compression Analysis'!N6</f>
        <v>-4.1046315106561086E-2</v>
      </c>
      <c r="C9" s="50">
        <f>'[1]Margin Compression Analysis'!O6</f>
        <v>-3.7935810233005823E-2</v>
      </c>
      <c r="D9" s="50">
        <f>'[1]Margin Compression Analysis'!P6</f>
        <v>-3.1105048735552629E-3</v>
      </c>
      <c r="E9" s="50">
        <f>'[1]Margin Compression Analysis'!S6</f>
        <v>7.5799637526680064E-4</v>
      </c>
      <c r="F9" s="50">
        <f>'[1]Margin Compression Analysis'!T6</f>
        <v>-2.4676019523323101E-3</v>
      </c>
      <c r="G9" s="50">
        <f>'[1]Margin Compression Analysis'!Q6</f>
        <v>-6.2251624847973107E-2</v>
      </c>
      <c r="H9" s="50">
        <f>'[1]Margin Compression Analysis'!R6</f>
        <v>0.12188996612545264</v>
      </c>
      <c r="I9" s="50">
        <f>'[1]Volume vs Price Diagnostic'!C6</f>
        <v>-3.3549172135065836E-2</v>
      </c>
      <c r="J9" s="53">
        <f t="shared" si="0"/>
        <v>1</v>
      </c>
      <c r="K9" s="54" t="str">
        <f t="shared" si="1"/>
        <v>Normal</v>
      </c>
      <c r="M9" s="50">
        <f>'[1]Margin Compression Analysis'!E6</f>
        <v>0.45317105029169424</v>
      </c>
      <c r="N9" s="50">
        <f>'[1]Margin Compression Analysis'!M6</f>
        <v>0.23678259014440992</v>
      </c>
    </row>
    <row r="10" spans="1:14" x14ac:dyDescent="0.25">
      <c r="A10" s="45">
        <v>45078</v>
      </c>
      <c r="B10" s="50">
        <f>'[1]Margin Compression Analysis'!N7</f>
        <v>3.7287944539386102E-2</v>
      </c>
      <c r="C10" s="50">
        <f>'[1]Margin Compression Analysis'!O7</f>
        <v>3.7895645931941051E-2</v>
      </c>
      <c r="D10" s="50">
        <f>'[1]Margin Compression Analysis'!P7</f>
        <v>-6.0770139255494904E-4</v>
      </c>
      <c r="E10" s="50">
        <f>'[1]Margin Compression Analysis'!S7</f>
        <v>-2.522423938336571E-3</v>
      </c>
      <c r="F10" s="50">
        <f>'[1]Margin Compression Analysis'!T7</f>
        <v>-4.4713551838043708E-4</v>
      </c>
      <c r="G10" s="50">
        <f>'[1]Margin Compression Analysis'!Q7</f>
        <v>5.2051580712580439E-2</v>
      </c>
      <c r="H10" s="50">
        <f>'[1]Margin Compression Analysis'!R7</f>
        <v>2.3166224165755634E-2</v>
      </c>
      <c r="I10" s="50">
        <f>'[1]Volume vs Price Diagnostic'!C7</f>
        <v>1.8436080759026936E-2</v>
      </c>
      <c r="J10" s="53">
        <f t="shared" si="0"/>
        <v>0</v>
      </c>
      <c r="K10" s="54" t="str">
        <f t="shared" si="1"/>
        <v>Normal</v>
      </c>
      <c r="M10" s="50">
        <f>'[1]Margin Compression Analysis'!E7</f>
        <v>0.45064862635335767</v>
      </c>
      <c r="N10" s="50">
        <f>'[1]Margin Compression Analysis'!M7</f>
        <v>0.23633545462602948</v>
      </c>
    </row>
    <row r="11" spans="1:14" x14ac:dyDescent="0.25">
      <c r="A11" s="45">
        <v>45108</v>
      </c>
      <c r="B11" s="50">
        <f>'[1]Margin Compression Analysis'!N8</f>
        <v>-8.42877720022705E-2</v>
      </c>
      <c r="C11" s="50">
        <f>'[1]Margin Compression Analysis'!O8</f>
        <v>-6.8316138353755856E-2</v>
      </c>
      <c r="D11" s="50">
        <f>'[1]Margin Compression Analysis'!P8</f>
        <v>-1.5971633648514644E-2</v>
      </c>
      <c r="E11" s="50">
        <f>'[1]Margin Compression Analysis'!S8</f>
        <v>3.0495592290947782E-3</v>
      </c>
      <c r="F11" s="50">
        <f>'[1]Margin Compression Analysis'!T8</f>
        <v>-1.3319654336976711E-2</v>
      </c>
      <c r="G11" s="50">
        <f>'[1]Margin Compression Analysis'!Q8</f>
        <v>-3.2539221382916907E-2</v>
      </c>
      <c r="H11" s="50">
        <f>'[1]Margin Compression Analysis'!R8</f>
        <v>-8.9803602320138398E-2</v>
      </c>
      <c r="I11" s="50">
        <f>'[1]Volume vs Price Diagnostic'!C8</f>
        <v>-7.4087156165835139E-2</v>
      </c>
      <c r="J11" s="53">
        <f t="shared" si="0"/>
        <v>3</v>
      </c>
      <c r="K11" s="54" t="str">
        <f t="shared" si="1"/>
        <v>High Variance</v>
      </c>
      <c r="M11" s="50">
        <f>'[1]Margin Compression Analysis'!E8</f>
        <v>0.45369818558245245</v>
      </c>
      <c r="N11" s="50">
        <f>'[1]Margin Compression Analysis'!M8</f>
        <v>0.22301580028905277</v>
      </c>
    </row>
    <row r="12" spans="1:14" x14ac:dyDescent="0.25">
      <c r="A12" s="45">
        <v>45139</v>
      </c>
      <c r="B12" s="50">
        <f>'[1]Margin Compression Analysis'!N9</f>
        <v>0.10435481984806785</v>
      </c>
      <c r="C12" s="50">
        <f>'[1]Margin Compression Analysis'!O9</f>
        <v>7.7142653333325595E-2</v>
      </c>
      <c r="D12" s="50">
        <f>'[1]Margin Compression Analysis'!P9</f>
        <v>2.7212166514742259E-2</v>
      </c>
      <c r="E12" s="50">
        <f>'[1]Margin Compression Analysis'!S9</f>
        <v>-1.3562772976334903E-3</v>
      </c>
      <c r="F12" s="50">
        <f>'[1]Margin Compression Analysis'!T9</f>
        <v>1.9145498386801879E-2</v>
      </c>
      <c r="G12" s="50">
        <f>'[1]Margin Compression Analysis'!Q9</f>
        <v>3.1442253063874687E-2</v>
      </c>
      <c r="H12" s="50">
        <f>'[1]Margin Compression Analysis'!R9</f>
        <v>5.2741908435351335E-2</v>
      </c>
      <c r="I12" s="50">
        <f>'[1]Volume vs Price Diagnostic'!C9</f>
        <v>0.11349005769872682</v>
      </c>
      <c r="J12" s="53">
        <f t="shared" si="0"/>
        <v>2</v>
      </c>
      <c r="K12" s="54" t="str">
        <f t="shared" si="1"/>
        <v>Normal</v>
      </c>
      <c r="M12" s="50">
        <f>'[1]Margin Compression Analysis'!E9</f>
        <v>0.45234190828481896</v>
      </c>
      <c r="N12" s="50">
        <f>'[1]Margin Compression Analysis'!M9</f>
        <v>0.24216129867585465</v>
      </c>
    </row>
    <row r="13" spans="1:14" x14ac:dyDescent="0.25">
      <c r="A13" s="45">
        <v>45170</v>
      </c>
      <c r="B13" s="50">
        <f>'[1]Margin Compression Analysis'!N10</f>
        <v>-2.0350492952834087E-2</v>
      </c>
      <c r="C13" s="50">
        <f>'[1]Margin Compression Analysis'!O10</f>
        <v>-2.0810675189359269E-2</v>
      </c>
      <c r="D13" s="50">
        <f>'[1]Margin Compression Analysis'!P10</f>
        <v>4.6018223652518134E-4</v>
      </c>
      <c r="E13" s="50">
        <f>'[1]Margin Compression Analysis'!S10</f>
        <v>2.4896534138044712E-3</v>
      </c>
      <c r="F13" s="50">
        <f>'[1]Margin Compression Analysis'!T10</f>
        <v>3.559884489217624E-4</v>
      </c>
      <c r="G13" s="50">
        <f>'[1]Margin Compression Analysis'!Q10</f>
        <v>-2.9665418148626107E-2</v>
      </c>
      <c r="H13" s="50">
        <f>'[1]Margin Compression Analysis'!R10</f>
        <v>5.3365193150139391E-3</v>
      </c>
      <c r="I13" s="50">
        <f>'[1]Volume vs Price Diagnostic'!C10</f>
        <v>-4.5822448717399683E-2</v>
      </c>
      <c r="J13" s="53">
        <f t="shared" si="0"/>
        <v>0</v>
      </c>
      <c r="K13" s="54" t="str">
        <f t="shared" si="1"/>
        <v>Normal</v>
      </c>
      <c r="M13" s="50">
        <f>'[1]Margin Compression Analysis'!E10</f>
        <v>0.45483156169862343</v>
      </c>
      <c r="N13" s="50">
        <f>'[1]Margin Compression Analysis'!M10</f>
        <v>0.24251728712477641</v>
      </c>
    </row>
    <row r="14" spans="1:14" x14ac:dyDescent="0.25">
      <c r="A14" s="45">
        <v>45200</v>
      </c>
      <c r="B14" s="50">
        <f>'[1]Margin Compression Analysis'!N11</f>
        <v>-4.8351786283469526E-2</v>
      </c>
      <c r="C14" s="50">
        <f>'[1]Margin Compression Analysis'!O11</f>
        <v>-2.6879071670193065E-2</v>
      </c>
      <c r="D14" s="50">
        <f>'[1]Margin Compression Analysis'!P11</f>
        <v>-2.1472714613276461E-2</v>
      </c>
      <c r="E14" s="50">
        <f>'[1]Margin Compression Analysis'!S11</f>
        <v>1.092314772066838E-3</v>
      </c>
      <c r="F14" s="50">
        <f>'[1]Margin Compression Analysis'!T11</f>
        <v>-1.7091620499699756E-2</v>
      </c>
      <c r="G14" s="50">
        <f>'[1]Margin Compression Analysis'!Q11</f>
        <v>2.3407723372853042E-2</v>
      </c>
      <c r="H14" s="50">
        <f>'[1]Margin Compression Analysis'!R11</f>
        <v>-6.681455659430624E-3</v>
      </c>
      <c r="I14" s="50">
        <f>'[1]Volume vs Price Diagnostic'!C11</f>
        <v>-2.9846057178762174E-2</v>
      </c>
      <c r="J14" s="53">
        <f t="shared" si="0"/>
        <v>0</v>
      </c>
      <c r="K14" s="54" t="str">
        <f t="shared" si="1"/>
        <v>Normal</v>
      </c>
      <c r="M14" s="50">
        <f>'[1]Margin Compression Analysis'!E11</f>
        <v>0.45592387647069027</v>
      </c>
      <c r="N14" s="50">
        <f>'[1]Margin Compression Analysis'!M11</f>
        <v>0.22542566662507665</v>
      </c>
    </row>
    <row r="15" spans="1:14" x14ac:dyDescent="0.25">
      <c r="A15" s="45">
        <v>45231</v>
      </c>
      <c r="B15" s="50">
        <f>'[1]Margin Compression Analysis'!N12</f>
        <v>-2.2828186407143876E-3</v>
      </c>
      <c r="C15" s="50">
        <f>'[1]Margin Compression Analysis'!O12</f>
        <v>-1.7981331012894258E-2</v>
      </c>
      <c r="D15" s="50">
        <f>'[1]Margin Compression Analysis'!P12</f>
        <v>1.5698512372179872E-2</v>
      </c>
      <c r="E15" s="50">
        <f>'[1]Margin Compression Analysis'!S12</f>
        <v>2.324137317675834E-3</v>
      </c>
      <c r="F15" s="50">
        <f>'[1]Margin Compression Analysis'!T12</f>
        <v>1.218748657720109E-2</v>
      </c>
      <c r="G15" s="50">
        <f>'[1]Margin Compression Analysis'!Q12</f>
        <v>-1.5673471975150653E-2</v>
      </c>
      <c r="H15" s="50">
        <f>'[1]Margin Compression Analysis'!R12</f>
        <v>-4.9796612873208732E-2</v>
      </c>
      <c r="I15" s="50">
        <f>'[1]Volume vs Price Diagnostic'!C12</f>
        <v>2.3732420429311622E-2</v>
      </c>
      <c r="J15" s="53">
        <f t="shared" si="0"/>
        <v>0</v>
      </c>
      <c r="K15" s="54" t="str">
        <f t="shared" si="1"/>
        <v>Normal</v>
      </c>
      <c r="M15" s="50">
        <f>'[1]Margin Compression Analysis'!E12</f>
        <v>0.4582480137883661</v>
      </c>
      <c r="N15" s="50">
        <f>'[1]Margin Compression Analysis'!M12</f>
        <v>0.23761315320227774</v>
      </c>
    </row>
    <row r="16" spans="1:14" x14ac:dyDescent="0.25">
      <c r="A16" s="45">
        <v>45261</v>
      </c>
      <c r="B16" s="50">
        <f>'[1]Margin Compression Analysis'!N13</f>
        <v>9.3141675475420599E-2</v>
      </c>
      <c r="C16" s="50">
        <f>'[1]Margin Compression Analysis'!O13</f>
        <v>7.9020942405364461E-2</v>
      </c>
      <c r="D16" s="50">
        <f>'[1]Margin Compression Analysis'!P13</f>
        <v>1.4120733070056138E-2</v>
      </c>
      <c r="E16" s="50">
        <f>'[1]Margin Compression Analysis'!S13</f>
        <v>-8.6593784652056471E-3</v>
      </c>
      <c r="F16" s="50">
        <f>'[1]Margin Compression Analysis'!T13</f>
        <v>9.8481847333012906E-3</v>
      </c>
      <c r="G16" s="50">
        <f>'[1]Margin Compression Analysis'!Q13</f>
        <v>-4.6247660447986477E-2</v>
      </c>
      <c r="H16" s="50">
        <f>'[1]Margin Compression Analysis'!R13</f>
        <v>2.2663682148852827E-2</v>
      </c>
      <c r="I16" s="50">
        <f>'[1]Volume vs Price Diagnostic'!C13</f>
        <v>3.1768267883772426E-2</v>
      </c>
      <c r="J16" s="53">
        <f t="shared" si="0"/>
        <v>1</v>
      </c>
      <c r="K16" s="54" t="str">
        <f t="shared" si="1"/>
        <v>Normal</v>
      </c>
      <c r="M16" s="50">
        <f>'[1]Margin Compression Analysis'!E13</f>
        <v>0.44958863532316046</v>
      </c>
      <c r="N16" s="50">
        <f>'[1]Margin Compression Analysis'!M13</f>
        <v>0.24746133793557903</v>
      </c>
    </row>
    <row r="17" spans="1:14" x14ac:dyDescent="0.25">
      <c r="A17" s="45">
        <v>45292</v>
      </c>
      <c r="B17" s="50">
        <f>'[1]Margin Compression Analysis'!N14</f>
        <v>-2.7391553029887761E-2</v>
      </c>
      <c r="C17" s="50">
        <f>'[1]Margin Compression Analysis'!O14</f>
        <v>0.14309681905537927</v>
      </c>
      <c r="D17" s="50">
        <f>'[1]Margin Compression Analysis'!P14</f>
        <v>-0.17048837208526704</v>
      </c>
      <c r="E17" s="50">
        <f>'[1]Margin Compression Analysis'!S14</f>
        <v>-9.2413647203983096E-2</v>
      </c>
      <c r="F17" s="50">
        <f>'[1]Margin Compression Analysis'!T14</f>
        <v>-0.13191237627666891</v>
      </c>
      <c r="G17" s="50">
        <f>'[1]Margin Compression Analysis'!Q14</f>
        <v>0.23997805490493976</v>
      </c>
      <c r="H17" s="50">
        <f>'[1]Margin Compression Analysis'!R14</f>
        <v>0.1598358413132695</v>
      </c>
      <c r="I17" s="50">
        <f>'[1]Volume vs Price Diagnostic'!C14</f>
        <v>7.4205063069376312E-2</v>
      </c>
      <c r="J17" s="53">
        <f t="shared" si="0"/>
        <v>6</v>
      </c>
      <c r="K17" s="54" t="str">
        <f t="shared" si="1"/>
        <v>High Variance</v>
      </c>
      <c r="M17" s="50">
        <f>'[1]Margin Compression Analysis'!E14</f>
        <v>0.35717498811917736</v>
      </c>
      <c r="N17" s="50">
        <f>'[1]Margin Compression Analysis'!M14</f>
        <v>0.11554896165891011</v>
      </c>
    </row>
    <row r="18" spans="1:14" x14ac:dyDescent="0.25">
      <c r="A18" s="45">
        <v>45323</v>
      </c>
      <c r="B18" s="50">
        <f>'[1]Margin Compression Analysis'!N15</f>
        <v>-2.7333136592476191E-2</v>
      </c>
      <c r="C18" s="50">
        <f>'[1]Margin Compression Analysis'!O15</f>
        <v>-2.3188386380043481E-2</v>
      </c>
      <c r="D18" s="50">
        <f>'[1]Margin Compression Analysis'!P15</f>
        <v>-4.1447502124327094E-3</v>
      </c>
      <c r="E18" s="50">
        <f>'[1]Margin Compression Analysis'!S15</f>
        <v>6.288237262211116E-3</v>
      </c>
      <c r="F18" s="50">
        <f>'[1]Margin Compression Analysis'!T15</f>
        <v>-3.7688429275858498E-3</v>
      </c>
      <c r="G18" s="50">
        <f>'[1]Margin Compression Analysis'!Q15</f>
        <v>-4.5878585115326099E-3</v>
      </c>
      <c r="H18" s="50">
        <f>'[1]Margin Compression Analysis'!R15</f>
        <v>6.4634836761653144E-2</v>
      </c>
      <c r="I18" s="50">
        <f>'[1]Volume vs Price Diagnostic'!C15</f>
        <v>-1.6084807094439629E-2</v>
      </c>
      <c r="J18" s="53">
        <f t="shared" si="0"/>
        <v>0</v>
      </c>
      <c r="K18" s="54" t="str">
        <f t="shared" si="1"/>
        <v>Normal</v>
      </c>
      <c r="M18" s="50">
        <f>'[1]Margin Compression Analysis'!E15</f>
        <v>0.36346322538138848</v>
      </c>
      <c r="N18" s="50">
        <f>'[1]Margin Compression Analysis'!M15</f>
        <v>0.11178011873132426</v>
      </c>
    </row>
    <row r="19" spans="1:14" x14ac:dyDescent="0.25">
      <c r="A19" s="45">
        <v>45352</v>
      </c>
      <c r="B19" s="50">
        <f>'[1]Margin Compression Analysis'!N16</f>
        <v>-8.2082424149515359E-3</v>
      </c>
      <c r="C19" s="50">
        <f>'[1]Margin Compression Analysis'!O16</f>
        <v>-1.7154056083443867E-2</v>
      </c>
      <c r="D19" s="50">
        <f>'[1]Margin Compression Analysis'!P16</f>
        <v>8.9458136684923313E-3</v>
      </c>
      <c r="E19" s="50">
        <f>'[1]Margin Compression Analysis'!S16</f>
        <v>-1.7492299201029016E-3</v>
      </c>
      <c r="F19" s="50">
        <f>'[1]Margin Compression Analysis'!T16</f>
        <v>8.0116107980445495E-3</v>
      </c>
      <c r="G19" s="50">
        <f>'[1]Margin Compression Analysis'!Q16</f>
        <v>-3.3893958717274533E-2</v>
      </c>
      <c r="H19" s="50">
        <f>'[1]Margin Compression Analysis'!R16</f>
        <v>-2.9557741735354071E-2</v>
      </c>
      <c r="I19" s="50">
        <f>'[1]Volume vs Price Diagnostic'!C16</f>
        <v>-1.7414816579817045E-2</v>
      </c>
      <c r="J19" s="53">
        <f t="shared" si="0"/>
        <v>0</v>
      </c>
      <c r="K19" s="54" t="str">
        <f t="shared" si="1"/>
        <v>Normal</v>
      </c>
      <c r="M19" s="50">
        <f>'[1]Margin Compression Analysis'!E16</f>
        <v>0.36171399546128558</v>
      </c>
      <c r="N19" s="50">
        <f>'[1]Margin Compression Analysis'!M16</f>
        <v>0.11979172952936881</v>
      </c>
    </row>
    <row r="20" spans="1:14" x14ac:dyDescent="0.25">
      <c r="A20" s="45">
        <v>45383</v>
      </c>
      <c r="B20" s="50">
        <f>'[1]Margin Compression Analysis'!N17</f>
        <v>8.278506222155398E-3</v>
      </c>
      <c r="C20" s="50">
        <f>'[1]Margin Compression Analysis'!O17</f>
        <v>1.8830879092658362E-2</v>
      </c>
      <c r="D20" s="50">
        <f>'[1]Margin Compression Analysis'!P17</f>
        <v>-1.0552372870502964E-2</v>
      </c>
      <c r="E20" s="50">
        <f>'[1]Margin Compression Analysis'!S17</f>
        <v>-4.0889710758691966E-3</v>
      </c>
      <c r="F20" s="50">
        <f>'[1]Margin Compression Analysis'!T17</f>
        <v>-9.2120240750824117E-3</v>
      </c>
      <c r="G20" s="50">
        <f>'[1]Margin Compression Analysis'!Q17</f>
        <v>4.7951217095251242E-2</v>
      </c>
      <c r="H20" s="50">
        <f>'[1]Margin Compression Analysis'!R17</f>
        <v>-6.529978537832778E-3</v>
      </c>
      <c r="I20" s="50">
        <f>'[1]Volume vs Price Diagnostic'!C17</f>
        <v>1.6721843831052442E-2</v>
      </c>
      <c r="J20" s="53">
        <f t="shared" si="0"/>
        <v>0</v>
      </c>
      <c r="K20" s="54" t="str">
        <f t="shared" si="1"/>
        <v>Normal</v>
      </c>
      <c r="M20" s="50">
        <f>'[1]Margin Compression Analysis'!E17</f>
        <v>0.35762502438541638</v>
      </c>
      <c r="N20" s="50">
        <f>'[1]Margin Compression Analysis'!M17</f>
        <v>0.1105797054542864</v>
      </c>
    </row>
    <row r="21" spans="1:14" x14ac:dyDescent="0.25">
      <c r="A21" s="45">
        <v>45413</v>
      </c>
      <c r="B21" s="50">
        <f>'[1]Margin Compression Analysis'!N18</f>
        <v>7.8595786870251247E-2</v>
      </c>
      <c r="C21" s="50">
        <f>'[1]Margin Compression Analysis'!O18</f>
        <v>4.2805661163618072E-2</v>
      </c>
      <c r="D21" s="50">
        <f>'[1]Margin Compression Analysis'!P18</f>
        <v>3.5790125706633175E-2</v>
      </c>
      <c r="E21" s="50">
        <f>'[1]Margin Compression Analysis'!S18</f>
        <v>5.3145597732570105E-3</v>
      </c>
      <c r="F21" s="50">
        <f>'[1]Margin Compression Analysis'!T18</f>
        <v>2.9512876404041752E-2</v>
      </c>
      <c r="G21" s="50">
        <f>'[1]Margin Compression Analysis'!Q18</f>
        <v>-4.7422046760123876E-2</v>
      </c>
      <c r="H21" s="50">
        <f>'[1]Margin Compression Analysis'!R18</f>
        <v>3.962125390696819E-2</v>
      </c>
      <c r="I21" s="50">
        <f>'[1]Volume vs Price Diagnostic'!C18</f>
        <v>6.7840550854488132E-2</v>
      </c>
      <c r="J21" s="53">
        <f t="shared" si="0"/>
        <v>1</v>
      </c>
      <c r="K21" s="54" t="str">
        <f t="shared" si="1"/>
        <v>Normal</v>
      </c>
      <c r="M21" s="50">
        <f>'[1]Margin Compression Analysis'!E18</f>
        <v>0.36293958415867339</v>
      </c>
      <c r="N21" s="50">
        <f>'[1]Margin Compression Analysis'!M18</f>
        <v>0.14009258185832815</v>
      </c>
    </row>
    <row r="22" spans="1:14" x14ac:dyDescent="0.25">
      <c r="A22" s="45">
        <v>45444</v>
      </c>
      <c r="B22" s="50">
        <f>'[1]Margin Compression Analysis'!N19</f>
        <v>-3.7355147501785993E-2</v>
      </c>
      <c r="C22" s="50">
        <f>'[1]Margin Compression Analysis'!O19</f>
        <v>-2.7351266649599727E-2</v>
      </c>
      <c r="D22" s="50">
        <f>'[1]Margin Compression Analysis'!P19</f>
        <v>-1.0003880852186266E-2</v>
      </c>
      <c r="E22" s="50">
        <f>'[1]Margin Compression Analysis'!S19</f>
        <v>3.6115939914102557E-3</v>
      </c>
      <c r="F22" s="50">
        <f>'[1]Margin Compression Analysis'!T19</f>
        <v>-8.9362253718760221E-3</v>
      </c>
      <c r="G22" s="50">
        <f>'[1]Margin Compression Analysis'!Q19</f>
        <v>2.9946998032368426E-2</v>
      </c>
      <c r="H22" s="50">
        <f>'[1]Margin Compression Analysis'!R19</f>
        <v>5.0203377840657884E-2</v>
      </c>
      <c r="I22" s="50">
        <f>'[1]Volume vs Price Diagnostic'!C19</f>
        <v>-5.5548002408374927E-3</v>
      </c>
      <c r="J22" s="53">
        <f t="shared" si="0"/>
        <v>0</v>
      </c>
      <c r="K22" s="54" t="str">
        <f t="shared" si="1"/>
        <v>Normal</v>
      </c>
      <c r="M22" s="50">
        <f>'[1]Margin Compression Analysis'!E19</f>
        <v>0.36655117815008365</v>
      </c>
      <c r="N22" s="50">
        <f>'[1]Margin Compression Analysis'!M19</f>
        <v>0.13115635648645213</v>
      </c>
    </row>
    <row r="23" spans="1:14" x14ac:dyDescent="0.25">
      <c r="A23" s="45">
        <v>45474</v>
      </c>
      <c r="B23" s="50">
        <f>'[1]Margin Compression Analysis'!N20</f>
        <v>-6.1535133717575727E-2</v>
      </c>
      <c r="C23" s="50">
        <f>'[1]Margin Compression Analysis'!O20</f>
        <v>-3.3248938462388238E-2</v>
      </c>
      <c r="D23" s="50">
        <f>'[1]Margin Compression Analysis'!P20</f>
        <v>-2.8286195255187489E-2</v>
      </c>
      <c r="E23" s="50">
        <f>'[1]Margin Compression Analysis'!S20</f>
        <v>-5.5446788563072724E-3</v>
      </c>
      <c r="F23" s="50">
        <f>'[1]Margin Compression Analysis'!T20</f>
        <v>-2.6187747490225996E-2</v>
      </c>
      <c r="G23" s="50">
        <f>'[1]Margin Compression Analysis'!Q20</f>
        <v>-4.2339042793413008E-4</v>
      </c>
      <c r="H23" s="50">
        <f>'[1]Margin Compression Analysis'!R20</f>
        <v>-6.4706253815227224E-2</v>
      </c>
      <c r="I23" s="50">
        <f>'[1]Volume vs Price Diagnostic'!C20</f>
        <v>-7.8377375441885902E-2</v>
      </c>
      <c r="J23" s="53">
        <f t="shared" si="0"/>
        <v>1</v>
      </c>
      <c r="K23" s="54" t="str">
        <f t="shared" si="1"/>
        <v>Normal</v>
      </c>
      <c r="M23" s="50">
        <f>'[1]Margin Compression Analysis'!E20</f>
        <v>0.36100649929377637</v>
      </c>
      <c r="N23" s="50">
        <f>'[1]Margin Compression Analysis'!M20</f>
        <v>0.10496860899622613</v>
      </c>
    </row>
    <row r="24" spans="1:14" x14ac:dyDescent="0.25">
      <c r="A24" s="45">
        <v>45505</v>
      </c>
      <c r="B24" s="50">
        <f>'[1]Margin Compression Analysis'!N21</f>
        <v>3.490739189612093E-2</v>
      </c>
      <c r="C24" s="50">
        <f>'[1]Margin Compression Analysis'!O21</f>
        <v>1.6867383995368163E-2</v>
      </c>
      <c r="D24" s="50">
        <f>'[1]Margin Compression Analysis'!P21</f>
        <v>1.8040007900752768E-2</v>
      </c>
      <c r="E24" s="50">
        <f>'[1]Margin Compression Analysis'!S21</f>
        <v>8.5199918314499135E-4</v>
      </c>
      <c r="F24" s="50">
        <f>'[1]Margin Compression Analysis'!T21</f>
        <v>1.5601756728732027E-2</v>
      </c>
      <c r="G24" s="50">
        <f>'[1]Margin Compression Analysis'!Q21</f>
        <v>1.2658881706951709E-2</v>
      </c>
      <c r="H24" s="50">
        <f>'[1]Margin Compression Analysis'!R21</f>
        <v>-6.7832466860216503E-2</v>
      </c>
      <c r="I24" s="50">
        <f>'[1]Volume vs Price Diagnostic'!C21</f>
        <v>2.6479189624480801E-2</v>
      </c>
      <c r="J24" s="53">
        <f t="shared" si="0"/>
        <v>0</v>
      </c>
      <c r="K24" s="54" t="str">
        <f t="shared" si="1"/>
        <v>Normal</v>
      </c>
      <c r="M24" s="50">
        <f>'[1]Margin Compression Analysis'!E21</f>
        <v>0.36185849847692136</v>
      </c>
      <c r="N24" s="50">
        <f>'[1]Margin Compression Analysis'!M21</f>
        <v>0.12057036572495816</v>
      </c>
    </row>
    <row r="25" spans="1:14" x14ac:dyDescent="0.25">
      <c r="A25" s="45">
        <v>45536</v>
      </c>
      <c r="B25" s="50">
        <f>'[1]Margin Compression Analysis'!N22</f>
        <v>-1.8049782007223826E-3</v>
      </c>
      <c r="C25" s="50">
        <f>'[1]Margin Compression Analysis'!O22</f>
        <v>-3.5487694254964122E-3</v>
      </c>
      <c r="D25" s="50">
        <f>'[1]Margin Compression Analysis'!P22</f>
        <v>1.7437912247740296E-3</v>
      </c>
      <c r="E25" s="50">
        <f>'[1]Margin Compression Analysis'!S22</f>
        <v>1.3797088205075858E-3</v>
      </c>
      <c r="F25" s="50">
        <f>'[1]Margin Compression Analysis'!T22</f>
        <v>1.5363146935864352E-3</v>
      </c>
      <c r="G25" s="50">
        <f>'[1]Margin Compression Analysis'!Q22</f>
        <v>-4.3684219475286078E-2</v>
      </c>
      <c r="H25" s="50">
        <f>'[1]Margin Compression Analysis'!R22</f>
        <v>2.5398971486515851E-2</v>
      </c>
      <c r="I25" s="50">
        <f>'[1]Volume vs Price Diagnostic'!C22</f>
        <v>4.4541935483870969E-2</v>
      </c>
      <c r="J25" s="53">
        <f t="shared" si="0"/>
        <v>0</v>
      </c>
      <c r="K25" s="54" t="str">
        <f t="shared" si="1"/>
        <v>Normal</v>
      </c>
      <c r="M25" s="50">
        <f>'[1]Margin Compression Analysis'!E22</f>
        <v>0.36323820729742895</v>
      </c>
      <c r="N25" s="50">
        <f>'[1]Margin Compression Analysis'!M22</f>
        <v>0.1221066804185446</v>
      </c>
    </row>
    <row r="26" spans="1:14" x14ac:dyDescent="0.25">
      <c r="A26" s="45">
        <v>45566</v>
      </c>
      <c r="B26" s="50">
        <f>'[1]Margin Compression Analysis'!N23</f>
        <v>2.712887703298502E-2</v>
      </c>
      <c r="C26" s="50">
        <f>'[1]Margin Compression Analysis'!O23</f>
        <v>2.5399234678595471E-2</v>
      </c>
      <c r="D26" s="50">
        <f>'[1]Margin Compression Analysis'!P23</f>
        <v>1.7296423543895489E-3</v>
      </c>
      <c r="E26" s="50">
        <f>'[1]Margin Compression Analysis'!S23</f>
        <v>1.4133204561564972E-3</v>
      </c>
      <c r="F26" s="50">
        <f>'[1]Margin Compression Analysis'!T23</f>
        <v>1.4783358759905274E-3</v>
      </c>
      <c r="G26" s="50">
        <f>'[1]Margin Compression Analysis'!Q23</f>
        <v>3.6206657444909481E-2</v>
      </c>
      <c r="H26" s="50">
        <f>'[1]Margin Compression Analysis'!R23</f>
        <v>-1.8436109345200253E-2</v>
      </c>
      <c r="I26" s="50">
        <f>'[1]Volume vs Price Diagnostic'!C23</f>
        <v>2.6978950489178772E-3</v>
      </c>
      <c r="J26" s="53">
        <f t="shared" si="0"/>
        <v>0</v>
      </c>
      <c r="K26" s="54" t="str">
        <f t="shared" si="1"/>
        <v>Normal</v>
      </c>
      <c r="M26" s="50">
        <f>'[1]Margin Compression Analysis'!E23</f>
        <v>0.36465152775358545</v>
      </c>
      <c r="N26" s="50">
        <f>'[1]Margin Compression Analysis'!M23</f>
        <v>0.12358501629453512</v>
      </c>
    </row>
    <row r="27" spans="1:14" x14ac:dyDescent="0.25">
      <c r="A27" s="45">
        <v>45597</v>
      </c>
      <c r="B27" s="50">
        <f>'[1]Margin Compression Analysis'!N24</f>
        <v>4.1479943580678726E-2</v>
      </c>
      <c r="C27" s="50">
        <f>'[1]Margin Compression Analysis'!O24</f>
        <v>2.2356531798211048E-2</v>
      </c>
      <c r="D27" s="50">
        <f>'[1]Margin Compression Analysis'!P24</f>
        <v>1.9123411782467677E-2</v>
      </c>
      <c r="E27" s="50">
        <f>'[1]Margin Compression Analysis'!S24</f>
        <v>-8.9255618843916418E-3</v>
      </c>
      <c r="F27" s="50">
        <f>'[1]Margin Compression Analysis'!T24</f>
        <v>1.6092527493234407E-2</v>
      </c>
      <c r="G27" s="50">
        <f>'[1]Margin Compression Analysis'!Q24</f>
        <v>-6.2841239391765988E-2</v>
      </c>
      <c r="H27" s="50">
        <f>'[1]Margin Compression Analysis'!R24</f>
        <v>-1.7319132604106696E-2</v>
      </c>
      <c r="I27" s="50">
        <f>'[1]Volume vs Price Diagnostic'!C24</f>
        <v>2.09928742497265E-3</v>
      </c>
      <c r="J27" s="53">
        <f t="shared" si="0"/>
        <v>0</v>
      </c>
      <c r="K27" s="54" t="str">
        <f t="shared" si="1"/>
        <v>Normal</v>
      </c>
      <c r="M27" s="50">
        <f>'[1]Margin Compression Analysis'!E24</f>
        <v>0.35572596586919381</v>
      </c>
      <c r="N27" s="50">
        <f>'[1]Margin Compression Analysis'!M24</f>
        <v>0.13967754378776953</v>
      </c>
    </row>
    <row r="28" spans="1:14" x14ac:dyDescent="0.25">
      <c r="A28" s="45">
        <v>45627</v>
      </c>
      <c r="B28" s="50">
        <f>'[1]Margin Compression Analysis'!N25</f>
        <v>-3.2729704476243994E-2</v>
      </c>
      <c r="C28" s="50">
        <f>'[1]Margin Compression Analysis'!O25</f>
        <v>-1.9774363071781858E-2</v>
      </c>
      <c r="D28" s="50">
        <f>'[1]Margin Compression Analysis'!P25</f>
        <v>-1.2955341404462136E-2</v>
      </c>
      <c r="E28" s="50">
        <f>'[1]Margin Compression Analysis'!S25</f>
        <v>2.9020086546133195E-3</v>
      </c>
      <c r="F28" s="50">
        <f>'[1]Margin Compression Analysis'!T25</f>
        <v>-1.1522912664365087E-2</v>
      </c>
      <c r="G28" s="50">
        <f>'[1]Margin Compression Analysis'!Q25</f>
        <v>8.4551190271303488E-3</v>
      </c>
      <c r="H28" s="50">
        <f>'[1]Margin Compression Analysis'!R25</f>
        <v>-1.1839086071376263E-2</v>
      </c>
      <c r="I28" s="50">
        <f>'[1]Volume vs Price Diagnostic'!C25</f>
        <v>-1.7722963137810299E-2</v>
      </c>
      <c r="J28" s="53">
        <f t="shared" si="0"/>
        <v>0</v>
      </c>
      <c r="K28" s="54" t="str">
        <f t="shared" si="1"/>
        <v>Normal</v>
      </c>
      <c r="M28" s="50">
        <f>'[1]Margin Compression Analysis'!E25</f>
        <v>0.35862797452380712</v>
      </c>
      <c r="N28" s="50">
        <f>'[1]Margin Compression Analysis'!M25</f>
        <v>0.12815463112340444</v>
      </c>
    </row>
    <row r="31" spans="1:14" ht="15.75" x14ac:dyDescent="0.25">
      <c r="A31" s="55" t="s">
        <v>1345</v>
      </c>
      <c r="B31" s="55"/>
      <c r="C31" s="55"/>
      <c r="D31" s="55"/>
      <c r="E31" s="55"/>
      <c r="F31" s="55"/>
      <c r="G31" s="55"/>
      <c r="H31" s="55"/>
      <c r="I31" s="55"/>
    </row>
    <row r="32" spans="1:14" ht="24" x14ac:dyDescent="0.25">
      <c r="A32" s="56" t="s">
        <v>1346</v>
      </c>
      <c r="B32" s="57" t="s">
        <v>1277</v>
      </c>
      <c r="C32" s="57" t="s">
        <v>1326</v>
      </c>
      <c r="D32" s="57" t="s">
        <v>1337</v>
      </c>
      <c r="E32" s="57" t="s">
        <v>1338</v>
      </c>
      <c r="F32" s="57" t="s">
        <v>1339</v>
      </c>
      <c r="G32" s="57" t="s">
        <v>1328</v>
      </c>
      <c r="H32" s="57" t="s">
        <v>1329</v>
      </c>
      <c r="I32" s="57" t="s">
        <v>1289</v>
      </c>
    </row>
    <row r="33" spans="1:9" x14ac:dyDescent="0.25">
      <c r="A33" t="s">
        <v>1347</v>
      </c>
      <c r="B33" s="58">
        <f t="shared" ref="B33:I33" si="2">AVERAGE(B6:B28)</f>
        <v>3.4577013308114751E-3</v>
      </c>
      <c r="C33" s="58">
        <f t="shared" si="2"/>
        <v>9.1011331184437279E-3</v>
      </c>
      <c r="D33" s="58">
        <f t="shared" si="2"/>
        <v>-5.6434317876322528E-3</v>
      </c>
      <c r="E33" s="58">
        <f t="shared" si="2"/>
        <v>-4.1463739122213255E-3</v>
      </c>
      <c r="F33" s="58">
        <f t="shared" si="2"/>
        <v>-4.6965526997299655E-3</v>
      </c>
      <c r="G33" s="58">
        <f t="shared" si="2"/>
        <v>6.0409278517131364E-3</v>
      </c>
      <c r="H33" s="58">
        <f t="shared" si="2"/>
        <v>8.0795042681209833E-3</v>
      </c>
      <c r="I33" s="58">
        <f t="shared" si="2"/>
        <v>5.9944521635227439E-3</v>
      </c>
    </row>
    <row r="34" spans="1:9" x14ac:dyDescent="0.25">
      <c r="A34" t="s">
        <v>1348</v>
      </c>
      <c r="B34" s="58">
        <f t="shared" ref="B34:I34" si="3">STDEV(B6:B28)</f>
        <v>4.993811320257615E-2</v>
      </c>
      <c r="C34" s="58">
        <f t="shared" si="3"/>
        <v>4.7425443954003235E-2</v>
      </c>
      <c r="D34" s="58">
        <f t="shared" si="3"/>
        <v>3.929155756482864E-2</v>
      </c>
      <c r="E34" s="58">
        <f t="shared" si="3"/>
        <v>1.964309336414927E-2</v>
      </c>
      <c r="F34" s="58">
        <f t="shared" si="3"/>
        <v>3.0650331810117819E-2</v>
      </c>
      <c r="G34" s="58">
        <f t="shared" si="3"/>
        <v>6.339698622162189E-2</v>
      </c>
      <c r="H34" s="58">
        <f t="shared" si="3"/>
        <v>7.1852229703999057E-2</v>
      </c>
      <c r="I34" s="58">
        <f t="shared" si="3"/>
        <v>4.5840134046031114E-2</v>
      </c>
    </row>
  </sheetData>
  <mergeCells count="3">
    <mergeCell ref="A1:K1"/>
    <mergeCell ref="A2:K2"/>
    <mergeCell ref="A31:I31"/>
  </mergeCells>
  <conditionalFormatting sqref="A5:K28">
    <cfRule type="expression" dxfId="0" priority="1">
      <formula>$K5="High Variance"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782B-537C-4B05-B6D7-273F308BA17F}">
  <dimension ref="A1:J26"/>
  <sheetViews>
    <sheetView workbookViewId="0">
      <selection activeCell="J14" sqref="J14"/>
    </sheetView>
  </sheetViews>
  <sheetFormatPr defaultRowHeight="15" x14ac:dyDescent="0.25"/>
  <cols>
    <col min="3" max="3" width="14.7109375" style="30" customWidth="1"/>
    <col min="4" max="4" width="13" customWidth="1"/>
    <col min="5" max="5" width="14.7109375" customWidth="1"/>
    <col min="6" max="6" width="13.5703125" customWidth="1"/>
    <col min="7" max="7" width="14" style="16" customWidth="1"/>
    <col min="8" max="8" width="9.140625" style="30"/>
    <col min="9" max="9" width="9.140625" style="17"/>
    <col min="10" max="10" width="43.7109375" bestFit="1" customWidth="1"/>
  </cols>
  <sheetData>
    <row r="1" spans="1:10" ht="60" x14ac:dyDescent="0.25">
      <c r="A1" s="20" t="s">
        <v>1171</v>
      </c>
      <c r="B1" s="20" t="s">
        <v>61</v>
      </c>
      <c r="C1" s="31" t="s">
        <v>1289</v>
      </c>
      <c r="D1" s="20" t="s">
        <v>64</v>
      </c>
      <c r="E1" s="20" t="s">
        <v>1290</v>
      </c>
      <c r="F1" s="20" t="s">
        <v>1291</v>
      </c>
      <c r="G1" s="32" t="s">
        <v>1292</v>
      </c>
      <c r="H1" s="31" t="s">
        <v>63</v>
      </c>
      <c r="I1" s="29" t="s">
        <v>1293</v>
      </c>
      <c r="J1" s="20" t="s">
        <v>1294</v>
      </c>
    </row>
    <row r="2" spans="1:10" x14ac:dyDescent="0.25">
      <c r="A2" t="str">
        <f>Calender!A5</f>
        <v>2023-01</v>
      </c>
      <c r="B2">
        <f>SUMIFS(Table5[Units Sold],Table5[month Key],'Volume Vs Price Diagnostic'!A2)</f>
        <v>89048</v>
      </c>
      <c r="D2" s="16">
        <f>'Revenue Trend Report'!B5</f>
        <v>2329918.2399999998</v>
      </c>
      <c r="E2" s="15">
        <f>D2/B2</f>
        <v>26.164745305902432</v>
      </c>
      <c r="G2" s="16">
        <f>SUMIFS(Table5[Total Revenue],Table5[month Key],'Volume Vs Price Diagnostic'!A2)</f>
        <v>2516708</v>
      </c>
      <c r="H2" s="30">
        <f>(G2-D2)/G2</f>
        <v>7.4219877713266796E-2</v>
      </c>
      <c r="J2" t="s">
        <v>1300</v>
      </c>
    </row>
    <row r="3" spans="1:10" x14ac:dyDescent="0.25">
      <c r="A3" t="str">
        <f>Calender!A6</f>
        <v>2023-02</v>
      </c>
      <c r="B3">
        <f>SUMIFS(Table5[Units Sold],Table5[month Key],'Volume Vs Price Diagnostic'!A3)</f>
        <v>93284</v>
      </c>
      <c r="C3" s="30">
        <f>(B3-B2)/B2</f>
        <v>4.7569849968556281E-2</v>
      </c>
      <c r="D3" s="16">
        <f>'Revenue Trend Report'!B6</f>
        <v>2487689.44</v>
      </c>
      <c r="E3" s="15">
        <f t="shared" ref="E3:E25" si="0">D3/B3</f>
        <v>26.667911324557267</v>
      </c>
      <c r="F3" s="30">
        <f>(E3-E2)/E2</f>
        <v>1.9230686665286458E-2</v>
      </c>
      <c r="G3" s="16">
        <f>SUMIFS(Table5[Total Revenue],Table5[month Key],'Volume Vs Price Diagnostic'!A3)</f>
        <v>2699332</v>
      </c>
      <c r="H3" s="30">
        <f t="shared" ref="H3:H25" si="1">(G3-D3)/G3</f>
        <v>7.8405531442593962E-2</v>
      </c>
      <c r="I3" s="30">
        <f>H3-H2</f>
        <v>4.1856537293271656E-3</v>
      </c>
      <c r="J3" t="str">
        <f>IF(AND(C3&gt;0,F3&gt;0),"Volume- &amp; Price-led growth",IF(AND(C3&gt;0,F3&lt;=0),"Volume-led growth (price/mix a drag)",IF(AND(C3&lt;=0,F3&gt;0),"Price-led growth (volume a drag)","Broad decline (volume &amp; price/mix both down)")))</f>
        <v>Volume- &amp; Price-led growth</v>
      </c>
    </row>
    <row r="4" spans="1:10" x14ac:dyDescent="0.25">
      <c r="A4" t="str">
        <f>Calender!A7</f>
        <v>2023-03</v>
      </c>
      <c r="B4">
        <f>SUMIFS(Table5[Units Sold],Table5[month Key],'Volume Vs Price Diagnostic'!A4)</f>
        <v>93532</v>
      </c>
      <c r="C4" s="30">
        <f t="shared" ref="C4:C25" si="2">(B4-B3)/B3</f>
        <v>2.6585480897045582E-3</v>
      </c>
      <c r="D4" s="16">
        <f>'Revenue Trend Report'!B7</f>
        <v>2444790.6</v>
      </c>
      <c r="E4" s="15">
        <f t="shared" si="0"/>
        <v>26.138547235170851</v>
      </c>
      <c r="F4" s="30">
        <f t="shared" ref="F4:F25" si="3">(E4-E3)/E3</f>
        <v>-1.9850226849185165E-2</v>
      </c>
      <c r="G4" s="16">
        <f>SUMIFS(Table5[Total Revenue],Table5[month Key],'Volume Vs Price Diagnostic'!A4)</f>
        <v>2637328</v>
      </c>
      <c r="H4" s="30">
        <f t="shared" si="1"/>
        <v>7.3004722962028201E-2</v>
      </c>
      <c r="I4" s="30">
        <f t="shared" ref="I4:I25" si="4">H4-H3</f>
        <v>-5.4008084805657608E-3</v>
      </c>
      <c r="J4" t="str">
        <f t="shared" ref="J4:J26" si="5">IF(AND(C4&gt;0,F4&gt;0),"Volume- &amp; Price-led growth",IF(AND(C4&gt;0,F4&lt;=0),"Volume-led growth (price/mix a drag)",IF(AND(C4&lt;=0,F4&gt;0),"Price-led growth (volume a drag)","Broad decline (volume &amp; price/mix both down)")))</f>
        <v>Volume-led growth (price/mix a drag)</v>
      </c>
    </row>
    <row r="5" spans="1:10" x14ac:dyDescent="0.25">
      <c r="A5" t="str">
        <f>Calender!A8</f>
        <v>2023-04</v>
      </c>
      <c r="B5">
        <f>SUMIFS(Table5[Units Sold],Table5[month Key],'Volume Vs Price Diagnostic'!A5)</f>
        <v>92044</v>
      </c>
      <c r="C5" s="30">
        <f t="shared" si="2"/>
        <v>-1.5908993713381517E-2</v>
      </c>
      <c r="D5" s="16">
        <f>'Revenue Trend Report'!B8</f>
        <v>2436376.56</v>
      </c>
      <c r="E5" s="15">
        <f t="shared" si="0"/>
        <v>26.469694493937684</v>
      </c>
      <c r="F5" s="30">
        <f t="shared" si="3"/>
        <v>1.266892363173331E-2</v>
      </c>
      <c r="G5" s="16">
        <f>SUMIFS(Table5[Total Revenue],Table5[month Key],'Volume Vs Price Diagnostic'!A5)</f>
        <v>2636732</v>
      </c>
      <c r="H5" s="30">
        <f t="shared" si="1"/>
        <v>7.5986273917864972E-2</v>
      </c>
      <c r="I5" s="30">
        <f t="shared" si="4"/>
        <v>2.9815509558367703E-3</v>
      </c>
      <c r="J5" t="str">
        <f t="shared" si="5"/>
        <v>Price-led growth (volume a drag)</v>
      </c>
    </row>
    <row r="6" spans="1:10" x14ac:dyDescent="0.25">
      <c r="A6" t="str">
        <f>Calender!A9</f>
        <v>2023-05</v>
      </c>
      <c r="B6">
        <f>SUMIFS(Table5[Units Sold],Table5[month Key],'Volume Vs Price Diagnostic'!A6)</f>
        <v>88956</v>
      </c>
      <c r="C6" s="30">
        <f t="shared" si="2"/>
        <v>-3.3549172135065836E-2</v>
      </c>
      <c r="D6" s="16">
        <f>'Revenue Trend Report'!B9</f>
        <v>2336372.2800000007</v>
      </c>
      <c r="E6" s="15">
        <f t="shared" si="0"/>
        <v>26.264358559287746</v>
      </c>
      <c r="F6" s="30">
        <f t="shared" si="3"/>
        <v>-7.757397226362605E-3</v>
      </c>
      <c r="G6" s="16">
        <f>SUMIFS(Table5[Total Revenue],Table5[month Key],'Volume Vs Price Diagnostic'!A6)</f>
        <v>2527216</v>
      </c>
      <c r="H6" s="30">
        <f t="shared" si="1"/>
        <v>7.5515397180137861E-2</v>
      </c>
      <c r="I6" s="30">
        <f t="shared" si="4"/>
        <v>-4.7087673772711058E-4</v>
      </c>
      <c r="J6" t="str">
        <f t="shared" si="5"/>
        <v>Broad decline (volume &amp; price/mix both down)</v>
      </c>
    </row>
    <row r="7" spans="1:10" x14ac:dyDescent="0.25">
      <c r="A7" t="str">
        <f>Calender!A10</f>
        <v>2023-06</v>
      </c>
      <c r="B7">
        <f>SUMIFS(Table5[Units Sold],Table5[month Key],'Volume Vs Price Diagnostic'!A7)</f>
        <v>90596</v>
      </c>
      <c r="C7" s="30">
        <f t="shared" si="2"/>
        <v>1.8436080759026936E-2</v>
      </c>
      <c r="D7" s="16">
        <f>'Revenue Trend Report'!B10</f>
        <v>2423490.7999999998</v>
      </c>
      <c r="E7" s="15">
        <f t="shared" si="0"/>
        <v>26.750527617113335</v>
      </c>
      <c r="F7" s="30">
        <f t="shared" si="3"/>
        <v>1.8510600848223129E-2</v>
      </c>
      <c r="G7" s="16">
        <f>SUMIFS(Table5[Total Revenue],Table5[month Key],'Volume Vs Price Diagnostic'!A7)</f>
        <v>2622316</v>
      </c>
      <c r="H7" s="30">
        <f t="shared" si="1"/>
        <v>7.5820457946334532E-2</v>
      </c>
      <c r="I7" s="30">
        <f t="shared" si="4"/>
        <v>3.0506076619667144E-4</v>
      </c>
      <c r="J7" t="str">
        <f t="shared" si="5"/>
        <v>Volume- &amp; Price-led growth</v>
      </c>
    </row>
    <row r="8" spans="1:10" x14ac:dyDescent="0.25">
      <c r="A8" t="str">
        <f>Calender!A11</f>
        <v>2023-07</v>
      </c>
      <c r="B8">
        <f>SUMIFS(Table5[Units Sold],Table5[month Key],'Volume Vs Price Diagnostic'!A8)</f>
        <v>83884</v>
      </c>
      <c r="C8" s="30">
        <f t="shared" si="2"/>
        <v>-7.4087156165835139E-2</v>
      </c>
      <c r="D8" s="16">
        <f>'Revenue Trend Report'!B11</f>
        <v>2219220.1599999997</v>
      </c>
      <c r="E8" s="15">
        <f t="shared" si="0"/>
        <v>26.455821849220349</v>
      </c>
      <c r="F8" s="30">
        <f t="shared" si="3"/>
        <v>-1.1016820756254941E-2</v>
      </c>
      <c r="G8" s="16">
        <f>SUMIFS(Table5[Total Revenue],Table5[month Key],'Volume Vs Price Diagnostic'!A8)</f>
        <v>2394752</v>
      </c>
      <c r="H8" s="30">
        <f t="shared" si="1"/>
        <v>7.3298546154257446E-2</v>
      </c>
      <c r="I8" s="30">
        <f t="shared" si="4"/>
        <v>-2.5219117920770862E-3</v>
      </c>
      <c r="J8" t="str">
        <f t="shared" si="5"/>
        <v>Broad decline (volume &amp; price/mix both down)</v>
      </c>
    </row>
    <row r="9" spans="1:10" x14ac:dyDescent="0.25">
      <c r="A9" t="str">
        <f>Calender!A12</f>
        <v>2023-08</v>
      </c>
      <c r="B9">
        <f>SUMIFS(Table5[Units Sold],Table5[month Key],'Volume Vs Price Diagnostic'!A9)</f>
        <v>93404</v>
      </c>
      <c r="C9" s="34">
        <f t="shared" si="2"/>
        <v>0.11349005769872682</v>
      </c>
      <c r="D9" s="16">
        <f>'Revenue Trend Report'!B12</f>
        <v>2450806.48</v>
      </c>
      <c r="E9" s="15">
        <f t="shared" si="0"/>
        <v>26.238774356558604</v>
      </c>
      <c r="F9" s="30">
        <f t="shared" si="3"/>
        <v>-8.2041485574995115E-3</v>
      </c>
      <c r="G9" s="16">
        <f>SUMIFS(Table5[Total Revenue],Table5[month Key],'Volume Vs Price Diagnostic'!A9)</f>
        <v>2646836</v>
      </c>
      <c r="H9" s="30">
        <f t="shared" si="1"/>
        <v>7.4061830804779752E-2</v>
      </c>
      <c r="I9" s="30">
        <f t="shared" si="4"/>
        <v>7.6328465052230565E-4</v>
      </c>
      <c r="J9" t="str">
        <f t="shared" si="5"/>
        <v>Volume-led growth (price/mix a drag)</v>
      </c>
    </row>
    <row r="10" spans="1:10" x14ac:dyDescent="0.25">
      <c r="A10" t="str">
        <f>Calender!A13</f>
        <v>2023-09</v>
      </c>
      <c r="B10">
        <f>SUMIFS(Table5[Units Sold],Table5[month Key],'Volume Vs Price Diagnostic'!A10)</f>
        <v>89124</v>
      </c>
      <c r="C10" s="30">
        <f t="shared" si="2"/>
        <v>-4.5822448717399683E-2</v>
      </c>
      <c r="D10" s="16">
        <f>'Revenue Trend Report'!B13</f>
        <v>2400931.36</v>
      </c>
      <c r="E10" s="15">
        <f t="shared" si="0"/>
        <v>26.939223553700462</v>
      </c>
      <c r="F10" s="30">
        <f t="shared" si="3"/>
        <v>2.6695194966939229E-2</v>
      </c>
      <c r="G10" s="16">
        <f>SUMIFS(Table5[Total Revenue],Table5[month Key],'Volume Vs Price Diagnostic'!A10)</f>
        <v>2587260</v>
      </c>
      <c r="H10" s="30">
        <f t="shared" si="1"/>
        <v>7.2017748506141677E-2</v>
      </c>
      <c r="I10" s="30">
        <f t="shared" si="4"/>
        <v>-2.0440822986380752E-3</v>
      </c>
      <c r="J10" t="str">
        <f t="shared" si="5"/>
        <v>Price-led growth (volume a drag)</v>
      </c>
    </row>
    <row r="11" spans="1:10" x14ac:dyDescent="0.25">
      <c r="A11" t="str">
        <f>Calender!A14</f>
        <v>2023-10</v>
      </c>
      <c r="B11">
        <f>SUMIFS(Table5[Units Sold],Table5[month Key],'Volume Vs Price Diagnostic'!A11)</f>
        <v>86464</v>
      </c>
      <c r="C11" s="30">
        <f t="shared" si="2"/>
        <v>-2.9846057178762174E-2</v>
      </c>
      <c r="D11" s="16">
        <f>'Revenue Trend Report'!B14</f>
        <v>2284842.04</v>
      </c>
      <c r="E11" s="15">
        <f t="shared" si="0"/>
        <v>26.425356680236863</v>
      </c>
      <c r="F11" s="30">
        <f t="shared" si="3"/>
        <v>-1.9075043957345682E-2</v>
      </c>
      <c r="G11" s="16">
        <f>SUMIFS(Table5[Total Revenue],Table5[month Key],'Volume Vs Price Diagnostic'!A11)</f>
        <v>2460408</v>
      </c>
      <c r="H11" s="30">
        <f t="shared" si="1"/>
        <v>7.1356441695848802E-2</v>
      </c>
      <c r="I11" s="30">
        <f t="shared" si="4"/>
        <v>-6.6130681029287486E-4</v>
      </c>
      <c r="J11" t="str">
        <f t="shared" si="5"/>
        <v>Broad decline (volume &amp; price/mix both down)</v>
      </c>
    </row>
    <row r="12" spans="1:10" x14ac:dyDescent="0.25">
      <c r="A12" t="str">
        <f>Calender!A15</f>
        <v>2023-11</v>
      </c>
      <c r="B12">
        <f>SUMIFS(Table5[Units Sold],Table5[month Key],'Volume Vs Price Diagnostic'!A12)</f>
        <v>88516</v>
      </c>
      <c r="C12" s="30">
        <f t="shared" si="2"/>
        <v>2.3732420429311622E-2</v>
      </c>
      <c r="D12" s="16">
        <f>'Revenue Trend Report'!B15</f>
        <v>2279626.16</v>
      </c>
      <c r="E12" s="15">
        <f t="shared" si="0"/>
        <v>25.753831623661259</v>
      </c>
      <c r="F12" s="30">
        <f t="shared" si="3"/>
        <v>-2.5412147306145064E-2</v>
      </c>
      <c r="G12" s="16">
        <f>SUMIFS(Table5[Total Revenue],Table5[month Key],'Volume Vs Price Diagnostic'!A12)</f>
        <v>2456336</v>
      </c>
      <c r="H12" s="30">
        <f t="shared" si="1"/>
        <v>7.194041857465748E-2</v>
      </c>
      <c r="I12" s="30">
        <f t="shared" si="4"/>
        <v>5.8397687880867855E-4</v>
      </c>
      <c r="J12" t="str">
        <f t="shared" si="5"/>
        <v>Volume-led growth (price/mix a drag)</v>
      </c>
    </row>
    <row r="13" spans="1:10" x14ac:dyDescent="0.25">
      <c r="A13" t="str">
        <f>Calender!A16</f>
        <v>2023-12</v>
      </c>
      <c r="B13">
        <f>SUMIFS(Table5[Units Sold],Table5[month Key],'Volume Vs Price Diagnostic'!A13)</f>
        <v>91328</v>
      </c>
      <c r="C13" s="30">
        <f t="shared" si="2"/>
        <v>3.1768267883772426E-2</v>
      </c>
      <c r="D13" s="16">
        <f>'Revenue Trend Report'!B16</f>
        <v>2491954.3599999994</v>
      </c>
      <c r="E13" s="15">
        <f t="shared" si="0"/>
        <v>27.285765154169582</v>
      </c>
      <c r="F13" s="34">
        <f t="shared" si="3"/>
        <v>5.9483713060423313E-2</v>
      </c>
      <c r="G13" s="16">
        <f>SUMIFS(Table5[Total Revenue],Table5[month Key],'Volume Vs Price Diagnostic'!A13)</f>
        <v>2698416</v>
      </c>
      <c r="H13" s="30">
        <f t="shared" si="1"/>
        <v>7.6512161208650037E-2</v>
      </c>
      <c r="I13" s="30">
        <f t="shared" si="4"/>
        <v>4.5717426339925565E-3</v>
      </c>
      <c r="J13" t="str">
        <f t="shared" si="5"/>
        <v>Volume- &amp; Price-led growth</v>
      </c>
    </row>
    <row r="14" spans="1:10" x14ac:dyDescent="0.25">
      <c r="A14" t="str">
        <f>Calender!A17</f>
        <v>2024-01</v>
      </c>
      <c r="B14">
        <f>SUMIFS(Table5[Units Sold],Table5[month Key],'Volume Vs Price Diagnostic'!A14)</f>
        <v>98105</v>
      </c>
      <c r="C14" s="30">
        <f t="shared" si="2"/>
        <v>7.4205063069376312E-2</v>
      </c>
      <c r="D14" s="16">
        <f>'Revenue Trend Report'!B17</f>
        <v>2423695.8599999994</v>
      </c>
      <c r="E14" s="15">
        <f t="shared" si="0"/>
        <v>24.705120636053202</v>
      </c>
      <c r="F14" s="30">
        <f t="shared" si="3"/>
        <v>-9.4578418583289289E-2</v>
      </c>
      <c r="G14" s="16">
        <f>SUMIFS(Table5[Total Revenue],Table5[month Key],'Volume Vs Price Diagnostic'!A14)</f>
        <v>2846968</v>
      </c>
      <c r="H14" s="30">
        <f t="shared" si="1"/>
        <v>0.14867470937502655</v>
      </c>
      <c r="I14" s="30">
        <f t="shared" si="4"/>
        <v>7.2162548166376517E-2</v>
      </c>
      <c r="J14" t="str">
        <f t="shared" si="5"/>
        <v>Volume-led growth (price/mix a drag)</v>
      </c>
    </row>
    <row r="15" spans="1:10" x14ac:dyDescent="0.25">
      <c r="A15" t="str">
        <f>Calender!A18</f>
        <v>2024-02</v>
      </c>
      <c r="B15">
        <f>SUMIFS(Table5[Units Sold],Table5[month Key],'Volume Vs Price Diagnostic'!A15)</f>
        <v>96527</v>
      </c>
      <c r="C15" s="30">
        <f t="shared" si="2"/>
        <v>-1.6084807094439629E-2</v>
      </c>
      <c r="D15" s="16">
        <f>'Revenue Trend Report'!B18</f>
        <v>2357448.6500000004</v>
      </c>
      <c r="E15" s="15">
        <f t="shared" si="0"/>
        <v>24.422686398624222</v>
      </c>
      <c r="F15" s="30">
        <f t="shared" si="3"/>
        <v>-1.1432214462325351E-2</v>
      </c>
      <c r="G15" s="16">
        <f>SUMIFS(Table5[Total Revenue],Table5[month Key],'Volume Vs Price Diagnostic'!A15)</f>
        <v>2751163</v>
      </c>
      <c r="H15" s="30">
        <f t="shared" si="1"/>
        <v>0.14310833273055781</v>
      </c>
      <c r="I15" s="30">
        <f t="shared" si="4"/>
        <v>-5.5663766444687401E-3</v>
      </c>
      <c r="J15" t="str">
        <f t="shared" si="5"/>
        <v>Broad decline (volume &amp; price/mix both down)</v>
      </c>
    </row>
    <row r="16" spans="1:10" x14ac:dyDescent="0.25">
      <c r="A16" t="str">
        <f>Calender!A19</f>
        <v>2024-03</v>
      </c>
      <c r="B16">
        <f>SUMIFS(Table5[Units Sold],Table5[month Key],'Volume Vs Price Diagnostic'!A16)</f>
        <v>94846</v>
      </c>
      <c r="C16" s="30">
        <f t="shared" si="2"/>
        <v>-1.7414816579817045E-2</v>
      </c>
      <c r="D16" s="16">
        <f>'Revenue Trend Report'!B19</f>
        <v>2338098.14</v>
      </c>
      <c r="E16" s="15">
        <f t="shared" si="0"/>
        <v>24.651520781055606</v>
      </c>
      <c r="F16" s="30">
        <f t="shared" si="3"/>
        <v>9.3697465830079249E-3</v>
      </c>
      <c r="G16" s="16">
        <f>SUMIFS(Table5[Total Revenue],Table5[month Key],'Volume Vs Price Diagnostic'!A16)</f>
        <v>2734620</v>
      </c>
      <c r="H16" s="30">
        <f t="shared" si="1"/>
        <v>0.14500071673578044</v>
      </c>
      <c r="I16" s="30">
        <f t="shared" si="4"/>
        <v>1.8923840052226248E-3</v>
      </c>
      <c r="J16" t="str">
        <f t="shared" si="5"/>
        <v>Price-led growth (volume a drag)</v>
      </c>
    </row>
    <row r="17" spans="1:10" x14ac:dyDescent="0.25">
      <c r="A17" t="str">
        <f>Calender!A20</f>
        <v>2024-04</v>
      </c>
      <c r="B17">
        <f>SUMIFS(Table5[Units Sold],Table5[month Key],'Volume Vs Price Diagnostic'!A17)</f>
        <v>96432</v>
      </c>
      <c r="C17" s="30">
        <f t="shared" si="2"/>
        <v>1.6721843831052442E-2</v>
      </c>
      <c r="D17" s="16">
        <f>'Revenue Trend Report'!B20</f>
        <v>2357454.1</v>
      </c>
      <c r="E17" s="15">
        <f t="shared" si="0"/>
        <v>24.44680292848847</v>
      </c>
      <c r="F17" s="30">
        <f t="shared" si="3"/>
        <v>-8.3044715328256247E-3</v>
      </c>
      <c r="G17" s="16">
        <f>SUMIFS(Table5[Total Revenue],Table5[month Key],'Volume Vs Price Diagnostic'!A17)</f>
        <v>2768519</v>
      </c>
      <c r="H17" s="30">
        <f t="shared" si="1"/>
        <v>0.14847826581648885</v>
      </c>
      <c r="I17" s="30">
        <f t="shared" si="4"/>
        <v>3.4775490807084086E-3</v>
      </c>
      <c r="J17" t="str">
        <f t="shared" si="5"/>
        <v>Volume-led growth (price/mix a drag)</v>
      </c>
    </row>
    <row r="18" spans="1:10" x14ac:dyDescent="0.25">
      <c r="A18" t="str">
        <f>Calender!A21</f>
        <v>2024-05</v>
      </c>
      <c r="B18">
        <f>SUMIFS(Table5[Units Sold],Table5[month Key],'Volume Vs Price Diagnostic'!A18)</f>
        <v>102974</v>
      </c>
      <c r="C18" s="30">
        <f t="shared" si="2"/>
        <v>6.7840550854488132E-2</v>
      </c>
      <c r="D18" s="16">
        <f>'Revenue Trend Report'!B21</f>
        <v>2542740.06</v>
      </c>
      <c r="E18" s="15">
        <f t="shared" si="0"/>
        <v>24.693029891040457</v>
      </c>
      <c r="F18" s="30">
        <f t="shared" si="3"/>
        <v>1.0071949418999578E-2</v>
      </c>
      <c r="G18" s="16">
        <f>SUMIFS(Table5[Total Revenue],Table5[month Key],'Volume Vs Price Diagnostic'!A18)</f>
        <v>2968962</v>
      </c>
      <c r="H18" s="30">
        <f t="shared" si="1"/>
        <v>0.14355924393778025</v>
      </c>
      <c r="I18" s="30">
        <f t="shared" si="4"/>
        <v>-4.9190218787086015E-3</v>
      </c>
      <c r="J18" t="str">
        <f t="shared" si="5"/>
        <v>Volume- &amp; Price-led growth</v>
      </c>
    </row>
    <row r="19" spans="1:10" x14ac:dyDescent="0.25">
      <c r="A19" t="str">
        <f>Calender!A22</f>
        <v>2024-06</v>
      </c>
      <c r="B19">
        <f>SUMIFS(Table5[Units Sold],Table5[month Key],'Volume Vs Price Diagnostic'!A19)</f>
        <v>102402</v>
      </c>
      <c r="C19" s="30">
        <f t="shared" si="2"/>
        <v>-5.5548002408374927E-3</v>
      </c>
      <c r="D19" s="16">
        <f>'Revenue Trend Report'!B22</f>
        <v>2447755.63</v>
      </c>
      <c r="E19" s="15">
        <f t="shared" si="0"/>
        <v>23.903396711001736</v>
      </c>
      <c r="F19" s="30">
        <f t="shared" si="3"/>
        <v>-3.1977978543865457E-2</v>
      </c>
      <c r="G19" s="16">
        <f>SUMIFS(Table5[Total Revenue],Table5[month Key],'Volume Vs Price Diagnostic'!A19)</f>
        <v>2853147</v>
      </c>
      <c r="H19" s="30">
        <f t="shared" si="1"/>
        <v>0.14208569344656974</v>
      </c>
      <c r="I19" s="30">
        <f t="shared" si="4"/>
        <v>-1.4735504912105069E-3</v>
      </c>
      <c r="J19" t="str">
        <f t="shared" si="5"/>
        <v>Broad decline (volume &amp; price/mix both down)</v>
      </c>
    </row>
    <row r="20" spans="1:10" x14ac:dyDescent="0.25">
      <c r="A20" t="str">
        <f>Calender!A23</f>
        <v>2024-07</v>
      </c>
      <c r="B20">
        <f>SUMIFS(Table5[Units Sold],Table5[month Key],'Volume Vs Price Diagnostic'!A20)</f>
        <v>94376</v>
      </c>
      <c r="C20" s="30">
        <f t="shared" si="2"/>
        <v>-7.8377375441885902E-2</v>
      </c>
      <c r="D20" s="16">
        <f>'Revenue Trend Report'!B23</f>
        <v>2297132.6600000011</v>
      </c>
      <c r="E20" s="15">
        <f t="shared" si="0"/>
        <v>24.340220606933979</v>
      </c>
      <c r="F20" s="30">
        <f t="shared" si="3"/>
        <v>1.8274553245028594E-2</v>
      </c>
      <c r="G20" s="16">
        <f>SUMIFS(Table5[Total Revenue],Table5[month Key],'Volume Vs Price Diagnostic'!A20)</f>
        <v>2688109</v>
      </c>
      <c r="H20" s="30">
        <f t="shared" si="1"/>
        <v>0.14544660949388544</v>
      </c>
      <c r="I20" s="30">
        <f t="shared" si="4"/>
        <v>3.3609160473156985E-3</v>
      </c>
      <c r="J20" t="str">
        <f t="shared" si="5"/>
        <v>Price-led growth (volume a drag)</v>
      </c>
    </row>
    <row r="21" spans="1:10" x14ac:dyDescent="0.25">
      <c r="A21" t="str">
        <f>Calender!A24</f>
        <v>2024-08</v>
      </c>
      <c r="B21">
        <f>SUMIFS(Table5[Units Sold],Table5[month Key],'Volume Vs Price Diagnostic'!A21)</f>
        <v>96875</v>
      </c>
      <c r="C21" s="30">
        <f t="shared" si="2"/>
        <v>2.6479189624480801E-2</v>
      </c>
      <c r="D21" s="16">
        <f>'Revenue Trend Report'!B24</f>
        <v>2377319.5699999998</v>
      </c>
      <c r="E21" s="15">
        <f t="shared" si="0"/>
        <v>24.54007298064516</v>
      </c>
      <c r="F21" s="30">
        <f t="shared" si="3"/>
        <v>8.2107872783308954E-3</v>
      </c>
      <c r="G21" s="16">
        <f>SUMIFS(Table5[Total Revenue],Table5[month Key],'Volume Vs Price Diagnostic'!A21)</f>
        <v>2776038</v>
      </c>
      <c r="H21" s="30">
        <f t="shared" si="1"/>
        <v>0.14362859225990429</v>
      </c>
      <c r="I21" s="30">
        <f t="shared" si="4"/>
        <v>-1.8180172339811451E-3</v>
      </c>
      <c r="J21" t="str">
        <f t="shared" si="5"/>
        <v>Volume- &amp; Price-led growth</v>
      </c>
    </row>
    <row r="22" spans="1:10" x14ac:dyDescent="0.25">
      <c r="A22" t="str">
        <f>Calender!A25</f>
        <v>2024-09</v>
      </c>
      <c r="B22">
        <f>SUMIFS(Table5[Units Sold],Table5[month Key],'Volume Vs Price Diagnostic'!A22)</f>
        <v>101190</v>
      </c>
      <c r="C22" s="30">
        <f t="shared" si="2"/>
        <v>4.4541935483870969E-2</v>
      </c>
      <c r="D22" s="16">
        <f>'Revenue Trend Report'!B25</f>
        <v>2373028.5599999991</v>
      </c>
      <c r="E22" s="15">
        <f t="shared" si="0"/>
        <v>23.451216128075888</v>
      </c>
      <c r="F22" s="30">
        <f t="shared" si="3"/>
        <v>-4.4370562933046573E-2</v>
      </c>
      <c r="G22" s="16">
        <f>SUMIFS(Table5[Total Revenue],Table5[month Key],'Volume Vs Price Diagnostic'!A22)</f>
        <v>2777840</v>
      </c>
      <c r="H22" s="30">
        <f t="shared" si="1"/>
        <v>0.14572885407366906</v>
      </c>
      <c r="I22" s="30">
        <f t="shared" si="4"/>
        <v>2.1002618137647699E-3</v>
      </c>
      <c r="J22" t="str">
        <f t="shared" si="5"/>
        <v>Volume-led growth (price/mix a drag)</v>
      </c>
    </row>
    <row r="23" spans="1:10" x14ac:dyDescent="0.25">
      <c r="A23" t="str">
        <f>Calender!A26</f>
        <v>2024-10</v>
      </c>
      <c r="B23">
        <f>SUMIFS(Table5[Units Sold],Table5[month Key],'Volume Vs Price Diagnostic'!A23)</f>
        <v>101463</v>
      </c>
      <c r="C23" s="30">
        <f t="shared" si="2"/>
        <v>2.6978950489178772E-3</v>
      </c>
      <c r="D23" s="16">
        <f>'Revenue Trend Report'!B26</f>
        <v>2437406.1600000006</v>
      </c>
      <c r="E23" s="15">
        <f t="shared" si="0"/>
        <v>24.022610803938388</v>
      </c>
      <c r="F23" s="30">
        <f t="shared" si="3"/>
        <v>2.4365247104538173E-2</v>
      </c>
      <c r="G23" s="16">
        <f>SUMIFS(Table5[Total Revenue],Table5[month Key],'Volume Vs Price Diagnostic'!A23)</f>
        <v>2849706</v>
      </c>
      <c r="H23" s="30">
        <f t="shared" si="1"/>
        <v>0.14468153556893215</v>
      </c>
      <c r="I23" s="30">
        <f t="shared" si="4"/>
        <v>-1.0473185047369105E-3</v>
      </c>
      <c r="J23" t="str">
        <f t="shared" si="5"/>
        <v>Volume- &amp; Price-led growth</v>
      </c>
    </row>
    <row r="24" spans="1:10" x14ac:dyDescent="0.25">
      <c r="A24" t="str">
        <f>Calender!A27</f>
        <v>2024-11</v>
      </c>
      <c r="B24">
        <f>SUMIFS(Table5[Units Sold],Table5[month Key],'Volume Vs Price Diagnostic'!A24)</f>
        <v>101676</v>
      </c>
      <c r="C24" s="30">
        <f t="shared" si="2"/>
        <v>2.09928742497265E-3</v>
      </c>
      <c r="D24" s="16">
        <f>'Revenue Trend Report'!B27</f>
        <v>2538509.6299999994</v>
      </c>
      <c r="E24" s="15">
        <f t="shared" si="0"/>
        <v>24.966655159526333</v>
      </c>
      <c r="F24" s="30">
        <f t="shared" si="3"/>
        <v>3.9298158026735933E-2</v>
      </c>
      <c r="G24" s="16">
        <f>SUMIFS(Table5[Total Revenue],Table5[month Key],'Volume Vs Price Diagnostic'!A24)</f>
        <v>2968013</v>
      </c>
      <c r="H24" s="30">
        <f t="shared" si="1"/>
        <v>0.14471074419148452</v>
      </c>
      <c r="I24" s="30">
        <f t="shared" si="4"/>
        <v>2.9208622552373553E-5</v>
      </c>
      <c r="J24" t="str">
        <f t="shared" si="5"/>
        <v>Volume- &amp; Price-led growth</v>
      </c>
    </row>
    <row r="25" spans="1:10" x14ac:dyDescent="0.25">
      <c r="A25" t="str">
        <f>Calender!A28</f>
        <v>2024-12</v>
      </c>
      <c r="B25">
        <f>SUMIFS(Table5[Units Sold],Table5[month Key],'Volume Vs Price Diagnostic'!A25)</f>
        <v>99874</v>
      </c>
      <c r="C25" s="30">
        <f t="shared" si="2"/>
        <v>-1.7722963137810299E-2</v>
      </c>
      <c r="D25" s="16">
        <f>'Revenue Trend Report'!B28</f>
        <v>2455424.96</v>
      </c>
      <c r="E25" s="15">
        <f t="shared" si="0"/>
        <v>24.585226986002361</v>
      </c>
      <c r="F25" s="30">
        <f t="shared" si="3"/>
        <v>-1.5277503978278531E-2</v>
      </c>
      <c r="G25" s="16">
        <f>SUMIFS(Table5[Total Revenue],Table5[month Key],'Volume Vs Price Diagnostic'!A25)</f>
        <v>2877834</v>
      </c>
      <c r="H25" s="30">
        <f t="shared" si="1"/>
        <v>0.14678019649500285</v>
      </c>
      <c r="I25" s="30">
        <f t="shared" si="4"/>
        <v>2.069452303518321E-3</v>
      </c>
      <c r="J25" t="str">
        <f t="shared" si="5"/>
        <v>Broad decline (volume &amp; price/mix both down)</v>
      </c>
    </row>
    <row r="26" spans="1:10" x14ac:dyDescent="0.25">
      <c r="C26" s="30">
        <f>AVERAGE(C2:C25)</f>
        <v>5.9944521635227439E-3</v>
      </c>
      <c r="F26" s="30">
        <f>AVERAGE(F2:F25)</f>
        <v>-2.2207553850946637E-3</v>
      </c>
      <c r="J26" t="str">
        <f t="shared" si="5"/>
        <v>Volume-led growth (price/mix a drag)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4844-0065-41C1-AE91-B537BFD73024}">
  <dimension ref="A1:E28"/>
  <sheetViews>
    <sheetView workbookViewId="0">
      <selection activeCell="A5" sqref="A5"/>
    </sheetView>
  </sheetViews>
  <sheetFormatPr defaultRowHeight="15" x14ac:dyDescent="0.25"/>
  <cols>
    <col min="2" max="2" width="10.7109375" bestFit="1" customWidth="1"/>
    <col min="4" max="4" width="10.85546875" bestFit="1" customWidth="1"/>
  </cols>
  <sheetData>
    <row r="1" spans="1:5" ht="20.25" x14ac:dyDescent="0.3">
      <c r="A1" s="23" t="s">
        <v>1282</v>
      </c>
    </row>
    <row r="4" spans="1:5" ht="28.5" x14ac:dyDescent="0.25">
      <c r="A4" s="24" t="s">
        <v>1283</v>
      </c>
      <c r="B4" s="24" t="s">
        <v>1284</v>
      </c>
      <c r="C4" s="24" t="s">
        <v>1285</v>
      </c>
      <c r="D4" s="24" t="s">
        <v>1286</v>
      </c>
      <c r="E4" s="24" t="s">
        <v>1287</v>
      </c>
    </row>
    <row r="5" spans="1:5" x14ac:dyDescent="0.25">
      <c r="A5" t="s">
        <v>1183</v>
      </c>
      <c r="B5" s="18">
        <f>DATE(2023,1,1)</f>
        <v>44927</v>
      </c>
      <c r="C5">
        <f>YEAR(B5)</f>
        <v>2023</v>
      </c>
      <c r="D5" t="str">
        <f>TEXT(B5,"mmmm" )</f>
        <v>January</v>
      </c>
      <c r="E5">
        <f>MONTH(B5)</f>
        <v>1</v>
      </c>
    </row>
    <row r="6" spans="1:5" x14ac:dyDescent="0.25">
      <c r="A6" t="s">
        <v>1186</v>
      </c>
      <c r="B6" s="18">
        <f>DATE(2023,2,1)</f>
        <v>44958</v>
      </c>
      <c r="C6">
        <f t="shared" ref="C6:C28" si="0">YEAR(B6)</f>
        <v>2023</v>
      </c>
      <c r="D6" t="str">
        <f t="shared" ref="D6:D28" si="1">TEXT(B6,"mmmm" )</f>
        <v>February</v>
      </c>
      <c r="E6">
        <f t="shared" ref="E6:E28" si="2">MONTH(B6)</f>
        <v>2</v>
      </c>
    </row>
    <row r="7" spans="1:5" x14ac:dyDescent="0.25">
      <c r="A7" t="s">
        <v>1189</v>
      </c>
      <c r="B7" s="18">
        <f>DATE(2023,3,1)</f>
        <v>44986</v>
      </c>
      <c r="C7">
        <f t="shared" si="0"/>
        <v>2023</v>
      </c>
      <c r="D7" t="str">
        <f t="shared" si="1"/>
        <v>March</v>
      </c>
      <c r="E7">
        <f t="shared" si="2"/>
        <v>3</v>
      </c>
    </row>
    <row r="8" spans="1:5" x14ac:dyDescent="0.25">
      <c r="A8" t="s">
        <v>1191</v>
      </c>
      <c r="B8" s="18">
        <f>DATE(2023,4,1)</f>
        <v>45017</v>
      </c>
      <c r="C8">
        <f t="shared" si="0"/>
        <v>2023</v>
      </c>
      <c r="D8" t="str">
        <f t="shared" si="1"/>
        <v>April</v>
      </c>
      <c r="E8">
        <f t="shared" si="2"/>
        <v>4</v>
      </c>
    </row>
    <row r="9" spans="1:5" x14ac:dyDescent="0.25">
      <c r="A9" t="s">
        <v>1194</v>
      </c>
      <c r="B9" s="18">
        <f>DATE(2023,5,1)</f>
        <v>45047</v>
      </c>
      <c r="C9">
        <f t="shared" si="0"/>
        <v>2023</v>
      </c>
      <c r="D9" t="str">
        <f t="shared" si="1"/>
        <v>May</v>
      </c>
      <c r="E9">
        <f t="shared" si="2"/>
        <v>5</v>
      </c>
    </row>
    <row r="10" spans="1:5" x14ac:dyDescent="0.25">
      <c r="A10" t="s">
        <v>1196</v>
      </c>
      <c r="B10" s="18">
        <f>DATE(2023,6,1)</f>
        <v>45078</v>
      </c>
      <c r="C10">
        <f t="shared" si="0"/>
        <v>2023</v>
      </c>
      <c r="D10" t="str">
        <f t="shared" si="1"/>
        <v>June</v>
      </c>
      <c r="E10">
        <f t="shared" si="2"/>
        <v>6</v>
      </c>
    </row>
    <row r="11" spans="1:5" x14ac:dyDescent="0.25">
      <c r="A11" t="s">
        <v>1199</v>
      </c>
      <c r="B11" s="18">
        <f>DATE(2023,7,1)</f>
        <v>45108</v>
      </c>
      <c r="C11">
        <f t="shared" si="0"/>
        <v>2023</v>
      </c>
      <c r="D11" t="str">
        <f t="shared" si="1"/>
        <v>July</v>
      </c>
      <c r="E11">
        <f t="shared" si="2"/>
        <v>7</v>
      </c>
    </row>
    <row r="12" spans="1:5" x14ac:dyDescent="0.25">
      <c r="A12" t="s">
        <v>1202</v>
      </c>
      <c r="B12" s="18">
        <f>DATE(2023,8,1)</f>
        <v>45139</v>
      </c>
      <c r="C12">
        <f t="shared" si="0"/>
        <v>2023</v>
      </c>
      <c r="D12" t="str">
        <f t="shared" si="1"/>
        <v>August</v>
      </c>
      <c r="E12">
        <f t="shared" si="2"/>
        <v>8</v>
      </c>
    </row>
    <row r="13" spans="1:5" x14ac:dyDescent="0.25">
      <c r="A13" t="s">
        <v>1204</v>
      </c>
      <c r="B13" s="18">
        <f>DATE(2023,9,1)</f>
        <v>45170</v>
      </c>
      <c r="C13">
        <f t="shared" si="0"/>
        <v>2023</v>
      </c>
      <c r="D13" t="str">
        <f t="shared" si="1"/>
        <v>September</v>
      </c>
      <c r="E13">
        <f t="shared" si="2"/>
        <v>9</v>
      </c>
    </row>
    <row r="14" spans="1:5" x14ac:dyDescent="0.25">
      <c r="A14" t="s">
        <v>1206</v>
      </c>
      <c r="B14" s="18">
        <f>DATE(2023,10,1)</f>
        <v>45200</v>
      </c>
      <c r="C14">
        <f t="shared" si="0"/>
        <v>2023</v>
      </c>
      <c r="D14" t="str">
        <f t="shared" si="1"/>
        <v>October</v>
      </c>
      <c r="E14">
        <f t="shared" si="2"/>
        <v>10</v>
      </c>
    </row>
    <row r="15" spans="1:5" x14ac:dyDescent="0.25">
      <c r="A15" t="s">
        <v>1208</v>
      </c>
      <c r="B15" s="18">
        <f>DATE(2023,11,1)</f>
        <v>45231</v>
      </c>
      <c r="C15">
        <f t="shared" si="0"/>
        <v>2023</v>
      </c>
      <c r="D15" t="str">
        <f t="shared" si="1"/>
        <v>November</v>
      </c>
      <c r="E15">
        <f t="shared" si="2"/>
        <v>11</v>
      </c>
    </row>
    <row r="16" spans="1:5" x14ac:dyDescent="0.25">
      <c r="A16" t="s">
        <v>1210</v>
      </c>
      <c r="B16" s="18">
        <f>DATE(2023,12,1)</f>
        <v>45261</v>
      </c>
      <c r="C16">
        <f t="shared" si="0"/>
        <v>2023</v>
      </c>
      <c r="D16" t="str">
        <f t="shared" si="1"/>
        <v>December</v>
      </c>
      <c r="E16">
        <f t="shared" si="2"/>
        <v>12</v>
      </c>
    </row>
    <row r="17" spans="1:5" x14ac:dyDescent="0.25">
      <c r="A17" t="s">
        <v>1212</v>
      </c>
      <c r="B17" s="18">
        <f>DATE(2024,1,1)</f>
        <v>45292</v>
      </c>
      <c r="C17">
        <f t="shared" si="0"/>
        <v>2024</v>
      </c>
      <c r="D17" t="str">
        <f>TEXT(B17,"mmmm" )</f>
        <v>January</v>
      </c>
      <c r="E17">
        <f t="shared" si="2"/>
        <v>1</v>
      </c>
    </row>
    <row r="18" spans="1:5" x14ac:dyDescent="0.25">
      <c r="A18" t="s">
        <v>1214</v>
      </c>
      <c r="B18" s="18">
        <f>DATE(2024,2,1)</f>
        <v>45323</v>
      </c>
      <c r="C18">
        <f t="shared" si="0"/>
        <v>2024</v>
      </c>
      <c r="D18" t="str">
        <f t="shared" si="1"/>
        <v>February</v>
      </c>
      <c r="E18">
        <f t="shared" si="2"/>
        <v>2</v>
      </c>
    </row>
    <row r="19" spans="1:5" x14ac:dyDescent="0.25">
      <c r="A19" t="s">
        <v>1216</v>
      </c>
      <c r="B19" s="18">
        <f>DATE(2024,3,1)</f>
        <v>45352</v>
      </c>
      <c r="C19">
        <f t="shared" si="0"/>
        <v>2024</v>
      </c>
      <c r="D19" t="str">
        <f t="shared" si="1"/>
        <v>March</v>
      </c>
      <c r="E19">
        <f t="shared" si="2"/>
        <v>3</v>
      </c>
    </row>
    <row r="20" spans="1:5" x14ac:dyDescent="0.25">
      <c r="A20" t="s">
        <v>1218</v>
      </c>
      <c r="B20" s="18">
        <f>DATE(2024,4,1)</f>
        <v>45383</v>
      </c>
      <c r="C20">
        <f t="shared" si="0"/>
        <v>2024</v>
      </c>
      <c r="D20" t="str">
        <f t="shared" si="1"/>
        <v>April</v>
      </c>
      <c r="E20">
        <f t="shared" si="2"/>
        <v>4</v>
      </c>
    </row>
    <row r="21" spans="1:5" x14ac:dyDescent="0.25">
      <c r="A21" t="s">
        <v>1220</v>
      </c>
      <c r="B21" s="18">
        <f>DATE(2024,5,1)</f>
        <v>45413</v>
      </c>
      <c r="C21">
        <f t="shared" si="0"/>
        <v>2024</v>
      </c>
      <c r="D21" t="str">
        <f t="shared" si="1"/>
        <v>May</v>
      </c>
      <c r="E21">
        <f t="shared" si="2"/>
        <v>5</v>
      </c>
    </row>
    <row r="22" spans="1:5" x14ac:dyDescent="0.25">
      <c r="A22" t="s">
        <v>1222</v>
      </c>
      <c r="B22" s="18">
        <f>DATE(2024,6,1)</f>
        <v>45444</v>
      </c>
      <c r="C22">
        <f t="shared" si="0"/>
        <v>2024</v>
      </c>
      <c r="D22" t="str">
        <f>TEXT(B22,"mmmm" )</f>
        <v>June</v>
      </c>
      <c r="E22">
        <f t="shared" si="2"/>
        <v>6</v>
      </c>
    </row>
    <row r="23" spans="1:5" x14ac:dyDescent="0.25">
      <c r="A23" t="s">
        <v>1224</v>
      </c>
      <c r="B23" s="18">
        <f>DATE(2024,7,1)</f>
        <v>45474</v>
      </c>
      <c r="C23">
        <f t="shared" si="0"/>
        <v>2024</v>
      </c>
      <c r="D23" t="str">
        <f t="shared" si="1"/>
        <v>July</v>
      </c>
      <c r="E23">
        <f t="shared" si="2"/>
        <v>7</v>
      </c>
    </row>
    <row r="24" spans="1:5" x14ac:dyDescent="0.25">
      <c r="A24" t="s">
        <v>1226</v>
      </c>
      <c r="B24" s="18">
        <f>DATE(2024,8,1)</f>
        <v>45505</v>
      </c>
      <c r="C24">
        <f t="shared" si="0"/>
        <v>2024</v>
      </c>
      <c r="D24" t="str">
        <f t="shared" si="1"/>
        <v>August</v>
      </c>
      <c r="E24">
        <f t="shared" si="2"/>
        <v>8</v>
      </c>
    </row>
    <row r="25" spans="1:5" x14ac:dyDescent="0.25">
      <c r="A25" t="s">
        <v>1228</v>
      </c>
      <c r="B25" s="18">
        <f>DATE(2024,9,1)</f>
        <v>45536</v>
      </c>
      <c r="C25">
        <f t="shared" si="0"/>
        <v>2024</v>
      </c>
      <c r="D25" t="str">
        <f t="shared" si="1"/>
        <v>September</v>
      </c>
      <c r="E25">
        <f t="shared" si="2"/>
        <v>9</v>
      </c>
    </row>
    <row r="26" spans="1:5" x14ac:dyDescent="0.25">
      <c r="A26" t="s">
        <v>1230</v>
      </c>
      <c r="B26" s="18">
        <f>DATE(2024,10,1)</f>
        <v>45566</v>
      </c>
      <c r="C26">
        <f t="shared" si="0"/>
        <v>2024</v>
      </c>
      <c r="D26" t="str">
        <f t="shared" si="1"/>
        <v>October</v>
      </c>
      <c r="E26">
        <f t="shared" si="2"/>
        <v>10</v>
      </c>
    </row>
    <row r="27" spans="1:5" x14ac:dyDescent="0.25">
      <c r="A27" t="s">
        <v>1232</v>
      </c>
      <c r="B27" s="18">
        <f>DATE(2024,11,1)</f>
        <v>45597</v>
      </c>
      <c r="C27">
        <f t="shared" si="0"/>
        <v>2024</v>
      </c>
      <c r="D27" t="str">
        <f t="shared" si="1"/>
        <v>November</v>
      </c>
      <c r="E27">
        <f t="shared" si="2"/>
        <v>11</v>
      </c>
    </row>
    <row r="28" spans="1:5" x14ac:dyDescent="0.25">
      <c r="A28" t="s">
        <v>1234</v>
      </c>
      <c r="B28" s="18">
        <f>DATE(2024,12,1)</f>
        <v>45627</v>
      </c>
      <c r="C28">
        <f t="shared" si="0"/>
        <v>2024</v>
      </c>
      <c r="D28" t="str">
        <f t="shared" si="1"/>
        <v>December</v>
      </c>
      <c r="E28">
        <f t="shared" si="2"/>
        <v>12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Product Master</vt:lpstr>
      <vt:lpstr>Store Information</vt:lpstr>
      <vt:lpstr>Product mix Analysis</vt:lpstr>
      <vt:lpstr>Sales Transaction(clean)</vt:lpstr>
      <vt:lpstr>Store Analysis</vt:lpstr>
      <vt:lpstr>OPEX Analysis</vt:lpstr>
      <vt:lpstr>Operating Expenses(clean)</vt:lpstr>
      <vt:lpstr>Marketing Campaign_Data</vt:lpstr>
      <vt:lpstr>KPI Directory</vt:lpstr>
      <vt:lpstr>Revenue Trend Report</vt:lpstr>
      <vt:lpstr>Margin compression Analysis</vt:lpstr>
      <vt:lpstr>Variance Analysis</vt:lpstr>
      <vt:lpstr>Volume Vs Price Diagnostic</vt:lpstr>
      <vt:lpstr>Calender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Hauwa Muhammed</cp:lastModifiedBy>
  <dcterms:created xsi:type="dcterms:W3CDTF">2026-02-14T17:18:12Z</dcterms:created>
  <dcterms:modified xsi:type="dcterms:W3CDTF">2026-09-01T20:15:50Z</dcterms:modified>
</cp:coreProperties>
</file>