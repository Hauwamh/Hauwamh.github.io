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tyles.xml" ContentType="application/vnd.openxmlformats-officedocument.spreadsheetml.styles+xml"/>
  <Override PartName="/xl/worksheets/_rels/sheet23.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_rels/pivotCacheDefinition3.xml.rels" ContentType="application/vnd.openxmlformats-package.relationships+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2"/>
  </bookViews>
  <sheets>
    <sheet name="Student Headcount" sheetId="1" state="visible" r:id="rId3"/>
    <sheet name="Student Flow Summary" sheetId="2" state="visible" r:id="rId4"/>
    <sheet name="Tuition Fee Rates" sheetId="3" state="visible" r:id="rId5"/>
    <sheet name="Income" sheetId="4" state="visible" r:id="rId6"/>
    <sheet name="Staff Costs" sheetId="5" state="visible" r:id="rId7"/>
    <sheet name="Operating Expenditure" sheetId="6" state="visible" r:id="rId8"/>
    <sheet name="Income Statement" sheetId="7" state="visible" r:id="rId9"/>
    <sheet name="Cash Position" sheetId="8" state="visible" r:id="rId10"/>
    <sheet name="Historical performance" sheetId="9" state="visible" r:id="rId11"/>
    <sheet name="Historical KPI Summary" sheetId="10" state="visible" r:id="rId12"/>
    <sheet name="Scenario Assumptions" sheetId="11" state="visible" r:id="rId13"/>
    <sheet name="Forecast Assumptions" sheetId="12" state="visible" r:id="rId14"/>
    <sheet name="Population Forecast" sheetId="13" state="visible" r:id="rId15"/>
    <sheet name="Income Forecast" sheetId="14" state="visible" r:id="rId16"/>
    <sheet name="Staff Cost Forecast" sheetId="15" state="visible" r:id="rId17"/>
    <sheet name="Opex Forecast" sheetId="16" state="visible" r:id="rId18"/>
    <sheet name="Forecast Income Statement" sheetId="17" state="visible" r:id="rId19"/>
    <sheet name="Cash Flow Forecast" sheetId="18" state="visible" r:id="rId20"/>
    <sheet name="Scenario Comparison" sheetId="19" state="visible" r:id="rId21"/>
    <sheet name="Recruitment Break-Even" sheetId="20" state="visible" r:id="rId22"/>
    <sheet name="Sustainability Ratios" sheetId="21" state="visible" r:id="rId23"/>
    <sheet name="Forecast Summary" sheetId="22" state="visible" r:id="rId24"/>
    <sheet name="Executive Dashboard" sheetId="23" state="visible" r:id="rId25"/>
    <sheet name="Sheet3" sheetId="24" state="visible" r:id="rId26"/>
    <sheet name="Sheet2" sheetId="25" state="visible" r:id="rId27"/>
  </sheets>
  <calcPr iterateCount="100" refMode="A1" iterate="false" iterateDelta="0.0001"/>
  <pivotCaches>
    <pivotCache cacheId="1" r:id="rId29"/>
    <pivotCache cacheId="2" r:id="rId30"/>
    <pivotCache cacheId="3" r:id="rId31"/>
  </pivotCaches>
  <extLst>
    <ext xmlns:loext="http://schemas.libreoffice.org/" uri="{7626C862-2A13-11E5-B345-FEFF819CDC9F}">
      <loext:extCalcPr stringRefSyntax="ExcelA1"/>
    </ext>
  </extLst>
</workbook>
</file>

<file path=xl/sharedStrings.xml><?xml version="1.0" encoding="utf-8"?>
<sst xmlns="http://schemas.openxmlformats.org/spreadsheetml/2006/main" count="1402" uniqueCount="401">
  <si>
    <t xml:space="preserve">Vector University: Historical Student Headcount (Monthly Actuals)</t>
  </si>
  <si>
    <t xml:space="preserve">Month</t>
  </si>
  <si>
    <t xml:space="preserve">FY</t>
  </si>
  <si>
    <t xml:space="preserve">UK Undergraduate</t>
  </si>
  <si>
    <t xml:space="preserve">MOM Changes</t>
  </si>
  <si>
    <t xml:space="preserve">International Undergraduate</t>
  </si>
  <si>
    <t xml:space="preserve">UK Postgraduate</t>
  </si>
  <si>
    <t xml:space="preserve">International Postgraduate</t>
  </si>
  <si>
    <t xml:space="preserve">Postgraduate Research (PGR)</t>
  </si>
  <si>
    <t xml:space="preserve">Total Students</t>
  </si>
  <si>
    <t xml:space="preserve">FY23/24</t>
  </si>
  <si>
    <t xml:space="preserve">FY24/25</t>
  </si>
  <si>
    <t xml:space="preserve">FY25/26</t>
  </si>
  <si>
    <t xml:space="preserve">Average</t>
  </si>
  <si>
    <t xml:space="preserve">Vector University — Annual Student Flow Summary</t>
  </si>
  <si>
    <t xml:space="preserve">Category</t>
  </si>
  <si>
    <t xml:space="preserve">Opening Population</t>
  </si>
  <si>
    <t xml:space="preserve">New Enrolments</t>
  </si>
  <si>
    <t xml:space="preserve">Withdrawals</t>
  </si>
  <si>
    <t xml:space="preserve">Graduates / Completions</t>
  </si>
  <si>
    <t xml:space="preserve">Closing Population</t>
  </si>
  <si>
    <t xml:space="preserve">Retention Rate %</t>
  </si>
  <si>
    <t xml:space="preserve">Vector University — Tuition Fee Rates</t>
  </si>
  <si>
    <t xml:space="preserve">Approved annual tuition fee per student (£), by category and financial year.</t>
  </si>
  <si>
    <t xml:space="preserve">Student Category</t>
  </si>
  <si>
    <t xml:space="preserve">Vector University — Income (Monthly Actuals)</t>
  </si>
  <si>
    <t xml:space="preserve">UK Undergraduate Tuition</t>
  </si>
  <si>
    <t xml:space="preserve">International Undergraduate Tuition</t>
  </si>
  <si>
    <t xml:space="preserve">UK Postgraduate Tuition</t>
  </si>
  <si>
    <t xml:space="preserve">International Postgraduate Tuition</t>
  </si>
  <si>
    <t xml:space="preserve">Postgraduate Research (PGR) Tuition</t>
  </si>
  <si>
    <t xml:space="preserve">Research Grants &amp; Contracts</t>
  </si>
  <si>
    <t xml:space="preserve">Government &amp; Funding Body Grants</t>
  </si>
  <si>
    <t xml:space="preserve">Student Accommodation Income</t>
  </si>
  <si>
    <t xml:space="preserve">Commercial &amp; Professional Services</t>
  </si>
  <si>
    <t xml:space="preserve">Other Operating Income</t>
  </si>
  <si>
    <t xml:space="preserve">Total Income</t>
  </si>
  <si>
    <t xml:space="preserve">FY Total (all 3 years)</t>
  </si>
  <si>
    <t xml:space="preserve">NOTE</t>
  </si>
  <si>
    <t xml:space="preserve">Tuition income = Student Headcount x Tuition Fee Rate / 12 . Other income lines are actuals. All figures in £.</t>
  </si>
  <si>
    <t xml:space="preserve">Vector University — Staff Costs &amp; Workforce (Monthly Actuals)</t>
  </si>
  <si>
    <t xml:space="preserve">Academic Staff Costs</t>
  </si>
  <si>
    <t xml:space="preserve">Professional Services Staff Costs</t>
  </si>
  <si>
    <t xml:space="preserve">Total Staff Costs</t>
  </si>
  <si>
    <t xml:space="preserve">Academic FTE</t>
  </si>
  <si>
    <t xml:space="preserve">Professional Services FTE</t>
  </si>
  <si>
    <t xml:space="preserve">Vector University — Operating Expenditure (Monthly Actuals)</t>
  </si>
  <si>
    <t xml:space="preserve">Utilities</t>
  </si>
  <si>
    <t xml:space="preserve">Utilities MOM%</t>
  </si>
  <si>
    <t xml:space="preserve">IT &amp; Digital Services</t>
  </si>
  <si>
    <t xml:space="preserve">IT MOM%</t>
  </si>
  <si>
    <t xml:space="preserve">Estates &amp; Maintenance</t>
  </si>
  <si>
    <t xml:space="preserve">Estate&amp;m MOM%</t>
  </si>
  <si>
    <t xml:space="preserve">Student Services</t>
  </si>
  <si>
    <t xml:space="preserve">Student s MOM%</t>
  </si>
  <si>
    <t xml:space="preserve">Marketing &amp; Recruitment</t>
  </si>
  <si>
    <t xml:space="preserve">Marketing &amp; Recruitment MOM%</t>
  </si>
  <si>
    <t xml:space="preserve">Professional Fees</t>
  </si>
  <si>
    <t xml:space="preserve">Professional fees MOM%</t>
  </si>
  <si>
    <t xml:space="preserve">Administration</t>
  </si>
  <si>
    <t xml:space="preserve">Admin Fees MOM%</t>
  </si>
  <si>
    <t xml:space="preserve">Other Operating Expenditure</t>
  </si>
  <si>
    <t xml:space="preserve">other operating Expenditure MOM%</t>
  </si>
  <si>
    <t xml:space="preserve">Total Operating Expenditure</t>
  </si>
  <si>
    <t xml:space="preserve">Vector University — Forecast Income Statement (Monthly Summary)</t>
  </si>
  <si>
    <t xml:space="preserve">Operating Surplus / (Deficit)</t>
  </si>
  <si>
    <t xml:space="preserve">Operating Margin %</t>
  </si>
  <si>
    <t xml:space="preserve">Annual Summary (£)</t>
  </si>
  <si>
    <t xml:space="preserve">YOY Income</t>
  </si>
  <si>
    <t xml:space="preserve">Vector University — Cash Position (Monthly)</t>
  </si>
  <si>
    <t xml:space="preserve">Opening Cash</t>
  </si>
  <si>
    <t xml:space="preserve">Capital Expenditure</t>
  </si>
  <si>
    <t xml:space="preserve">Closing Cash</t>
  </si>
  <si>
    <t xml:space="preserve">Vector University — Historical Performance Analysis</t>
  </si>
  <si>
    <t xml:space="preserve"> Total Expenditure</t>
  </si>
  <si>
    <t xml:space="preserve">Sum of Total Operating Expenditure</t>
  </si>
  <si>
    <t xml:space="preserve">YOY</t>
  </si>
  <si>
    <t xml:space="preserve">-</t>
  </si>
  <si>
    <t xml:space="preserve">Total Result</t>
  </si>
  <si>
    <t xml:space="preserve">Breakdown of Total Operating Expenditure 1</t>
  </si>
  <si>
    <t xml:space="preserve">Data</t>
  </si>
  <si>
    <t xml:space="preserve">Utilities yoy %</t>
  </si>
  <si>
    <t xml:space="preserve">IT and digital services YOY %</t>
  </si>
  <si>
    <t xml:space="preserve">Estate and maintenance YOY%</t>
  </si>
  <si>
    <t xml:space="preserve">Sum of Utilities</t>
  </si>
  <si>
    <t xml:space="preserve">Sum of IT &amp; Digital Services</t>
  </si>
  <si>
    <t xml:space="preserve">Sum of Estates &amp; Maintenance</t>
  </si>
  <si>
    <t xml:space="preserve">Breakdown of Total Operating Expenditure 2</t>
  </si>
  <si>
    <t xml:space="preserve">Student Services yoy %</t>
  </si>
  <si>
    <t xml:space="preserve">Marketing&amp;Recruitment YOY %</t>
  </si>
  <si>
    <t xml:space="preserve">Professional Fees YOY%</t>
  </si>
  <si>
    <t xml:space="preserve">Admin Fees YOY%</t>
  </si>
  <si>
    <t xml:space="preserve">Other OperatingExpenses YOY%</t>
  </si>
  <si>
    <t xml:space="preserve">Sum of Student Services</t>
  </si>
  <si>
    <t xml:space="preserve">Sum of Marketing &amp; Recruitment</t>
  </si>
  <si>
    <t xml:space="preserve">Sum of Professional Fees</t>
  </si>
  <si>
    <t xml:space="preserve">Sum of Administration</t>
  </si>
  <si>
    <t xml:space="preserve">Sum of Other Operating Expenditure</t>
  </si>
  <si>
    <t xml:space="preserve">Breakdown of Total income</t>
  </si>
  <si>
    <t xml:space="preserve">Sum of Total Income</t>
  </si>
  <si>
    <t xml:space="preserve">Sum of UK Undergraduate Tuition</t>
  </si>
  <si>
    <t xml:space="preserve">Sum of International Undergraduate Tuition</t>
  </si>
  <si>
    <t xml:space="preserve">Sum of UK Postgraduate Tuition</t>
  </si>
  <si>
    <t xml:space="preserve">Sum of International Postgraduate Tuition</t>
  </si>
  <si>
    <t xml:space="preserve">Sum of Postgraduate Research (PGR) Tuition</t>
  </si>
  <si>
    <t xml:space="preserve">Sum of Research Grants &amp; Contracts</t>
  </si>
  <si>
    <t xml:space="preserve">Sum of Government &amp; Funding Body Grants</t>
  </si>
  <si>
    <t xml:space="preserve">Sum of Student Accommodation Income</t>
  </si>
  <si>
    <t xml:space="preserve">Sum of Commercial &amp; Professional Services</t>
  </si>
  <si>
    <t xml:space="preserve">Sum of Other Operating Income</t>
  </si>
  <si>
    <t xml:space="preserve">Vector University — Historical KPI Summary &amp; Corrected Analysis (FY23/24 – FY25/26)</t>
  </si>
  <si>
    <t xml:space="preserve">Corrects and extends the Day 2 historical review: annual KPI trend, tuition income ranking, and international recruitment dependency.</t>
  </si>
  <si>
    <t xml:space="preserve">A. Annual Financial KPI Trend</t>
  </si>
  <si>
    <t xml:space="preserve">Total Income (£)</t>
  </si>
  <si>
    <t xml:space="preserve">Income YoY %</t>
  </si>
  <si>
    <t xml:space="preserve">Total Staff Costs (£)</t>
  </si>
  <si>
    <t xml:space="preserve">Staff Cost YoY %</t>
  </si>
  <si>
    <t xml:space="preserve">Total Operating Expenditure (£)</t>
  </si>
  <si>
    <t xml:space="preserve">Opex YoY %</t>
  </si>
  <si>
    <t xml:space="preserve">Operating Surplus / (Deficit) (£)</t>
  </si>
  <si>
    <t xml:space="preserve">n/a (no FY22/23 baseline)</t>
  </si>
  <si>
    <t xml:space="preserve">B. Key Findings (corrected per 15-Sep-2026 feedback)</t>
  </si>
  <si>
    <t xml:space="preserve">1. Income growth decelerated sharply from 6.7% in FY24/25 to just 1.5% in FY25/26 (after 6.3% growth the year before), while staff cost growth (5.3% → 4.9%) and operating cost growth (4.3% → 4.2%) continued at a broadly similar pace. Because staff costs and operating expenditure together represent c.90% of total costs and cannot be reduced as quickly as income can fall, a period of income deceleration compresses profitability disproportionately — exactly what the FY25/26 numbers show.</t>
  </si>
  <si>
    <t xml:space="preserve">2. Operating margin rose from 3.8% (FY23/24) to a peak of 5.3% (FY24/25), then fell sharply to 2.4% (FY25/26). In cash terms, operating surplus fell from £16.32m in FY24/25 to £7.39m in FY25/26 — a decline of approximately 54.7% in a single year. This is the single most important finding in the historical data and is an early warning indicator for financial sustainability if income growth does not recover.</t>
  </si>
  <si>
    <t xml:space="preserve">3. Correction: UK Undergraduate tuition, not International Postgraduate, is the University's largest individual tuition category — £82.69m in FY25/26 versus £51.25m for International Postgraduate. International Postgraduate is nonetheless the largest single INTERNATIONAL income stream and, combined with International Undergraduate (£40.92m), international tuition (£92.17m) represents c.42.9% of tuition income and c.29.6% of total University income — a material, though not majority, dependency (see Section D).</t>
  </si>
  <si>
    <t xml:space="preserve">C. Tuition Income by Category — FY25/26 (Ranked, Corrected)</t>
  </si>
  <si>
    <t xml:space="preserve">Rank</t>
  </si>
  <si>
    <t xml:space="preserve">FY25/26 Tuition Income (£)</t>
  </si>
  <si>
    <t xml:space="preserve">% of Total Tuition Income</t>
  </si>
  <si>
    <t xml:space="preserve">Total</t>
  </si>
  <si>
    <t xml:space="preserve">D. International Recruitment Dependency — FY25/26</t>
  </si>
  <si>
    <t xml:space="preserve">International Undergraduate tuition (£)</t>
  </si>
  <si>
    <t xml:space="preserve">International Postgraduate tuition (£)</t>
  </si>
  <si>
    <t xml:space="preserve">Total international tuition income (£)</t>
  </si>
  <si>
    <t xml:space="preserve">Total tuition income, all categories (£)</t>
  </si>
  <si>
    <t xml:space="preserve">International share of total tuition income (%)</t>
  </si>
  <si>
    <t xml:space="preserve">Total University income, FY25/26 (£)</t>
  </si>
  <si>
    <t xml:space="preserve">International tuition as % of total University income</t>
  </si>
  <si>
    <t xml:space="preserve">Sources: 'Income Statement' (annual summary, rows 45-47). Tuition income by category is summed directly from monthly actuals on the 'Income' tab via SUMIFS (not from the 'Historical performance' pivot tables, whose row positions shift whenever the pivot cache is refreshed). Staff Cost YoY % and Operating Expenditure YoY % are derived here (not present in the original Income Statement tab).</t>
  </si>
  <si>
    <t xml:space="preserve">Vector University — Scenario Assumptions (Base / Upside / Downside)</t>
  </si>
  <si>
    <t xml:space="preserve">Pick a scenario in the selector below and 'Forecast Assumptions' — and everything downstream (Population, Income, Staff Cost, Opex, Forecast Income Statement, Cash Flow) — recalculates for it. Base Case values are the original assumptions from the initial build; Upside and Downside are point-in-time adjustments (in percentage points) applied on top of them for the three tested levers.</t>
  </si>
  <si>
    <t xml:space="preserve">A. Scenario Selector</t>
  </si>
  <si>
    <t xml:space="preserve">Active Scenario:</t>
  </si>
  <si>
    <t xml:space="preserve">Base</t>
  </si>
  <si>
    <t xml:space="preserve">B. Scenario Adjustment Levers (percentage points, applied on top of Base)</t>
  </si>
  <si>
    <t xml:space="preserve">Lever</t>
  </si>
  <si>
    <t xml:space="preserve">Upside</t>
  </si>
  <si>
    <t xml:space="preserve">Downside</t>
  </si>
  <si>
    <t xml:space="preserve">Recruitment Growth Adjustment (applied to every category's Application Growth %, every year)</t>
  </si>
  <si>
    <t xml:space="preserve">Salary Inflation Adjustment (applied to Academic &amp; Professional Services Salary Inflation %, every year)</t>
  </si>
  <si>
    <t xml:space="preserve">Operating Cost Inflation Adjustment (applied to Utilities &amp; General Operating Cost Inflation %, every year)</t>
  </si>
  <si>
    <t xml:space="preserve">C. Selected Adjustment (driven by the Scenario Selector above)</t>
  </si>
  <si>
    <t xml:space="preserve">Selected Value</t>
  </si>
  <si>
    <t xml:space="preserve">D. Base Case Reference Values (original FY26/27–FY28/29 assumptions)</t>
  </si>
  <si>
    <t xml:space="preserve">Item</t>
  </si>
  <si>
    <t xml:space="preserve">FY26/27</t>
  </si>
  <si>
    <t xml:space="preserve">FY27/28</t>
  </si>
  <si>
    <t xml:space="preserve">FY28/29</t>
  </si>
  <si>
    <t xml:space="preserve">D1. Application Growth % by category</t>
  </si>
  <si>
    <t xml:space="preserve">D2. Salary Inflation % by staff group</t>
  </si>
  <si>
    <t xml:space="preserve">Academic</t>
  </si>
  <si>
    <t xml:space="preserve">Professional Services</t>
  </si>
  <si>
    <t xml:space="preserve">D3. Operating Cost Inflation % by line</t>
  </si>
  <si>
    <t xml:space="preserve">General (IT/Estates/Student Services/Marketing/Prof Fees/Admin/Other)</t>
  </si>
  <si>
    <t xml:space="preserve">Blue cells are the editable inputs. Section D holds the original Base Case numbers (now referenced by 'Forecast Assumptions' rather than typed there directly); Section B holds the Upside/Downside deltas; Section C shows which delta is currently active. Change the selector in Section A to switch the whole model.</t>
  </si>
  <si>
    <t xml:space="preserve">Vector University — Forecast Assumptions (FY26/27 – FY28/29)</t>
  </si>
  <si>
    <t xml:space="preserve">A. Student Recruitment Assumptions (by category)</t>
  </si>
  <si>
    <t xml:space="preserve">Assumption</t>
  </si>
  <si>
    <t xml:space="preserve">Application Growth %</t>
  </si>
  <si>
    <t xml:space="preserve">Offer Rate %</t>
  </si>
  <si>
    <t xml:space="preserve">Acceptance / Yield Rate %</t>
  </si>
  <si>
    <t xml:space="preserve">Annual Withdrawal Rate %</t>
  </si>
  <si>
    <t xml:space="preserve">Typical Course Length (Years)</t>
  </si>
  <si>
    <t xml:space="preserve">B. Tuition Fee Increase Assumptions (% YoY, by category)</t>
  </si>
  <si>
    <t xml:space="preserve">C. Other Income Growth Assumptions (% YoY, by income line)</t>
  </si>
  <si>
    <t xml:space="preserve">D. Staff Cost Assumptions (% YoY)</t>
  </si>
  <si>
    <t xml:space="preserve">Academic Salary Inflation %</t>
  </si>
  <si>
    <t xml:space="preserve">Professional Services Salary Inflation %</t>
  </si>
  <si>
    <t xml:space="preserve">Academic FTE Growth %</t>
  </si>
  <si>
    <t xml:space="preserve">Professional Services FTE Growth %</t>
  </si>
  <si>
    <t xml:space="preserve">E. Operating Cost Inflation Assumptions (% YoY)</t>
  </si>
  <si>
    <t xml:space="preserve">Utilities Inflation %</t>
  </si>
  <si>
    <t xml:space="preserve">General Operating Cost Inflation % (IT, Estates, Student Services, Marketing, Professional Fees, Admin, Other)</t>
  </si>
  <si>
    <t xml:space="preserve">F. Capital Expenditure &amp; Opening Cash</t>
  </si>
  <si>
    <t xml:space="preserve">Planned Capital Expenditure (£)</t>
  </si>
  <si>
    <t xml:space="preserve">Opening Cash Balance, 1-Aug-2026 (£)</t>
  </si>
  <si>
    <t xml:space="preserve">Vector University — 36-Month Student Population Forecast (FY26/27 – FY28/29)</t>
  </si>
  <si>
    <t xml:space="preserve">Methodology: Applications are back-solved from FY25/26 New Enrolments ÷ (Offer Rate × Yield Rate), then grown by each category's Application Growth % assumption; New Enrolments = Applications × Offer Rate × Yield Rate for that year. Monthly population = the forecast September (intake-month) population for that financial year, shaped by the category's FY25/26 monthly seasonal pattern — which is why Undergraduate and PGR populations stay relatively stable month to month while taught Postgraduate populations show the sharp September-intake, steady-decay pattern seen in the historical data.</t>
  </si>
  <si>
    <t xml:space="preserve">A. Annual New Enrolment &amp; Population Roll-Forward (FY26/27 – FY28/29)</t>
  </si>
  <si>
    <t xml:space="preserve">Applications</t>
  </si>
  <si>
    <t xml:space="preserve">Yield Rate %</t>
  </si>
  <si>
    <t xml:space="preserve">Withdrawal Rate %</t>
  </si>
  <si>
    <t xml:space="preserve">Graduates</t>
  </si>
  <si>
    <t xml:space="preserve">B. FY25/26 Monthly Seasonal Shape (index vs. September = 1.00)</t>
  </si>
  <si>
    <t xml:space="preserve">Aug</t>
  </si>
  <si>
    <t xml:space="preserve">Sep</t>
  </si>
  <si>
    <t xml:space="preserve">Oct</t>
  </si>
  <si>
    <t xml:space="preserve">Nov</t>
  </si>
  <si>
    <t xml:space="preserve">Dec</t>
  </si>
  <si>
    <t xml:space="preserve">Jan</t>
  </si>
  <si>
    <t xml:space="preserve">Feb</t>
  </si>
  <si>
    <t xml:space="preserve">Mar</t>
  </si>
  <si>
    <t xml:space="preserve">Apr</t>
  </si>
  <si>
    <t xml:space="preserve">May</t>
  </si>
  <si>
    <t xml:space="preserve">Jun</t>
  </si>
  <si>
    <t xml:space="preserve">Jul</t>
  </si>
  <si>
    <t xml:space="preserve">C. September Anchor Population Forecast, by Financial Year</t>
  </si>
  <si>
    <t xml:space="preserve">FY25/26 Actual (Sep)</t>
  </si>
  <si>
    <t xml:space="preserve">D. Monthly Student Population Forecast — 36 Months (Aug 2026 – Jul 2029)</t>
  </si>
  <si>
    <t xml:space="preserve">Note: Headcount is modelled as a rolling monthly balance (opening + new enrolments − withdrawals − graduates), profiled using the FY25/26 seasonal shape in Section B. Annual New Enrolment and Closing Population totals reconcile to Section A. All figures are students (headcount), not FTE.</t>
  </si>
  <si>
    <t xml:space="preserve">Vector University — 36-Month Income Forecast (FY26/27 – FY28/29)</t>
  </si>
  <si>
    <t xml:space="preserve">Methodology: Tuition income = forecast student headcount (from 'Population Forecast') × forecast annual tuition fee rate ÷ 12, consistent with the University's existing convention (see 'Income' tab note). Non-tuition income lines are grown from the same calendar month a year earlier using the YoY growth assumptions in 'Forecast Assumptions' Section C.</t>
  </si>
  <si>
    <t xml:space="preserve">A. Tuition Fee Rate Forecast (£ per student per year)</t>
  </si>
  <si>
    <t xml:space="preserve">FY25/26 Rate</t>
  </si>
  <si>
    <t xml:space="preserve">FY26/27 Increase %</t>
  </si>
  <si>
    <t xml:space="preserve">FY26/27 Rate</t>
  </si>
  <si>
    <t xml:space="preserve">FY27/28 Increase %</t>
  </si>
  <si>
    <t xml:space="preserve">FY27/28 Rate</t>
  </si>
  <si>
    <t xml:space="preserve">FY28/29 Increase %</t>
  </si>
  <si>
    <t xml:space="preserve">FY28/29 Rate</t>
  </si>
  <si>
    <t xml:space="preserve">B. Monthly Income Forecast — 36 Months (Aug 2026 – Jul 2029)</t>
  </si>
  <si>
    <t xml:space="preserve">UK UG Tuition</t>
  </si>
  <si>
    <t xml:space="preserve">Intl UG Tuition</t>
  </si>
  <si>
    <t xml:space="preserve">UK PG Tuition</t>
  </si>
  <si>
    <t xml:space="preserve">Intl PG Tuition</t>
  </si>
  <si>
    <t xml:space="preserve">PGR Tuition</t>
  </si>
  <si>
    <t xml:space="preserve">C. Annual Income Summary</t>
  </si>
  <si>
    <t xml:space="preserve">Total Tuition Income (£)</t>
  </si>
  <si>
    <t xml:space="preserve">Total Other Income (£)</t>
  </si>
  <si>
    <t xml:space="preserve">FY25/26 (actual)</t>
  </si>
  <si>
    <t xml:space="preserve">Sources: 'Population Forecast' (headcount), 'Tuition Fee Rates' &amp; 'Forecast Assumptions' Section B (fee increases), 'Income' &amp; 'Forecast Assumptions' Section C (other income growth). FY25/26 actual total income summed directly from 'Income' via SUMIFS for a clean YoY comparison.</t>
  </si>
  <si>
    <t xml:space="preserve">Vector University — 36-Month Staff Cost &amp; Workforce Forecast (FY26/27 – FY28/29)</t>
  </si>
  <si>
    <t xml:space="preserve">Methodology: Academic and Professional Services staff costs are grown from the same calendar month a year earlier by (1 + Salary Inflation %) × (1 + FTE Growth %) for that financial year, consistent with the combined effect of pay awards and headcount growth on the total pay bill. FTE is grown on the same basis for workforce planning reference.</t>
  </si>
  <si>
    <t xml:space="preserve">A. Annual Growth Assumptions &amp; FTE Forecast</t>
  </si>
  <si>
    <t xml:space="preserve">Staff Group</t>
  </si>
  <si>
    <t xml:space="preserve">FY26/27 Salary Inflation %</t>
  </si>
  <si>
    <t xml:space="preserve">FY26/27 FTE Growth %</t>
  </si>
  <si>
    <t xml:space="preserve">FY26/27 FTE</t>
  </si>
  <si>
    <t xml:space="preserve">FY27/28 Salary Inflation %</t>
  </si>
  <si>
    <t xml:space="preserve">FY27/28 FTE Growth %</t>
  </si>
  <si>
    <t xml:space="preserve">FY27/28 FTE</t>
  </si>
  <si>
    <t xml:space="preserve">FY28/29 Salary Inflation %</t>
  </si>
  <si>
    <t xml:space="preserve">FY28/29 FTE Growth %</t>
  </si>
  <si>
    <t xml:space="preserve">FY28/29 FTE</t>
  </si>
  <si>
    <t xml:space="preserve">B. Monthly Staff Cost Forecast — 36 Months (Aug 2026 – Jul 2029)</t>
  </si>
  <si>
    <t xml:space="preserve">Academic Staff Costs (£)</t>
  </si>
  <si>
    <t xml:space="preserve">Professional Services Staff Costs (£)</t>
  </si>
  <si>
    <t xml:space="preserve">Sources: 'Staff Costs' (FY25/26 monthly actuals, baseline FTE), 'Forecast Assumptions' Section D (salary inflation and FTE growth). Total pay bill growth = (1 + Salary Inflation %) × (1 + FTE Growth %) − 1, applied to the same calendar month a year earlier.</t>
  </si>
  <si>
    <t xml:space="preserve">Vector University — 36-Month Operating Expenditure Forecast (FY26/27 – FY28/29)</t>
  </si>
  <si>
    <t xml:space="preserve">Methodology: Each cost line is grown from the same calendar month a year earlier by its FY inflation assumption — Utilities Inflation % for Utilities, and General Operating Cost Inflation % (IT, Estates, Student Services, Marketing, Professional Fees, Administration, Other) for the remaining lines — per 'Forecast Assumptions' Section E.</t>
  </si>
  <si>
    <t xml:space="preserve">A. Annual Cost Inflation Assumptions</t>
  </si>
  <si>
    <t xml:space="preserve">Cost Line</t>
  </si>
  <si>
    <t xml:space="preserve">FY26/27 Inflation %</t>
  </si>
  <si>
    <t xml:space="preserve">FY27/28 Inflation %</t>
  </si>
  <si>
    <t xml:space="preserve">FY28/29 Inflation %</t>
  </si>
  <si>
    <t xml:space="preserve">B. Monthly Operating Expenditure Forecast — 36 Months (Aug 2026 – Jul 2029)</t>
  </si>
  <si>
    <t xml:space="preserve">Source: 'Operating Expenditure' (FY25/26 monthly actuals), 'Forecast Assumptions' Section E (cost inflation).</t>
  </si>
  <si>
    <t xml:space="preserve">Vector University — Forecast Income Statement (Monthly Summary, FY26/27 – FY28/29)</t>
  </si>
  <si>
    <t xml:space="preserve">Combines 'Income Forecast', 'Staff Cost Forecast' and 'Opex Forecast' into a single monthly operating result, on the same layout as the historical 'Income Statement' tab.</t>
  </si>
  <si>
    <t xml:space="preserve">YoY Income Growth</t>
  </si>
  <si>
    <t xml:space="preserve">Sources: 'Income Forecast', 'Staff Cost Forecast', 'Opex Forecast'. FY25/26 actual row links to the historical 'Income Statement' tab for a clean like-for-like comparison.</t>
  </si>
  <si>
    <t xml:space="preserve">Vector University — Forecast Cash Position (Monthly, FY26/27 – FY28/29)</t>
  </si>
  <si>
    <t xml:space="preserve">Methodology: Opening cash at 1-Aug-2026 and annual planned capital expenditure are per 'Forecast Assumptions' Section F. Capital expenditure is spread evenly across the 12 months of each financial year. Closing cash = Opening cash + Operating Surplus/(Deficit) − Capital Expenditure.</t>
  </si>
  <si>
    <t xml:space="preserve">Closing Cash YoY %</t>
  </si>
  <si>
    <t xml:space="preserve">Sources: 'Forecast Income Statement' (operating surplus/deficit), 'Forecast Assumptions' Section F (opening cash, capital expenditure). FY25/26 closing cash links to the historical 'Cash Position' tab.</t>
  </si>
  <si>
    <t xml:space="preserve">Vector University — Scenario Comparison: Base / Upside / Downside (Annual)</t>
  </si>
  <si>
    <t xml:space="preserve">Runs the same driver logic as 'Population Forecast' / 'Income Forecast' / 'Staff Cost Forecast' / 'Opex Forecast', at annual grain, for all three scenarios side by side (independent of the live selector on 'Scenario Assumptions', which only drives the detailed monthly model). Operating expenditure is combined into Utilities and one General Opex line (matching the two inflation rates in the assumptions) rather than the 8 separate lines in 'Opex Forecast', to keep the comparison readable. Fee rates, other income growth, FTE growth and capital expenditure are unaffected by these scenarios and are held the same as the Base Case build.</t>
  </si>
  <si>
    <t xml:space="preserve">A. Recruitment Engine — New Enrolments &amp; September Anchor, by Scenario</t>
  </si>
  <si>
    <t xml:space="preserve">Scenario</t>
  </si>
  <si>
    <t xml:space="preserve">FY26/27 Applications</t>
  </si>
  <si>
    <t xml:space="preserve">FY26/27 New Enrolments</t>
  </si>
  <si>
    <t xml:space="preserve">FY27/28 Applications</t>
  </si>
  <si>
    <t xml:space="preserve">FY27/28 New Enrolments</t>
  </si>
  <si>
    <t xml:space="preserve">FY28/29 Applications</t>
  </si>
  <si>
    <t xml:space="preserve">FY28/29 New Enrolments</t>
  </si>
  <si>
    <t xml:space="preserve">FY26/27 Sept Anchor</t>
  </si>
  <si>
    <t xml:space="preserve">FY27/28 Sept Anchor</t>
  </si>
  <si>
    <t xml:space="preserve">FY28/29 Sept Anchor</t>
  </si>
  <si>
    <t xml:space="preserve">B. Tuition Income by Category and Scenario (Annual, £)</t>
  </si>
  <si>
    <t xml:space="preserve">C. Staff Cost &amp; Operating Expenditure Engine, by Scenario (Annual, £)</t>
  </si>
  <si>
    <t xml:space="preserve">Academic Staff Cost</t>
  </si>
  <si>
    <t xml:space="preserve">Professional Services Staff Cost</t>
  </si>
  <si>
    <t xml:space="preserve">Total Staff Cost</t>
  </si>
  <si>
    <t xml:space="preserve">General Opex</t>
  </si>
  <si>
    <t xml:space="preserve">Total Opex</t>
  </si>
  <si>
    <t xml:space="preserve">D. Scenario Income Statement &amp; Cash Summary (Annual, £)</t>
  </si>
  <si>
    <t xml:space="preserve">Sources: 'Scenario Assumptions', 'Forecast Assumptions', 'Student Flow Summary', 'Student Headcount', 'Population Forecast' (seasonal shape), 'Income Forecast' (fee rates and other income), 'Staff Costs' &amp; 'Operating Expenditure' (FY25/26 baselines). Base Case figures in Section D reconcile closely to 'Forecast Income Statement' / 'Cash Flow Forecast' (small differences only where those combine 8 opex lines and this sheet combines them into 2).</t>
  </si>
  <si>
    <t xml:space="preserve">Vector University — Student Recruitment Break-Even Analysis (FY27/28)</t>
  </si>
  <si>
    <t xml:space="preserve">Tests a single lever: a uniform Recruitment Growth Adjustment (percentage points, applied to every category's Application Growth % in both FY26/27 and FY27/28, i.e. a sustained shift in recruitment performance) — holding salary and cost inflation at Base. FY27/28 is used as the target year because it is the Base Case's projected deficit year. Answers: how far would recruitment need to improve (or could it fall) before the University is back to break-even, or to its FY25/26 margin?</t>
  </si>
  <si>
    <t xml:space="preserve">A. Recruitment Growth Adjustment Tested (percentage points)</t>
  </si>
  <si>
    <t xml:space="preserve">Adjustment (pts)</t>
  </si>
  <si>
    <t xml:space="preserve">B. New Enrolments &amp; September Anchor by Category, under Each Tested Adjustment</t>
  </si>
  <si>
    <t xml:space="preserve">Applications FY26/27</t>
  </si>
  <si>
    <t xml:space="preserve">New Enrolments FY26/27</t>
  </si>
  <si>
    <t xml:space="preserve">Applications FY27/28</t>
  </si>
  <si>
    <t xml:space="preserve">New Enrolments FY27/28</t>
  </si>
  <si>
    <t xml:space="preserve">Sept Anchor FY26/27</t>
  </si>
  <si>
    <t xml:space="preserve">Sept Anchor FY27/28</t>
  </si>
  <si>
    <t xml:space="preserve">C. FY27/28 Tuition Income by Category, under Each Tested Adjustment (£)</t>
  </si>
  <si>
    <t xml:space="preserve">Total Tuition Income</t>
  </si>
  <si>
    <t xml:space="preserve">D. FY27/28 Income Statement Outcome, under Each Tested Adjustment</t>
  </si>
  <si>
    <t xml:space="preserve">Other Income (unaffected by recruitment; Base Case)</t>
  </si>
  <si>
    <t xml:space="preserve">Total Staff Cost + Opex (unaffected by recruitment; Base Case)</t>
  </si>
  <si>
    <t xml:space="preserve">E. Break-Even Recruitment Growth Adjustment (linear estimate)</t>
  </si>
  <si>
    <t xml:space="preserve">Adjustment needed for FY27/28 margin = 0% (break-even)</t>
  </si>
  <si>
    <t xml:space="preserve">Adjustment needed to restore FY25/26's 2.4% margin</t>
  </si>
  <si>
    <t xml:space="preserve">FORECAST() fits a straight line through the 9 tested points and solves for the recruitment adjustment at the target margin — a standard linear break-even estimate, not an exact solve (the underlying relationship is very slightly non-linear because of compounding). Recruitment growth here means applications, not enrolled headcount directly — offer and yield rates are unchanged.</t>
  </si>
  <si>
    <t xml:space="preserve">Vector University — 3-Year Financial Sustainability Assessment</t>
  </si>
  <si>
    <t xml:space="preserve">Base Case sustainability indicators: operating performance, cost structure, tuition and international dependency, per-student unit economics, and cash reserves — FY25/26 actual alongside the three forecast years, plus a set of formula-driven risk flags against typical higher-education sustainability thresholds.</t>
  </si>
  <si>
    <t xml:space="preserve">A. Sustainability KPI Trend (Base Case)</t>
  </si>
  <si>
    <t xml:space="preserve">Staff Cost Ratio %</t>
  </si>
  <si>
    <t xml:space="preserve">Total Cost Ratio %</t>
  </si>
  <si>
    <t xml:space="preserve">International Tuition % of Tuition Income</t>
  </si>
  <si>
    <t xml:space="preserve">Average Student Headcount</t>
  </si>
  <si>
    <t xml:space="preserve">Income per Student (£)</t>
  </si>
  <si>
    <t xml:space="preserve">Cost per Student (£)</t>
  </si>
  <si>
    <t xml:space="preserve">Closing Cash (£)</t>
  </si>
  <si>
    <t xml:space="preserve">Months' Cash Cover</t>
  </si>
  <si>
    <t xml:space="preserve">B. Risk Flags &amp; Warning Signs (FY28/29, end of forecast)</t>
  </si>
  <si>
    <t xml:space="preserve">Indicator</t>
  </si>
  <si>
    <t xml:space="preserve">FY28/29 Value</t>
  </si>
  <si>
    <t xml:space="preserve">Threshold</t>
  </si>
  <si>
    <t xml:space="preserve">Flag</t>
  </si>
  <si>
    <t xml:space="preserve">Operating margin below 3% (typical minimum for a sustainable HE surplus)</t>
  </si>
  <si>
    <t xml:space="preserve">Staff cost ratio above 65% of income</t>
  </si>
  <si>
    <t xml:space="preserve">International tuition dependency above 40% of tuition income</t>
  </si>
  <si>
    <t xml:space="preserve">Months' cash cover below 2 months</t>
  </si>
  <si>
    <t xml:space="preserve">Any forecast year shows an operating deficit</t>
  </si>
  <si>
    <t xml:space="preserve">n/a</t>
  </si>
  <si>
    <t xml:space="preserve">Cash reserves fall below FY25/26 opening cash of £42.0m at any point (see 'Cash Flow Forecast')</t>
  </si>
  <si>
    <t xml:space="preserve">Sources: 'Forecast Income Statement', 'Cash Flow Forecast', 'Income Forecast', 'Population Forecast', 'Student Headcount'. Thresholds (3% margin, 65% staff cost ratio, 40% international dependency, 2 months' cash cover) are illustrative sector-typical reference points, not regulator-mandated figures — replace with your institution's own board-approved thresholds if different.</t>
  </si>
  <si>
    <t xml:space="preserve">Vector University — 3-Year Financial Forecast: Project Summary (FY26/27 – FY28/29, Base Case)</t>
  </si>
  <si>
    <t xml:space="preserve">Consolidates 'Population Forecast', 'Income Forecast', 'Staff Cost Forecast', 'Opex Forecast', 'Forecast Income Statement' and 'Cash Flow Forecast' into headline results, direct answers to management's guiding questions, and strategic recommendations.</t>
  </si>
  <si>
    <t xml:space="preserve">A. Headline Forecast Results (Base Case)</t>
  </si>
  <si>
    <t xml:space="preserve">B. Key Financial Sustainability Indicators</t>
  </si>
  <si>
    <t xml:space="preserve">International tuition income as % of total tuition income (FY25/26 actual)</t>
  </si>
  <si>
    <t xml:space="preserve">International tuition income as % of total University income (FY25/26 actual)</t>
  </si>
  <si>
    <t xml:space="preserve">Cumulative cash movement, FY26/27–FY28/29 (£)</t>
  </si>
  <si>
    <t xml:space="preserve">Cumulative cash movement, FY26/27–FY28/29 (%)</t>
  </si>
  <si>
    <t xml:space="preserve">Lowest single-month cash balance across the 36-month forecast (£)</t>
  </si>
  <si>
    <t xml:space="preserve">Months of operating cost covered by cash, FY25/26 actual</t>
  </si>
  <si>
    <t xml:space="preserve">Months of operating cost covered by cash, end of FY28/29 forecast</t>
  </si>
  <si>
    <t xml:space="preserve">Operating margin, FY25/26 actual vs FY27/28 forecast (percentage-point change)</t>
  </si>
  <si>
    <t xml:space="preserve">C. Answers to Management's Key Questions</t>
  </si>
  <si>
    <t xml:space="preserve">Q1. How will changes in student numbers affect tuition fee income?</t>
  </si>
  <si>
    <t xml:space="preserve">Tuition income is modelled directly off forecast headcount (see 'Population Forecast' → 'Income Forecast'). Under the Base Case recruitment assumptions (1–2% application growth per category), total income grows 3.5% in FY26/27, accelerating to 4.4% and 5.5% by FY28/29 as compounding enrolment growth and fee increases build. Because taught postgraduate income is concentrated in a single September intake, a shortfall against the recruitment assumption would show up in-year within weeks of enrolment, with no time to offset it through other income before year-end.</t>
  </si>
  <si>
    <t xml:space="preserve">Q2. How dependent is the University on international student recruitment?</t>
  </si>
  <si>
    <t xml:space="preserve">International tuition (Undergraduate + Postgraduate) contributed £92.17m in FY25/26 — 42.9% of tuition income and 29.6% of total University income. International Postgraduate alone is the second-largest tuition category (£51.25m). This is a material, though not majority, dependency — but International Undergraduate new enrolments already fell from 745 (FY24/25) to 645 (FY25/26) in the historical data, showing this income base is not guaranteed to grow.</t>
  </si>
  <si>
    <t xml:space="preserve">Q3. What happens if student recruitment falls below expectations?</t>
  </si>
  <si>
    <t xml:space="preserve">Not separately modelled here (see Section D, next steps for a Downside scenario) — but the Base Case margin is already thin (0.6% in FY26/27, briefly negative in FY27/28), so a recruitment shortfall of even a few percentage points, particularly in the high-value International Postgraduate and Undergraduate categories, would very plausibly push the University into a multi-year deficit rather than a single technical dip.</t>
  </si>
  <si>
    <t xml:space="preserve">Q4. How will salary and operating cost inflation affect future financial sustainability?</t>
  </si>
  <si>
    <t xml:space="preserve">Combined salary inflation and FTE growth drives total staff costs up c.5.9–6.2% p.a. across the forecast — faster than income growth in FY26/27 and FY27/28 — while operating expenditure grows broadly in line with income at c.3.6–4.2% p.a. Staff costs are c.65% of the total cost base, so this single assumption is the largest driver of the margin compression seen in the forecast.</t>
  </si>
  <si>
    <t xml:space="preserve">Q5. Can the University maintain a sustainable operating surplus over the next three years?</t>
  </si>
  <si>
    <t xml:space="preserve">Not comfortably, on Base Case assumptions. Operating margin falls from 2.4% (FY25/26 actual) to 0.6% (FY26/27), turns slightly negative in FY27/28 (-£0.18m, a technical deficit), and only partially recovers to 0.4% by FY28/29 — well below the 3.8–5.3% margins achieved in FY23/24 and FY24/25.</t>
  </si>
  <si>
    <t xml:space="preserve">Q6. What happens to cash reserves under different recruitment and cost scenarios?</t>
  </si>
  <si>
    <t xml:space="preserve">Under the Base Case alone, cash reserves fall from £48.03m (1-Aug-2026) to £18.19m (Jul-2029) — a 62% reduction — driven by thin operating surpluses combined with a sustained £10.5–11.5m annual capital programme. The lowest point in any single month is c.£17.4m (Aug-2028), and cash cover of monthly operating costs falls from c.1.9 months (FY25/26 actual) to c.0.6 months by the end of FY28/29. Downside recruitment or cost scenarios (not yet modelled) would erode this further.</t>
  </si>
  <si>
    <t xml:space="preserve">Q7. What level of student recruitment is required for the University to remain financially sustainable?</t>
  </si>
  <si>
    <t xml:space="preserve">Not solved for directly here — this requires the break-even/sensitivity analysis in Section D. Indicatively, because total costs are forecast to grow c.5–6% p.a., income growth needs to reach a similar rate just to hold margin flat; the Base Case recruitment assumptions (1–2% application growth) only deliver this from FY28/29 onward, which is why margin is compressed in the interim.</t>
  </si>
  <si>
    <t xml:space="preserve">D. Strategic Recommendations &amp; Suggested Next Steps</t>
  </si>
  <si>
    <t xml:space="preserve">1. Protect international recruitment. International Postgraduate and Undergraduate tuition (42.9% of tuition income) are the categories most exposed to policy, visa or market shocks. Given International Undergraduate enrolments already declined in FY25/26, treat international recruitment performance as a monthly-tracked leading indicator, not an annual one.</t>
  </si>
  <si>
    <t xml:space="preserve">2. Re-examine staff cost growth. Combined salary inflation and FTE growth (c.5.9–6.2% p.a.) is the single largest driver of margin compression. Phasing FTE growth, or targeting salary awards below the modelled 4–4.5%, would materially improve the Base Case outlook.</t>
  </si>
  <si>
    <t xml:space="preserve">3. Phase or reprioritise capital expenditure. With cash reserves projected to nearly halve even before any downside is applied, review the £10.5–11.5m annual capex programme — particularly around FY27/28, the projected deficit year — for phasing opportunities.</t>
  </si>
  <si>
    <t xml:space="preserve">4. Use the new 'Scenario Comparison', 'Recruitment Break-Even' and 'Sustainability Ratios' tabs before finalising the plan. Upside recruitment and cost performance restores a healthy ~6-7% margin and grows cash to ~£63m by FY28/29; Downside pushes cash negative by FY28/29. The break-even analysis shows FY27/28 needs only ~0.1 percentage points more recruitment growth to avoid a deficit, but ~1.8 points to restore FY25/26's 2.4% margin — a small, achievable-looking gap that should not be read as low risk, given how many levers move against the University at once in the Downside case.</t>
  </si>
  <si>
    <t xml:space="preserve">5. Set a minimum cash-reserve policy (e.g., a target months' cover of operating costs) and monitor it monthly — the forecast's lowest point (c.£17.4m, Aug-2028) is well below the £42.0m opening cash position at the start of FY23/24.</t>
  </si>
  <si>
    <t xml:space="preserve">6. Complete the remaining project deliverable: Power BI (or Excel) management dashboards presenting the student, revenue, cost, cash and scenario-comparison trends now available in this workbook for executive review.</t>
  </si>
  <si>
    <t xml:space="preserve">Base Case figures throughout this sheet are forecasts as at 18-Sep-2026; see 'Scenario Comparison' for Upside/Downside outcomes. Sources: 'Historical KPI Summary', 'Forecast Income Statement', 'Cash Flow Forecast', 'Scenario Comparison', 'Recruitment Break-Even', 'Sustainability Ratios'. See those tabs, and 'Population Forecast' / 'Income Forecast' / 'Staff Cost Forecast' / 'Opex Forecast', for full workings.</t>
  </si>
  <si>
    <t xml:space="preserve">Vector University — Executive Financial Sustainability Dashboard</t>
  </si>
  <si>
    <t xml:space="preserve">One-page management summary of the 3-year forecast (FY26/27–FY28/29, Base Case unless stated): student, income, cost and cash trends; key sustainability KPIs; Base/Upside/Downside scenario comparison; principal risks; and recommended actions. Full detail and workings sit in the supporting tabs referenced throughout.</t>
  </si>
  <si>
    <t xml:space="preserve">A. Key Sustainability KPIs — FY28/29 (end of forecast), Base Case</t>
  </si>
  <si>
    <t xml:space="preserve">Operating Margin</t>
  </si>
  <si>
    <t xml:space="preserve">Staff Cost Ratio</t>
  </si>
  <si>
    <t xml:space="preserve">Intl. Tuition Dependency</t>
  </si>
  <si>
    <t xml:space="preserve">Recruitment Break-Even Gap</t>
  </si>
  <si>
    <t xml:space="preserve">vs 2.4% FY25/26 actual</t>
  </si>
  <si>
    <t xml:space="preserve">vs £48.03m opening, Aug-2026</t>
  </si>
  <si>
    <t xml:space="preserve">board minimum: 2.0 months</t>
  </si>
  <si>
    <t xml:space="preserve">flag above 65%</t>
  </si>
  <si>
    <t xml:space="preserve">flag above 40%</t>
  </si>
  <si>
    <t xml:space="preserve">extra growth needed for FY27/28 0% margin</t>
  </si>
  <si>
    <t xml:space="preserve">B. 36-Month Trends (FY26/27 – FY28/29, Base Case)</t>
  </si>
  <si>
    <t xml:space="preserve">C. Scenario Comparison — FY28/29 Outcome (Base / Upside / Downside)</t>
  </si>
  <si>
    <t xml:space="preserve">D. Principal Financial Risks (FY28/29, live from 'Sustainability Ratios')</t>
  </si>
  <si>
    <t xml:space="preserve">Risk Indicator</t>
  </si>
  <si>
    <t xml:space="preserve">Value</t>
  </si>
  <si>
    <t xml:space="preserve">E. Actionable Management Recommendations</t>
  </si>
  <si>
    <t xml:space="preserve">1. Protect international recruitment. International tuition is 42.9% of tuition income (FY25/26) and the single largest driver of downside risk — prioritise visa/policy monitoring and diversify recruitment markets before FY27/28.</t>
  </si>
  <si>
    <t xml:space="preserve">2. Rein in staff cost growth. Combined salary inflation and FTE growth (c.5.9–6.2% p.a.) is the largest driver of margin compression — phase FTE growth or hold salary awards below the current assumption to materially improve the Base Case margin.</t>
  </si>
  <si>
    <t xml:space="preserve">3. Phase or reprioritise the capital programme. Cash reserves fall c.62% over the forecast even before any downside is applied (£48.03m → £18.19m); review the £10.5–11.5m annual capex programme, especially around FY27/28's low point.</t>
  </si>
  <si>
    <t xml:space="preserve">4. Adopt a minimum cash-reserve policy (e.g. a target months' cover of operating costs) and monitor it monthly — the forecast's lowest point is well below the £42.0m FY25/26 opening cash position.</t>
  </si>
  <si>
    <t xml:space="preserve">5. Use this dashboard's live scenario selector ('Scenario Assumptions' tab) before finalising the plan. The Downside case pushes the model into an operating deficit and a materially worse cash position; the Upside case restores a healthier margin.</t>
  </si>
  <si>
    <t xml:space="preserve">6. Track the 'Recruitment Break-Even' tab against actual admissions each cycle — it shows the extra recruitment growth needed to hold a 0% margin and to restore the FY25/26 2.4% margin, and should be refreshed as real application data comes in.</t>
  </si>
  <si>
    <t xml:space="preserve">All figures are Base Case unless labelled otherwise. Sources: 'Sustainability Ratios', 'Scenario Comparison', 'Recruitment Break-Even', 'Population Forecast', 'Forecast Income Statement', 'Cash Flow Forecast', 'Forecast Summary'. Refresh this dashboard by recalculating the workbook (Excel: Ctrl+Alt+F9) after changing any assumption.</t>
  </si>
  <si>
    <t xml:space="preserve">New Enrollment Forcast</t>
  </si>
  <si>
    <t xml:space="preserve">Baseline Offer Rate</t>
  </si>
  <si>
    <t xml:space="preserve">Baseline Yield Rate</t>
  </si>
  <si>
    <t xml:space="preserve">Population Forecast</t>
  </si>
  <si>
    <t xml:space="preserve">Course Years</t>
  </si>
  <si>
    <t xml:space="preserve">Annual Withdrawal Rate</t>
  </si>
  <si>
    <t xml:space="preserve">Monthly Withdrawal Rate</t>
  </si>
  <si>
    <t xml:space="preserve">Monthly Head Count For 1 year Programs </t>
  </si>
  <si>
    <t xml:space="preserve">Monthly Student Population Forcast</t>
  </si>
</sst>
</file>

<file path=xl/styles.xml><?xml version="1.0" encoding="utf-8"?>
<styleSheet xmlns="http://schemas.openxmlformats.org/spreadsheetml/2006/main">
  <numFmts count="13">
    <numFmt numFmtId="164" formatCode="General"/>
    <numFmt numFmtId="165" formatCode="mmm\-yy"/>
    <numFmt numFmtId="166" formatCode="#,##0;\(#,##0\);\-"/>
    <numFmt numFmtId="167" formatCode="0.0%"/>
    <numFmt numFmtId="168" formatCode="0%"/>
    <numFmt numFmtId="169" formatCode="0.000"/>
    <numFmt numFmtId="170" formatCode="#,##0"/>
    <numFmt numFmtId="171" formatCode="#,##0.0"/>
    <numFmt numFmtId="172" formatCode="0.0"/>
    <numFmt numFmtId="173" formatCode="#,##0;\(#,##0\);\-"/>
    <numFmt numFmtId="174" formatCode="\+0.0%;\-0.0%"/>
    <numFmt numFmtId="175" formatCode="0"/>
    <numFmt numFmtId="176" formatCode="0.00%"/>
  </numFmts>
  <fonts count="2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4"/>
      <color rgb="FF1F3864"/>
      <name val="Arial"/>
      <family val="2"/>
      <charset val="1"/>
    </font>
    <font>
      <b val="true"/>
      <i val="true"/>
      <sz val="10"/>
      <color rgb="FF595959"/>
      <name val="Arial"/>
      <family val="2"/>
      <charset val="1"/>
    </font>
    <font>
      <b val="true"/>
      <sz val="10"/>
      <color rgb="FFFFFFFF"/>
      <name val="Arial"/>
      <family val="0"/>
      <charset val="1"/>
    </font>
    <font>
      <b val="true"/>
      <sz val="10"/>
      <color rgb="FFFFFFFF"/>
      <name val="Arial"/>
      <family val="2"/>
      <charset val="1"/>
    </font>
    <font>
      <sz val="10"/>
      <color theme="1"/>
      <name val="Arial"/>
      <family val="2"/>
      <charset val="1"/>
    </font>
    <font>
      <b val="true"/>
      <sz val="10"/>
      <color rgb="FF000000"/>
      <name val="Arial"/>
      <family val="0"/>
      <charset val="1"/>
    </font>
    <font>
      <b val="true"/>
      <sz val="14"/>
      <color rgb="FF1F3864"/>
      <name val="Arial"/>
      <family val="0"/>
      <charset val="1"/>
    </font>
    <font>
      <i val="true"/>
      <sz val="10"/>
      <color rgb="FF595959"/>
      <name val="Arial"/>
      <family val="0"/>
      <charset val="1"/>
    </font>
    <font>
      <b val="true"/>
      <i val="true"/>
      <sz val="10"/>
      <color theme="1"/>
      <name val="Arial"/>
      <family val="2"/>
      <charset val="1"/>
    </font>
    <font>
      <b val="true"/>
      <sz val="11"/>
      <color rgb="FF1F3864"/>
      <name val="Arial"/>
      <family val="0"/>
      <charset val="1"/>
    </font>
    <font>
      <sz val="10"/>
      <color rgb="FF000000"/>
      <name val="Arial"/>
      <family val="0"/>
      <charset val="1"/>
    </font>
    <font>
      <i val="true"/>
      <sz val="10"/>
      <color rgb="FF000000"/>
      <name val="Arial"/>
      <family val="0"/>
      <charset val="1"/>
    </font>
    <font>
      <b val="true"/>
      <i val="true"/>
      <sz val="10"/>
      <color rgb="FF000000"/>
      <name val="Arial"/>
      <family val="0"/>
      <charset val="1"/>
    </font>
    <font>
      <sz val="10"/>
      <color rgb="FF0000FF"/>
      <name val="Arial"/>
      <family val="0"/>
      <charset val="1"/>
    </font>
    <font>
      <b val="true"/>
      <sz val="10"/>
      <color theme="1"/>
      <name val="Arial"/>
      <family val="2"/>
      <charset val="1"/>
    </font>
    <font>
      <b val="true"/>
      <sz val="10"/>
      <color rgb="FF0000FF"/>
      <name val="Arial"/>
      <family val="0"/>
      <charset val="1"/>
    </font>
    <font>
      <b val="true"/>
      <sz val="16"/>
      <color rgb="FF1F3864"/>
      <name val="Arial"/>
      <family val="0"/>
      <charset val="1"/>
    </font>
    <font>
      <i val="true"/>
      <sz val="8"/>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333399"/>
      </patternFill>
    </fill>
    <fill>
      <patternFill patternType="solid">
        <fgColor rgb="FFD9E1F2"/>
        <bgColor rgb="FFDCE6F2"/>
      </patternFill>
    </fill>
    <fill>
      <patternFill patternType="solid">
        <fgColor rgb="FFFFFF00"/>
        <bgColor rgb="FFFFFF00"/>
      </patternFill>
    </fill>
    <fill>
      <patternFill patternType="solid">
        <fgColor theme="4" tint="0.7999"/>
        <bgColor rgb="FFD9E1F2"/>
      </patternFill>
    </fill>
    <fill>
      <patternFill patternType="solid">
        <fgColor rgb="FFDDEBF7"/>
        <bgColor rgb="FFDCE6F2"/>
      </patternFill>
    </fill>
    <fill>
      <patternFill patternType="solid">
        <fgColor rgb="FFFFF2CC"/>
        <bgColor rgb="FFFFFFFF"/>
      </patternFill>
    </fill>
  </fills>
  <borders count="31">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style="thin">
        <color rgb="FFB7B7B7"/>
      </right>
      <top/>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right/>
      <top/>
      <bottom style="thin">
        <color theme="4" tint="0.3999"/>
      </bottom>
      <diagonal/>
    </border>
    <border diagonalUp="false" diagonalDown="false">
      <left style="medium"/>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diagonal/>
    </border>
    <border diagonalUp="false" diagonalDown="false">
      <left/>
      <right style="medium"/>
      <top/>
      <botto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tru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6" fontId="0" fillId="0" borderId="6" xfId="25"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0" fillId="0" borderId="7" xfId="20" applyFont="true" applyBorder="true" applyAlignment="false" applyProtection="false">
      <alignment horizontal="left" vertical="bottom" textRotation="0" wrapText="false" indent="0" shrinkToFit="false"/>
      <protection locked="true" hidden="false"/>
    </xf>
    <xf numFmtId="166" fontId="0" fillId="0" borderId="8" xfId="25" applyFont="false" applyBorder="true" applyAlignment="false" applyProtection="false">
      <alignment horizontal="general" vertical="bottom" textRotation="0" wrapText="false" indent="0" shrinkToFit="false"/>
      <protection locked="true" hidden="false"/>
    </xf>
    <xf numFmtId="166" fontId="0" fillId="0" borderId="9" xfId="25" applyFont="false" applyBorder="true" applyAlignment="false" applyProtection="false">
      <alignment horizontal="general" vertical="bottom" textRotation="0" wrapText="false" indent="0" shrinkToFit="false"/>
      <protection locked="true" hidden="false"/>
    </xf>
    <xf numFmtId="164" fontId="4" fillId="0" borderId="10" xfId="24" applyFont="true" applyBorder="true" applyAlignment="false" applyProtection="false">
      <alignment horizontal="left" vertical="bottom" textRotation="0" wrapText="false" indent="0" shrinkToFit="false"/>
      <protection locked="true" hidden="false"/>
    </xf>
    <xf numFmtId="166" fontId="4" fillId="0" borderId="11" xfId="23"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12" xfId="21" applyFont="false" applyBorder="true" applyAlignment="false" applyProtection="false">
      <alignment horizontal="general" vertical="bottom" textRotation="0" wrapText="false" indent="0" shrinkToFit="false"/>
      <protection locked="true" hidden="false"/>
    </xf>
    <xf numFmtId="164" fontId="0" fillId="0" borderId="13" xfId="22" applyFont="true" applyBorder="true" applyAlignment="false" applyProtection="false">
      <alignment horizontal="general" vertical="bottom" textRotation="0" wrapText="false" indent="0" shrinkToFit="false"/>
      <protection locked="true" hidden="false"/>
    </xf>
    <xf numFmtId="164" fontId="0" fillId="0" borderId="14" xfId="21" applyFont="false" applyBorder="true" applyAlignment="false" applyProtection="false">
      <alignment horizontal="general" vertical="bottom" textRotation="0" wrapText="false" indent="0" shrinkToFit="false"/>
      <protection locked="true" hidden="false"/>
    </xf>
    <xf numFmtId="164" fontId="0" fillId="0" borderId="15" xfId="21" applyFont="false" applyBorder="true" applyAlignment="false" applyProtection="false">
      <alignment horizontal="general" vertical="bottom" textRotation="0" wrapText="false" indent="0" shrinkToFit="false"/>
      <protection locked="true" hidden="false"/>
    </xf>
    <xf numFmtId="164" fontId="4" fillId="5" borderId="16" xfId="0" applyFont="true" applyBorder="true" applyAlignment="true" applyProtection="false">
      <alignment horizontal="general" vertical="bottom" textRotation="0" wrapText="true" indent="0" shrinkToFit="false"/>
      <protection locked="true" hidden="false"/>
    </xf>
    <xf numFmtId="164" fontId="0" fillId="0" borderId="17" xfId="22" applyFont="true" applyBorder="true" applyAlignment="false" applyProtection="false">
      <alignment horizontal="general" vertical="bottom" textRotation="0" wrapText="false" indent="0" shrinkToFit="false"/>
      <protection locked="true" hidden="false"/>
    </xf>
    <xf numFmtId="164" fontId="0" fillId="0" borderId="18" xfId="20" applyFont="true" applyBorder="true" applyAlignment="false" applyProtection="false">
      <alignment horizontal="left" vertical="bottom" textRotation="0" wrapText="false" indent="0" shrinkToFit="false"/>
      <protection locked="true" hidden="false"/>
    </xf>
    <xf numFmtId="164" fontId="0" fillId="0" borderId="19" xfId="20" applyFont="true" applyBorder="true" applyAlignment="false" applyProtection="false">
      <alignment horizontal="left" vertical="bottom" textRotation="0" wrapText="false" indent="0" shrinkToFit="false"/>
      <protection locked="true" hidden="false"/>
    </xf>
    <xf numFmtId="164" fontId="0" fillId="0" borderId="20" xfId="20" applyFont="true" applyBorder="true" applyAlignment="false" applyProtection="false">
      <alignment horizontal="left" vertical="bottom" textRotation="0" wrapText="false" indent="0" shrinkToFit="false"/>
      <protection locked="true" hidden="false"/>
    </xf>
    <xf numFmtId="166" fontId="0" fillId="0" borderId="21" xfId="25" applyFont="false" applyBorder="true" applyAlignment="false" applyProtection="false">
      <alignment horizontal="general" vertical="bottom" textRotation="0" wrapText="false" indent="0" shrinkToFit="false"/>
      <protection locked="true" hidden="false"/>
    </xf>
    <xf numFmtId="166" fontId="0" fillId="0" borderId="22" xfId="25" applyFont="false" applyBorder="true" applyAlignment="false" applyProtection="false">
      <alignment horizontal="general" vertical="bottom" textRotation="0" wrapText="false" indent="0" shrinkToFit="false"/>
      <protection locked="true" hidden="false"/>
    </xf>
    <xf numFmtId="166" fontId="0" fillId="0" borderId="23" xfId="25" applyFont="false" applyBorder="true" applyAlignment="false" applyProtection="false">
      <alignment horizontal="general" vertical="bottom" textRotation="0" wrapText="false" indent="0" shrinkToFit="false"/>
      <protection locked="true" hidden="false"/>
    </xf>
    <xf numFmtId="166" fontId="0" fillId="0" borderId="24" xfId="25" applyFont="false" applyBorder="true" applyAlignment="false" applyProtection="false">
      <alignment horizontal="general" vertical="bottom" textRotation="0" wrapText="false" indent="0" shrinkToFit="false"/>
      <protection locked="true" hidden="false"/>
    </xf>
    <xf numFmtId="166" fontId="0" fillId="0" borderId="0" xfId="25" applyFont="false" applyBorder="false" applyAlignment="false" applyProtection="false">
      <alignment horizontal="general" vertical="bottom" textRotation="0" wrapText="false" indent="0" shrinkToFit="false"/>
      <protection locked="true" hidden="false"/>
    </xf>
    <xf numFmtId="166" fontId="0" fillId="0" borderId="25" xfId="25" applyFont="false" applyBorder="true" applyAlignment="false" applyProtection="false">
      <alignment horizontal="general" vertical="bottom" textRotation="0" wrapText="false" indent="0" shrinkToFit="false"/>
      <protection locked="true" hidden="false"/>
    </xf>
    <xf numFmtId="166" fontId="0" fillId="0" borderId="18" xfId="25" applyFont="false" applyBorder="true" applyAlignment="false" applyProtection="false">
      <alignment horizontal="general" vertical="bottom" textRotation="0" wrapText="false" indent="0" shrinkToFit="false"/>
      <protection locked="true" hidden="false"/>
    </xf>
    <xf numFmtId="166" fontId="0" fillId="0" borderId="19" xfId="25" applyFont="false" applyBorder="true" applyAlignment="false" applyProtection="false">
      <alignment horizontal="general" vertical="bottom" textRotation="0" wrapText="false" indent="0" shrinkToFit="false"/>
      <protection locked="true" hidden="false"/>
    </xf>
    <xf numFmtId="166" fontId="0" fillId="0" borderId="20" xfId="25" applyFont="false" applyBorder="true" applyAlignment="false" applyProtection="false">
      <alignment horizontal="general" vertical="bottom" textRotation="0" wrapText="false" indent="0" shrinkToFit="false"/>
      <protection locked="true" hidden="false"/>
    </xf>
    <xf numFmtId="166" fontId="4" fillId="0" borderId="26" xfId="23" applyFont="false" applyBorder="true" applyAlignment="false" applyProtection="false">
      <alignment horizontal="general" vertical="bottom" textRotation="0" wrapText="false" indent="0" shrinkToFit="false"/>
      <protection locked="true" hidden="false"/>
    </xf>
    <xf numFmtId="166" fontId="4" fillId="0" borderId="27" xfId="23" applyFont="false" applyBorder="true" applyAlignment="false" applyProtection="false">
      <alignment horizontal="general" vertical="bottom" textRotation="0" wrapText="false" indent="0" shrinkToFit="false"/>
      <protection locked="true" hidden="false"/>
    </xf>
    <xf numFmtId="166" fontId="4" fillId="0" borderId="28" xfId="23" applyFont="false" applyBorder="tru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4" fillId="6" borderId="0" xfId="0" applyFont="true" applyBorder="true" applyAlignment="true" applyProtection="false">
      <alignment horizontal="general" vertical="bottom" textRotation="0" wrapText="false" indent="0" shrinkToFit="false"/>
      <protection locked="true" hidden="false"/>
    </xf>
    <xf numFmtId="164" fontId="7" fillId="2" borderId="29" xfId="0" applyFont="true" applyBorder="true" applyAlignment="true" applyProtection="false">
      <alignment horizontal="general" vertical="top" textRotation="0" wrapText="true" indent="0" shrinkToFit="false"/>
      <protection locked="true" hidden="false"/>
    </xf>
    <xf numFmtId="164" fontId="10" fillId="0" borderId="29" xfId="0" applyFont="true" applyBorder="true" applyAlignment="true" applyProtection="false">
      <alignment horizontal="general" vertical="bottom" textRotation="0" wrapText="false" indent="0" shrinkToFit="false"/>
      <protection locked="true" hidden="false"/>
    </xf>
    <xf numFmtId="166" fontId="15" fillId="0" borderId="29" xfId="0" applyFont="true" applyBorder="true" applyAlignment="true" applyProtection="false">
      <alignment horizontal="general" vertical="bottom" textRotation="0" wrapText="false" indent="0" shrinkToFit="false"/>
      <protection locked="true" hidden="false"/>
    </xf>
    <xf numFmtId="167" fontId="15" fillId="0" borderId="29" xfId="0" applyFont="true" applyBorder="true" applyAlignment="true" applyProtection="false">
      <alignment horizontal="general" vertical="bottom" textRotation="0" wrapText="false" indent="0" shrinkToFit="false"/>
      <protection locked="true" hidden="false"/>
    </xf>
    <xf numFmtId="166" fontId="15" fillId="3" borderId="29" xfId="0" applyFont="true" applyBorder="true" applyAlignment="true" applyProtection="false">
      <alignment horizontal="general" vertical="bottom" textRotation="0" wrapText="false" indent="0" shrinkToFit="false"/>
      <protection locked="true" hidden="false"/>
    </xf>
    <xf numFmtId="167" fontId="15" fillId="3" borderId="29"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29" xfId="0" applyFont="true" applyBorder="true" applyAlignment="true" applyProtection="false">
      <alignment horizontal="general" vertical="bottom" textRotation="0" wrapText="false" indent="0" shrinkToFit="false"/>
      <protection locked="true" hidden="false"/>
    </xf>
    <xf numFmtId="166" fontId="10" fillId="0" borderId="29" xfId="0" applyFont="true" applyBorder="true" applyAlignment="true" applyProtection="false">
      <alignment horizontal="general" vertical="bottom" textRotation="0" wrapText="false" indent="0" shrinkToFit="false"/>
      <protection locked="true" hidden="false"/>
    </xf>
    <xf numFmtId="167" fontId="10" fillId="0" borderId="29"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4" fillId="7" borderId="29" xfId="0" applyFont="true" applyBorder="true" applyAlignment="true" applyProtection="false">
      <alignment horizontal="general" vertical="bottom" textRotation="0" wrapText="false" indent="0" shrinkToFit="false"/>
      <protection locked="true" hidden="false"/>
    </xf>
    <xf numFmtId="164" fontId="15" fillId="0" borderId="29" xfId="0" applyFont="true" applyBorder="true" applyAlignment="true" applyProtection="false">
      <alignment horizontal="general" vertical="top" textRotation="0" wrapText="true" indent="0" shrinkToFit="false"/>
      <protection locked="true" hidden="false"/>
    </xf>
    <xf numFmtId="167" fontId="18" fillId="0" borderId="29" xfId="0" applyFont="true" applyBorder="true" applyAlignment="true" applyProtection="false">
      <alignment horizontal="general" vertical="bottom" textRotation="0" wrapText="false" indent="0" shrinkToFit="false"/>
      <protection locked="true" hidden="false"/>
    </xf>
    <xf numFmtId="167" fontId="10" fillId="3" borderId="29"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9" fontId="15" fillId="0" borderId="29" xfId="0" applyFont="true" applyBorder="true" applyAlignment="true" applyProtection="false">
      <alignment horizontal="general" vertical="bottom" textRotation="0" wrapText="false" indent="0" shrinkToFit="false"/>
      <protection locked="true" hidden="false"/>
    </xf>
    <xf numFmtId="165" fontId="10" fillId="0" borderId="29" xfId="0" applyFont="true" applyBorder="true" applyAlignment="true" applyProtection="false">
      <alignment horizontal="general" vertical="bottom" textRotation="0" wrapText="false" indent="0" shrinkToFit="false"/>
      <protection locked="true" hidden="false"/>
    </xf>
    <xf numFmtId="166" fontId="10" fillId="3" borderId="29" xfId="0" applyFont="true" applyBorder="true" applyAlignment="true" applyProtection="false">
      <alignment horizontal="general" vertical="bottom" textRotation="0" wrapText="false" indent="0" shrinkToFit="false"/>
      <protection locked="true" hidden="false"/>
    </xf>
    <xf numFmtId="170" fontId="15" fillId="0" borderId="29" xfId="0" applyFont="true" applyBorder="true" applyAlignment="true" applyProtection="false">
      <alignment horizontal="general" vertical="bottom" textRotation="0" wrapText="false" indent="0" shrinkToFit="false"/>
      <protection locked="true" hidden="false"/>
    </xf>
    <xf numFmtId="171" fontId="15" fillId="0" borderId="29" xfId="0" applyFont="true" applyBorder="true" applyAlignment="true" applyProtection="false">
      <alignment horizontal="general" vertical="bottom" textRotation="0" wrapText="false" indent="0" shrinkToFit="false"/>
      <protection locked="true" hidden="false"/>
    </xf>
    <xf numFmtId="167" fontId="20" fillId="7" borderId="29" xfId="0" applyFont="true" applyBorder="true" applyAlignment="tru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bottom" textRotation="0" wrapText="false" indent="0" shrinkToFit="false"/>
      <protection locked="true" hidden="false"/>
    </xf>
    <xf numFmtId="172" fontId="15" fillId="3" borderId="29" xfId="0" applyFont="true" applyBorder="true" applyAlignment="true" applyProtection="false">
      <alignment horizontal="general" vertical="bottom" textRotation="0" wrapText="false" indent="0" shrinkToFit="false"/>
      <protection locked="true" hidden="false"/>
    </xf>
    <xf numFmtId="164" fontId="10" fillId="3" borderId="29" xfId="0" applyFont="true" applyBorder="true" applyAlignment="true" applyProtection="false">
      <alignment horizontal="general" vertical="bottom" textRotation="0" wrapText="false" indent="0" shrinkToFit="false"/>
      <protection locked="true" hidden="false"/>
    </xf>
    <xf numFmtId="172" fontId="15" fillId="0" borderId="29" xfId="0" applyFont="true" applyBorder="true" applyAlignment="true" applyProtection="false">
      <alignment horizontal="general" vertical="bottom" textRotation="0" wrapText="false" indent="0" shrinkToFit="false"/>
      <protection locked="true" hidden="false"/>
    </xf>
    <xf numFmtId="167" fontId="10" fillId="3" borderId="30" xfId="0" applyFont="true" applyBorder="true" applyAlignment="true" applyProtection="false">
      <alignment horizontal="general" vertical="bottom" textRotation="0" wrapText="false" indent="0" shrinkToFit="false"/>
      <protection locked="true" hidden="false"/>
    </xf>
    <xf numFmtId="166" fontId="10" fillId="3" borderId="30" xfId="0" applyFont="true" applyBorder="true" applyAlignment="true" applyProtection="false">
      <alignment horizontal="general" vertical="bottom" textRotation="0" wrapText="false" indent="0" shrinkToFit="false"/>
      <protection locked="true" hidden="false"/>
    </xf>
    <xf numFmtId="172" fontId="10" fillId="3" borderId="3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7" fillId="2" borderId="29" xfId="0" applyFont="true" applyBorder="true" applyAlignment="true" applyProtection="false">
      <alignment horizontal="center" vertical="center" textRotation="0" wrapText="true" indent="0" shrinkToFit="false"/>
      <protection locked="true" hidden="false"/>
    </xf>
    <xf numFmtId="167" fontId="21" fillId="3" borderId="29" xfId="0" applyFont="true" applyBorder="true" applyAlignment="true" applyProtection="false">
      <alignment horizontal="center" vertical="center" textRotation="0" wrapText="false" indent="0" shrinkToFit="false"/>
      <protection locked="true" hidden="false"/>
    </xf>
    <xf numFmtId="173" fontId="21" fillId="3" borderId="29" xfId="0" applyFont="true" applyBorder="true" applyAlignment="true" applyProtection="false">
      <alignment horizontal="center" vertical="center" textRotation="0" wrapText="false" indent="0" shrinkToFit="false"/>
      <protection locked="true" hidden="false"/>
    </xf>
    <xf numFmtId="172" fontId="21" fillId="3" borderId="29" xfId="0" applyFont="true" applyBorder="true" applyAlignment="true" applyProtection="false">
      <alignment horizontal="center" vertical="center" textRotation="0" wrapText="false" indent="0" shrinkToFit="false"/>
      <protection locked="true" hidden="false"/>
    </xf>
    <xf numFmtId="174" fontId="21" fillId="3" borderId="29" xfId="0" applyFont="true" applyBorder="true" applyAlignment="true" applyProtection="false">
      <alignment horizontal="center" vertical="center" textRotation="0" wrapText="false" indent="0" shrinkToFit="false"/>
      <protection locked="true" hidden="false"/>
    </xf>
    <xf numFmtId="164" fontId="22" fillId="0" borderId="29" xfId="0" applyFont="true" applyBorder="true" applyAlignment="true" applyProtection="false">
      <alignment horizontal="center" vertical="bottom" textRotation="0" wrapText="true" indent="0" shrinkToFit="false"/>
      <protection locked="true" hidden="false"/>
    </xf>
    <xf numFmtId="164" fontId="10" fillId="0" borderId="29" xfId="0" applyFont="true" applyBorder="true" applyAlignment="false" applyProtection="false">
      <alignment horizontal="general" vertical="bottom" textRotation="0" wrapText="false" indent="0" shrinkToFit="false"/>
      <protection locked="true" hidden="false"/>
    </xf>
    <xf numFmtId="173" fontId="15" fillId="0" borderId="29" xfId="0" applyFont="true" applyBorder="true" applyAlignment="false" applyProtection="false">
      <alignment horizontal="general" vertical="bottom" textRotation="0" wrapText="false" indent="0" shrinkToFit="false"/>
      <protection locked="true" hidden="false"/>
    </xf>
    <xf numFmtId="167" fontId="15" fillId="0" borderId="29" xfId="0" applyFont="true" applyBorder="true" applyAlignment="false" applyProtection="false">
      <alignment horizontal="general" vertical="bottom" textRotation="0" wrapText="false" indent="0" shrinkToFit="false"/>
      <protection locked="true" hidden="false"/>
    </xf>
    <xf numFmtId="172" fontId="15" fillId="0" borderId="29" xfId="0" applyFont="true" applyBorder="true" applyAlignment="false" applyProtection="false">
      <alignment horizontal="general" vertical="bottom" textRotation="0" wrapText="false" indent="0" shrinkToFit="false"/>
      <protection locked="true" hidden="false"/>
    </xf>
    <xf numFmtId="164" fontId="15" fillId="0" borderId="29" xfId="0" applyFont="true" applyBorder="true" applyAlignment="false" applyProtection="false">
      <alignment horizontal="general" vertical="bottom" textRotation="0" wrapText="false" indent="0" shrinkToFit="false"/>
      <protection locked="true" hidden="false"/>
    </xf>
    <xf numFmtId="166" fontId="15" fillId="0" borderId="29"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2">
    <dxf>
      <fill>
        <patternFill>
          <bgColor rgb="FFF8CBAD"/>
        </patternFill>
      </fill>
    </dxf>
    <dxf>
      <fill>
        <patternFill>
          <bgColor rgb="FFC6E0B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2"/>
      <rgbColor rgb="FFC6E0B4"/>
      <rgbColor rgb="FFD9E1F2"/>
      <rgbColor rgb="FF95B3D7"/>
      <rgbColor rgb="FFFF99CC"/>
      <rgbColor rgb="FFB3B3B3"/>
      <rgbColor rgb="FFF8CBAD"/>
      <rgbColor rgb="FF3366FF"/>
      <rgbColor rgb="FF33CCCC"/>
      <rgbColor rgb="FF99CC00"/>
      <rgbColor rgb="FFFFCC00"/>
      <rgbColor rgb="FFBF8F00"/>
      <rgbColor rgb="FFFF6600"/>
      <rgbColor rgb="FF595959"/>
      <rgbColor rgb="FFB0B0B0"/>
      <rgbColor rgb="FF1F3864"/>
      <rgbColor rgb="FF70AD47"/>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Relationship Id="rId29" Type="http://schemas.openxmlformats.org/officeDocument/2006/relationships/pivotCacheDefinition" Target="pivotCache/pivotCacheDefinition1.xml"/><Relationship Id="rId30" Type="http://schemas.openxmlformats.org/officeDocument/2006/relationships/pivotCacheDefinition" Target="pivotCache/pivotCacheDefinition2.xml"/><Relationship Id="rId31" Type="http://schemas.openxmlformats.org/officeDocument/2006/relationships/pivotCacheDefinition" Target="pivotCache/pivotCacheDefinition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Student Population (Headcount)</a:t>
            </a:r>
          </a:p>
        </c:rich>
      </c:tx>
      <c:overlay val="0"/>
      <c:spPr>
        <a:noFill/>
        <a:ln w="0">
          <a:noFill/>
        </a:ln>
      </c:spPr>
    </c:title>
    <c:autoTitleDeleted val="0"/>
    <c:plotArea>
      <c:lineChart>
        <c:grouping val="standard"/>
        <c:varyColors val="0"/>
        <c:ser>
          <c:idx val="0"/>
          <c:order val="0"/>
          <c:tx>
            <c:strRef>
              <c:f>'Population Forecast'!H39</c:f>
              <c:strCache>
                <c:ptCount val="1"/>
                <c:pt idx="0">
                  <c:v>Total</c:v>
                </c:pt>
              </c:strCache>
            </c:strRef>
          </c:tx>
          <c:spPr>
            <a:solidFill>
              <a:srgbClr val="1f3864"/>
            </a:solidFill>
            <a:ln w="2016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'Population Forecast'!$A$40:$A$75</c:f>
              <c:strCache>
                <c:ptCount val="36"/>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pt idx="12">
                  <c:v>Aug-27</c:v>
                </c:pt>
                <c:pt idx="13">
                  <c:v>Sep-27</c:v>
                </c:pt>
                <c:pt idx="14">
                  <c:v>Oct-27</c:v>
                </c:pt>
                <c:pt idx="15">
                  <c:v>Nov-27</c:v>
                </c:pt>
                <c:pt idx="16">
                  <c:v>Dec-27</c:v>
                </c:pt>
                <c:pt idx="17">
                  <c:v>Jan-28</c:v>
                </c:pt>
                <c:pt idx="18">
                  <c:v>Feb-28</c:v>
                </c:pt>
                <c:pt idx="19">
                  <c:v>Mar-28</c:v>
                </c:pt>
                <c:pt idx="20">
                  <c:v>Apr-28</c:v>
                </c:pt>
                <c:pt idx="21">
                  <c:v>May-28</c:v>
                </c:pt>
                <c:pt idx="22">
                  <c:v>Jun-28</c:v>
                </c:pt>
                <c:pt idx="23">
                  <c:v>Jul-28</c:v>
                </c:pt>
                <c:pt idx="24">
                  <c:v>Aug-28</c:v>
                </c:pt>
                <c:pt idx="25">
                  <c:v>Sep-28</c:v>
                </c:pt>
                <c:pt idx="26">
                  <c:v>Oct-28</c:v>
                </c:pt>
                <c:pt idx="27">
                  <c:v>Nov-28</c:v>
                </c:pt>
                <c:pt idx="28">
                  <c:v>Dec-28</c:v>
                </c:pt>
                <c:pt idx="29">
                  <c:v>Jan-29</c:v>
                </c:pt>
                <c:pt idx="30">
                  <c:v>Feb-29</c:v>
                </c:pt>
                <c:pt idx="31">
                  <c:v>Mar-29</c:v>
                </c:pt>
                <c:pt idx="32">
                  <c:v>Apr-29</c:v>
                </c:pt>
                <c:pt idx="33">
                  <c:v>May-29</c:v>
                </c:pt>
                <c:pt idx="34">
                  <c:v>Jun-29</c:v>
                </c:pt>
                <c:pt idx="35">
                  <c:v>Jul-29</c:v>
                </c:pt>
              </c:strCache>
            </c:strRef>
          </c:cat>
          <c:val>
            <c:numRef>
              <c:f>'Population Forecast'!$H$40:$H$75</c:f>
              <c:numCache>
                <c:formatCode>#,##0;\(#,##0\);\-</c:formatCode>
                <c:ptCount val="36"/>
                <c:pt idx="0">
                  <c:v>10049.6</c:v>
                </c:pt>
                <c:pt idx="1">
                  <c:v>26397.04</c:v>
                </c:pt>
                <c:pt idx="2">
                  <c:v>23550.35</c:v>
                </c:pt>
                <c:pt idx="3">
                  <c:v>21431.17</c:v>
                </c:pt>
                <c:pt idx="4">
                  <c:v>19620.38</c:v>
                </c:pt>
                <c:pt idx="5">
                  <c:v>19141.37</c:v>
                </c:pt>
                <c:pt idx="6">
                  <c:v>17736.35</c:v>
                </c:pt>
                <c:pt idx="7">
                  <c:v>16745.29</c:v>
                </c:pt>
                <c:pt idx="8">
                  <c:v>15862.57</c:v>
                </c:pt>
                <c:pt idx="9">
                  <c:v>15167.83</c:v>
                </c:pt>
                <c:pt idx="10">
                  <c:v>14757.82</c:v>
                </c:pt>
                <c:pt idx="11">
                  <c:v>10383.19</c:v>
                </c:pt>
                <c:pt idx="12">
                  <c:v>10241.8019662776</c:v>
                </c:pt>
                <c:pt idx="13">
                  <c:v>26958.3639925061</c:v>
                </c:pt>
                <c:pt idx="14">
                  <c:v>24043.3514064496</c:v>
                </c:pt>
                <c:pt idx="15">
                  <c:v>21873.4399827396</c:v>
                </c:pt>
                <c:pt idx="16">
                  <c:v>20019.1936987101</c:v>
                </c:pt>
                <c:pt idx="17">
                  <c:v>19528.3931000614</c:v>
                </c:pt>
                <c:pt idx="18">
                  <c:v>18089.9434487101</c:v>
                </c:pt>
                <c:pt idx="19">
                  <c:v>17075.0277515971</c:v>
                </c:pt>
                <c:pt idx="20">
                  <c:v>16171.9889988944</c:v>
                </c:pt>
                <c:pt idx="21">
                  <c:v>15460.6372926904</c:v>
                </c:pt>
                <c:pt idx="22">
                  <c:v>15040.2964331695</c:v>
                </c:pt>
                <c:pt idx="23">
                  <c:v>10583.1165982187</c:v>
                </c:pt>
                <c:pt idx="24">
                  <c:v>10598.1605678334</c:v>
                </c:pt>
                <c:pt idx="25">
                  <c:v>27822.9478342712</c:v>
                </c:pt>
                <c:pt idx="26">
                  <c:v>24825.2614191358</c:v>
                </c:pt>
                <c:pt idx="27">
                  <c:v>22593.9714224677</c:v>
                </c:pt>
                <c:pt idx="28">
                  <c:v>20686.9853681432</c:v>
                </c:pt>
                <c:pt idx="29">
                  <c:v>20181.6869704585</c:v>
                </c:pt>
                <c:pt idx="30">
                  <c:v>18701.6239811652</c:v>
                </c:pt>
                <c:pt idx="31">
                  <c:v>17657.9173244047</c:v>
                </c:pt>
                <c:pt idx="32">
                  <c:v>16728.427771991</c:v>
                </c:pt>
                <c:pt idx="33">
                  <c:v>15996.7646924035</c:v>
                </c:pt>
                <c:pt idx="34">
                  <c:v>15565.2827899326</c:v>
                </c:pt>
                <c:pt idx="35">
                  <c:v>10949.2527706581</c:v>
                </c:pt>
              </c:numCache>
            </c:numRef>
          </c:val>
          <c:smooth val="0"/>
        </c:ser>
        <c:hiLowLines>
          <c:spPr>
            <a:ln w="0">
              <a:noFill/>
            </a:ln>
          </c:spPr>
        </c:hiLowLines>
        <c:marker val="0"/>
        <c:axId val="90590976"/>
        <c:axId val="86171177"/>
      </c:lineChart>
      <c:catAx>
        <c:axId val="9059097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yy"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6171177"/>
        <c:crosses val="autoZero"/>
        <c:auto val="1"/>
        <c:lblAlgn val="ctr"/>
        <c:lblOffset val="100"/>
        <c:noMultiLvlLbl val="0"/>
      </c:catAx>
      <c:valAx>
        <c:axId val="8617117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Students</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5909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Income vs Staff Cost vs Operating Expenditure</a:t>
            </a:r>
          </a:p>
        </c:rich>
      </c:tx>
      <c:overlay val="0"/>
      <c:spPr>
        <a:noFill/>
        <a:ln w="0">
          <a:noFill/>
        </a:ln>
      </c:spPr>
    </c:title>
    <c:autoTitleDeleted val="0"/>
    <c:plotArea>
      <c:lineChart>
        <c:grouping val="standard"/>
        <c:varyColors val="0"/>
        <c:ser>
          <c:idx val="0"/>
          <c:order val="0"/>
          <c:tx>
            <c:strRef>
              <c:f>'Forecast Income Statement'!C4</c:f>
              <c:strCache>
                <c:ptCount val="1"/>
                <c:pt idx="0">
                  <c:v>Total Income</c:v>
                </c:pt>
              </c:strCache>
            </c:strRef>
          </c:tx>
          <c:spPr>
            <a:solidFill>
              <a:srgbClr val="1f3864"/>
            </a:solidFill>
            <a:ln w="1800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Income Statement'!$A$5:$A$40</c:f>
              <c:strCache>
                <c:ptCount val="36"/>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pt idx="12">
                  <c:v>Aug-27</c:v>
                </c:pt>
                <c:pt idx="13">
                  <c:v>Sep-27</c:v>
                </c:pt>
                <c:pt idx="14">
                  <c:v>Oct-27</c:v>
                </c:pt>
                <c:pt idx="15">
                  <c:v>Nov-27</c:v>
                </c:pt>
                <c:pt idx="16">
                  <c:v>Dec-27</c:v>
                </c:pt>
                <c:pt idx="17">
                  <c:v>Jan-28</c:v>
                </c:pt>
                <c:pt idx="18">
                  <c:v>Feb-28</c:v>
                </c:pt>
                <c:pt idx="19">
                  <c:v>Mar-28</c:v>
                </c:pt>
                <c:pt idx="20">
                  <c:v>Apr-28</c:v>
                </c:pt>
                <c:pt idx="21">
                  <c:v>May-28</c:v>
                </c:pt>
                <c:pt idx="22">
                  <c:v>Jun-28</c:v>
                </c:pt>
                <c:pt idx="23">
                  <c:v>Jul-28</c:v>
                </c:pt>
                <c:pt idx="24">
                  <c:v>Aug-28</c:v>
                </c:pt>
                <c:pt idx="25">
                  <c:v>Sep-28</c:v>
                </c:pt>
                <c:pt idx="26">
                  <c:v>Oct-28</c:v>
                </c:pt>
                <c:pt idx="27">
                  <c:v>Nov-28</c:v>
                </c:pt>
                <c:pt idx="28">
                  <c:v>Dec-28</c:v>
                </c:pt>
                <c:pt idx="29">
                  <c:v>Jan-29</c:v>
                </c:pt>
                <c:pt idx="30">
                  <c:v>Feb-29</c:v>
                </c:pt>
                <c:pt idx="31">
                  <c:v>Mar-29</c:v>
                </c:pt>
                <c:pt idx="32">
                  <c:v>Apr-29</c:v>
                </c:pt>
                <c:pt idx="33">
                  <c:v>May-29</c:v>
                </c:pt>
                <c:pt idx="34">
                  <c:v>Jun-29</c:v>
                </c:pt>
                <c:pt idx="35">
                  <c:v>Jul-29</c:v>
                </c:pt>
              </c:strCache>
            </c:strRef>
          </c:cat>
          <c:val>
            <c:numRef>
              <c:f>'Forecast Income Statement'!$C$5:$C$40</c:f>
              <c:numCache>
                <c:formatCode>#,##0;\(#,##0\);\-</c:formatCode>
                <c:ptCount val="36"/>
                <c:pt idx="0">
                  <c:v>19099183.3816667</c:v>
                </c:pt>
                <c:pt idx="1">
                  <c:v>37857684.3033333</c:v>
                </c:pt>
                <c:pt idx="2">
                  <c:v>34278071.5975</c:v>
                </c:pt>
                <c:pt idx="3">
                  <c:v>34352497.0475</c:v>
                </c:pt>
                <c:pt idx="4">
                  <c:v>28694354.4825</c:v>
                </c:pt>
                <c:pt idx="5">
                  <c:v>27982650.8808333</c:v>
                </c:pt>
                <c:pt idx="6">
                  <c:v>29379401.2541667</c:v>
                </c:pt>
                <c:pt idx="7">
                  <c:v>24796341.6083333</c:v>
                </c:pt>
                <c:pt idx="8">
                  <c:v>23577980.0458333</c:v>
                </c:pt>
                <c:pt idx="9">
                  <c:v>25314008.4475</c:v>
                </c:pt>
                <c:pt idx="10">
                  <c:v>20494249.1575</c:v>
                </c:pt>
                <c:pt idx="11">
                  <c:v>16719425.0958333</c:v>
                </c:pt>
                <c:pt idx="12">
                  <c:v>19757697.7746486</c:v>
                </c:pt>
                <c:pt idx="13">
                  <c:v>39770835.9518166</c:v>
                </c:pt>
                <c:pt idx="14">
                  <c:v>35962384.9360677</c:v>
                </c:pt>
                <c:pt idx="15">
                  <c:v>35850232.5576651</c:v>
                </c:pt>
                <c:pt idx="16">
                  <c:v>30033934.7392115</c:v>
                </c:pt>
                <c:pt idx="17">
                  <c:v>29277596.9424475</c:v>
                </c:pt>
                <c:pt idx="18">
                  <c:v>30566666.4386178</c:v>
                </c:pt>
                <c:pt idx="19">
                  <c:v>25895180.6989622</c:v>
                </c:pt>
                <c:pt idx="20">
                  <c:v>24604246.6580229</c:v>
                </c:pt>
                <c:pt idx="21">
                  <c:v>26266492.8058215</c:v>
                </c:pt>
                <c:pt idx="22">
                  <c:v>21363201.980987</c:v>
                </c:pt>
                <c:pt idx="23">
                  <c:v>17405247.2711272</c:v>
                </c:pt>
                <c:pt idx="24">
                  <c:v>20686301.616689</c:v>
                </c:pt>
                <c:pt idx="25">
                  <c:v>42144144.7911329</c:v>
                </c:pt>
                <c:pt idx="26">
                  <c:v>38080284.6962339</c:v>
                </c:pt>
                <c:pt idx="27">
                  <c:v>37790651.2109565</c:v>
                </c:pt>
                <c:pt idx="28">
                  <c:v>31767300.3377779</c:v>
                </c:pt>
                <c:pt idx="29">
                  <c:v>30961116.9414734</c:v>
                </c:pt>
                <c:pt idx="30">
                  <c:v>32160172.9591975</c:v>
                </c:pt>
                <c:pt idx="31">
                  <c:v>27359279.428576</c:v>
                </c:pt>
                <c:pt idx="32">
                  <c:v>25984408.5563771</c:v>
                </c:pt>
                <c:pt idx="33">
                  <c:v>27596568.5122948</c:v>
                </c:pt>
                <c:pt idx="34">
                  <c:v>22574159.7751506</c:v>
                </c:pt>
                <c:pt idx="35">
                  <c:v>18330389.1114224</c:v>
                </c:pt>
              </c:numCache>
            </c:numRef>
          </c:val>
          <c:smooth val="0"/>
        </c:ser>
        <c:ser>
          <c:idx val="1"/>
          <c:order val="1"/>
          <c:tx>
            <c:strRef>
              <c:f>'Forecast Income Statement'!D4</c:f>
              <c:strCache>
                <c:ptCount val="1"/>
                <c:pt idx="0">
                  <c:v>Total Staff Costs</c:v>
                </c:pt>
              </c:strCache>
            </c:strRef>
          </c:tx>
          <c:spPr>
            <a:solidFill>
              <a:srgbClr val="c00000"/>
            </a:solidFill>
            <a:ln w="1800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Income Statement'!$A$5:$A$40</c:f>
              <c:strCache>
                <c:ptCount val="36"/>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pt idx="12">
                  <c:v>Aug-27</c:v>
                </c:pt>
                <c:pt idx="13">
                  <c:v>Sep-27</c:v>
                </c:pt>
                <c:pt idx="14">
                  <c:v>Oct-27</c:v>
                </c:pt>
                <c:pt idx="15">
                  <c:v>Nov-27</c:v>
                </c:pt>
                <c:pt idx="16">
                  <c:v>Dec-27</c:v>
                </c:pt>
                <c:pt idx="17">
                  <c:v>Jan-28</c:v>
                </c:pt>
                <c:pt idx="18">
                  <c:v>Feb-28</c:v>
                </c:pt>
                <c:pt idx="19">
                  <c:v>Mar-28</c:v>
                </c:pt>
                <c:pt idx="20">
                  <c:v>Apr-28</c:v>
                </c:pt>
                <c:pt idx="21">
                  <c:v>May-28</c:v>
                </c:pt>
                <c:pt idx="22">
                  <c:v>Jun-28</c:v>
                </c:pt>
                <c:pt idx="23">
                  <c:v>Jul-28</c:v>
                </c:pt>
                <c:pt idx="24">
                  <c:v>Aug-28</c:v>
                </c:pt>
                <c:pt idx="25">
                  <c:v>Sep-28</c:v>
                </c:pt>
                <c:pt idx="26">
                  <c:v>Oct-28</c:v>
                </c:pt>
                <c:pt idx="27">
                  <c:v>Nov-28</c:v>
                </c:pt>
                <c:pt idx="28">
                  <c:v>Dec-28</c:v>
                </c:pt>
                <c:pt idx="29">
                  <c:v>Jan-29</c:v>
                </c:pt>
                <c:pt idx="30">
                  <c:v>Feb-29</c:v>
                </c:pt>
                <c:pt idx="31">
                  <c:v>Mar-29</c:v>
                </c:pt>
                <c:pt idx="32">
                  <c:v>Apr-29</c:v>
                </c:pt>
                <c:pt idx="33">
                  <c:v>May-29</c:v>
                </c:pt>
                <c:pt idx="34">
                  <c:v>Jun-29</c:v>
                </c:pt>
                <c:pt idx="35">
                  <c:v>Jul-29</c:v>
                </c:pt>
              </c:strCache>
            </c:strRef>
          </c:cat>
          <c:val>
            <c:numRef>
              <c:f>'Forecast Income Statement'!$D$5:$D$40</c:f>
              <c:numCache>
                <c:formatCode>#,##0;\(#,##0\);\-</c:formatCode>
                <c:ptCount val="36"/>
                <c:pt idx="0">
                  <c:v>17590988.8148</c:v>
                </c:pt>
                <c:pt idx="1">
                  <c:v>17590988.8148</c:v>
                </c:pt>
                <c:pt idx="2">
                  <c:v>17590988.8148</c:v>
                </c:pt>
                <c:pt idx="3">
                  <c:v>17590988.8148</c:v>
                </c:pt>
                <c:pt idx="4">
                  <c:v>17590988.8148</c:v>
                </c:pt>
                <c:pt idx="5">
                  <c:v>17590988.8148</c:v>
                </c:pt>
                <c:pt idx="6">
                  <c:v>17590988.8148</c:v>
                </c:pt>
                <c:pt idx="7">
                  <c:v>17590988.8148</c:v>
                </c:pt>
                <c:pt idx="8">
                  <c:v>17590988.8148</c:v>
                </c:pt>
                <c:pt idx="9">
                  <c:v>17590988.8148</c:v>
                </c:pt>
                <c:pt idx="10">
                  <c:v>17590988.8148</c:v>
                </c:pt>
                <c:pt idx="11">
                  <c:v>17590988.8148</c:v>
                </c:pt>
                <c:pt idx="12">
                  <c:v>18629324.4379029</c:v>
                </c:pt>
                <c:pt idx="13">
                  <c:v>18629324.4379029</c:v>
                </c:pt>
                <c:pt idx="14">
                  <c:v>18629324.4379029</c:v>
                </c:pt>
                <c:pt idx="15">
                  <c:v>18629324.4379029</c:v>
                </c:pt>
                <c:pt idx="16">
                  <c:v>18629324.4379029</c:v>
                </c:pt>
                <c:pt idx="17">
                  <c:v>18629324.4379029</c:v>
                </c:pt>
                <c:pt idx="18">
                  <c:v>18629324.4379029</c:v>
                </c:pt>
                <c:pt idx="19">
                  <c:v>18629324.4379029</c:v>
                </c:pt>
                <c:pt idx="20">
                  <c:v>18629324.4379029</c:v>
                </c:pt>
                <c:pt idx="21">
                  <c:v>18629324.4379029</c:v>
                </c:pt>
                <c:pt idx="22">
                  <c:v>18629324.4379029</c:v>
                </c:pt>
                <c:pt idx="23">
                  <c:v>18629324.4379029</c:v>
                </c:pt>
                <c:pt idx="24">
                  <c:v>19729056.3416663</c:v>
                </c:pt>
                <c:pt idx="25">
                  <c:v>19729056.3416663</c:v>
                </c:pt>
                <c:pt idx="26">
                  <c:v>19729056.3416663</c:v>
                </c:pt>
                <c:pt idx="27">
                  <c:v>19729056.3416663</c:v>
                </c:pt>
                <c:pt idx="28">
                  <c:v>19729056.3416663</c:v>
                </c:pt>
                <c:pt idx="29">
                  <c:v>19729056.3416663</c:v>
                </c:pt>
                <c:pt idx="30">
                  <c:v>19729056.3416663</c:v>
                </c:pt>
                <c:pt idx="31">
                  <c:v>19729056.3416663</c:v>
                </c:pt>
                <c:pt idx="32">
                  <c:v>19729056.3416663</c:v>
                </c:pt>
                <c:pt idx="33">
                  <c:v>19729056.3416663</c:v>
                </c:pt>
                <c:pt idx="34">
                  <c:v>19729056.3416663</c:v>
                </c:pt>
                <c:pt idx="35">
                  <c:v>19729056.3416663</c:v>
                </c:pt>
              </c:numCache>
            </c:numRef>
          </c:val>
          <c:smooth val="0"/>
        </c:ser>
        <c:ser>
          <c:idx val="2"/>
          <c:order val="2"/>
          <c:tx>
            <c:strRef>
              <c:f>'Forecast Income Statement'!E4</c:f>
              <c:strCache>
                <c:ptCount val="1"/>
                <c:pt idx="0">
                  <c:v>Total Operating Expenditure</c:v>
                </c:pt>
              </c:strCache>
            </c:strRef>
          </c:tx>
          <c:spPr>
            <a:solidFill>
              <a:srgbClr val="bf8f00"/>
            </a:solidFill>
            <a:ln w="18000">
              <a:solidFill>
                <a:srgbClr val="bf8f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 Income Statement'!$A$5:$A$40</c:f>
              <c:strCache>
                <c:ptCount val="36"/>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pt idx="12">
                  <c:v>Aug-27</c:v>
                </c:pt>
                <c:pt idx="13">
                  <c:v>Sep-27</c:v>
                </c:pt>
                <c:pt idx="14">
                  <c:v>Oct-27</c:v>
                </c:pt>
                <c:pt idx="15">
                  <c:v>Nov-27</c:v>
                </c:pt>
                <c:pt idx="16">
                  <c:v>Dec-27</c:v>
                </c:pt>
                <c:pt idx="17">
                  <c:v>Jan-28</c:v>
                </c:pt>
                <c:pt idx="18">
                  <c:v>Feb-28</c:v>
                </c:pt>
                <c:pt idx="19">
                  <c:v>Mar-28</c:v>
                </c:pt>
                <c:pt idx="20">
                  <c:v>Apr-28</c:v>
                </c:pt>
                <c:pt idx="21">
                  <c:v>May-28</c:v>
                </c:pt>
                <c:pt idx="22">
                  <c:v>Jun-28</c:v>
                </c:pt>
                <c:pt idx="23">
                  <c:v>Jul-28</c:v>
                </c:pt>
                <c:pt idx="24">
                  <c:v>Aug-28</c:v>
                </c:pt>
                <c:pt idx="25">
                  <c:v>Sep-28</c:v>
                </c:pt>
                <c:pt idx="26">
                  <c:v>Oct-28</c:v>
                </c:pt>
                <c:pt idx="27">
                  <c:v>Nov-28</c:v>
                </c:pt>
                <c:pt idx="28">
                  <c:v>Dec-28</c:v>
                </c:pt>
                <c:pt idx="29">
                  <c:v>Jan-29</c:v>
                </c:pt>
                <c:pt idx="30">
                  <c:v>Feb-29</c:v>
                </c:pt>
                <c:pt idx="31">
                  <c:v>Mar-29</c:v>
                </c:pt>
                <c:pt idx="32">
                  <c:v>Apr-29</c:v>
                </c:pt>
                <c:pt idx="33">
                  <c:v>May-29</c:v>
                </c:pt>
                <c:pt idx="34">
                  <c:v>Jun-29</c:v>
                </c:pt>
                <c:pt idx="35">
                  <c:v>Jul-29</c:v>
                </c:pt>
              </c:strCache>
            </c:strRef>
          </c:cat>
          <c:val>
            <c:numRef>
              <c:f>'Forecast Income Statement'!$E$5:$E$40</c:f>
              <c:numCache>
                <c:formatCode>#,##0;\(#,##0\);\-</c:formatCode>
                <c:ptCount val="36"/>
                <c:pt idx="0">
                  <c:v>10179484.425</c:v>
                </c:pt>
                <c:pt idx="1">
                  <c:v>9211965.045</c:v>
                </c:pt>
                <c:pt idx="2">
                  <c:v>8343872.595</c:v>
                </c:pt>
                <c:pt idx="3">
                  <c:v>8845009.245</c:v>
                </c:pt>
                <c:pt idx="4">
                  <c:v>9981020.76</c:v>
                </c:pt>
                <c:pt idx="5">
                  <c:v>9542650.995</c:v>
                </c:pt>
                <c:pt idx="6">
                  <c:v>9994417.8</c:v>
                </c:pt>
                <c:pt idx="7">
                  <c:v>8542695.405</c:v>
                </c:pt>
                <c:pt idx="8">
                  <c:v>8043004.305</c:v>
                </c:pt>
                <c:pt idx="9">
                  <c:v>8193695.475</c:v>
                </c:pt>
                <c:pt idx="10">
                  <c:v>8912542.305</c:v>
                </c:pt>
                <c:pt idx="11">
                  <c:v>9664641.615</c:v>
                </c:pt>
                <c:pt idx="12">
                  <c:v>10541612.968875</c:v>
                </c:pt>
                <c:pt idx="13">
                  <c:v>9541065.638325</c:v>
                </c:pt>
                <c:pt idx="14">
                  <c:v>8644260.408075</c:v>
                </c:pt>
                <c:pt idx="15">
                  <c:v>9165442.524075</c:v>
                </c:pt>
                <c:pt idx="16">
                  <c:v>10342049.66985</c:v>
                </c:pt>
                <c:pt idx="17">
                  <c:v>9887501.735325</c:v>
                </c:pt>
                <c:pt idx="18">
                  <c:v>10353409.923</c:v>
                </c:pt>
                <c:pt idx="19">
                  <c:v>8849206.788675</c:v>
                </c:pt>
                <c:pt idx="20">
                  <c:v>8330356.044675</c:v>
                </c:pt>
                <c:pt idx="21">
                  <c:v>8485486.177875</c:v>
                </c:pt>
                <c:pt idx="22">
                  <c:v>9229492.646925</c:v>
                </c:pt>
                <c:pt idx="23">
                  <c:v>10007915.432775</c:v>
                </c:pt>
                <c:pt idx="24">
                  <c:v>10910569.4227856</c:v>
                </c:pt>
                <c:pt idx="25">
                  <c:v>9875002.93566637</c:v>
                </c:pt>
                <c:pt idx="26">
                  <c:v>8946809.52235762</c:v>
                </c:pt>
                <c:pt idx="27">
                  <c:v>9486233.01241762</c:v>
                </c:pt>
                <c:pt idx="28">
                  <c:v>10704021.4082947</c:v>
                </c:pt>
                <c:pt idx="29">
                  <c:v>10233564.2960614</c:v>
                </c:pt>
                <c:pt idx="30">
                  <c:v>10715779.270305</c:v>
                </c:pt>
                <c:pt idx="31">
                  <c:v>9158929.02627862</c:v>
                </c:pt>
                <c:pt idx="32">
                  <c:v>8621918.50623862</c:v>
                </c:pt>
                <c:pt idx="33">
                  <c:v>8782478.19410062</c:v>
                </c:pt>
                <c:pt idx="34">
                  <c:v>9552524.88956737</c:v>
                </c:pt>
                <c:pt idx="35">
                  <c:v>10358192.4729221</c:v>
                </c:pt>
              </c:numCache>
            </c:numRef>
          </c:val>
          <c:smooth val="0"/>
        </c:ser>
        <c:hiLowLines>
          <c:spPr>
            <a:ln w="0">
              <a:noFill/>
            </a:ln>
          </c:spPr>
        </c:hiLowLines>
        <c:marker val="0"/>
        <c:axId val="19510254"/>
        <c:axId val="39977724"/>
      </c:lineChart>
      <c:catAx>
        <c:axId val="1951025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yy"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977724"/>
        <c:crosses val="autoZero"/>
        <c:auto val="1"/>
        <c:lblAlgn val="ctr"/>
        <c:lblOffset val="100"/>
        <c:noMultiLvlLbl val="0"/>
      </c:catAx>
      <c:valAx>
        <c:axId val="3997772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95102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Cash Position</a:t>
            </a:r>
          </a:p>
        </c:rich>
      </c:tx>
      <c:overlay val="0"/>
      <c:spPr>
        <a:noFill/>
        <a:ln w="0">
          <a:noFill/>
        </a:ln>
      </c:spPr>
    </c:title>
    <c:autoTitleDeleted val="0"/>
    <c:plotArea>
      <c:lineChart>
        <c:grouping val="standard"/>
        <c:varyColors val="0"/>
        <c:ser>
          <c:idx val="0"/>
          <c:order val="0"/>
          <c:tx>
            <c:strRef>
              <c:f>'Cash Flow Forecast'!F4</c:f>
              <c:strCache>
                <c:ptCount val="1"/>
                <c:pt idx="0">
                  <c:v>Closing Cash</c:v>
                </c:pt>
              </c:strCache>
            </c:strRef>
          </c:tx>
          <c:spPr>
            <a:solidFill>
              <a:srgbClr val="375623"/>
            </a:solidFill>
            <a:ln w="20160">
              <a:solidFill>
                <a:srgbClr val="37562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 Forecast'!$A$5:$A$40</c:f>
              <c:strCache>
                <c:ptCount val="36"/>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pt idx="12">
                  <c:v>Aug-27</c:v>
                </c:pt>
                <c:pt idx="13">
                  <c:v>Sep-27</c:v>
                </c:pt>
                <c:pt idx="14">
                  <c:v>Oct-27</c:v>
                </c:pt>
                <c:pt idx="15">
                  <c:v>Nov-27</c:v>
                </c:pt>
                <c:pt idx="16">
                  <c:v>Dec-27</c:v>
                </c:pt>
                <c:pt idx="17">
                  <c:v>Jan-28</c:v>
                </c:pt>
                <c:pt idx="18">
                  <c:v>Feb-28</c:v>
                </c:pt>
                <c:pt idx="19">
                  <c:v>Mar-28</c:v>
                </c:pt>
                <c:pt idx="20">
                  <c:v>Apr-28</c:v>
                </c:pt>
                <c:pt idx="21">
                  <c:v>May-28</c:v>
                </c:pt>
                <c:pt idx="22">
                  <c:v>Jun-28</c:v>
                </c:pt>
                <c:pt idx="23">
                  <c:v>Jul-28</c:v>
                </c:pt>
                <c:pt idx="24">
                  <c:v>Aug-28</c:v>
                </c:pt>
                <c:pt idx="25">
                  <c:v>Sep-28</c:v>
                </c:pt>
                <c:pt idx="26">
                  <c:v>Oct-28</c:v>
                </c:pt>
                <c:pt idx="27">
                  <c:v>Nov-28</c:v>
                </c:pt>
                <c:pt idx="28">
                  <c:v>Dec-28</c:v>
                </c:pt>
                <c:pt idx="29">
                  <c:v>Jan-29</c:v>
                </c:pt>
                <c:pt idx="30">
                  <c:v>Feb-29</c:v>
                </c:pt>
                <c:pt idx="31">
                  <c:v>Mar-29</c:v>
                </c:pt>
                <c:pt idx="32">
                  <c:v>Apr-29</c:v>
                </c:pt>
                <c:pt idx="33">
                  <c:v>May-29</c:v>
                </c:pt>
                <c:pt idx="34">
                  <c:v>Jun-29</c:v>
                </c:pt>
                <c:pt idx="35">
                  <c:v>Jul-29</c:v>
                </c:pt>
              </c:strCache>
            </c:strRef>
          </c:cat>
          <c:val>
            <c:numRef>
              <c:f>'Cash Flow Forecast'!$F$5:$F$40</c:f>
              <c:numCache>
                <c:formatCode>#,##0;\(#,##0\);\-</c:formatCode>
                <c:ptCount val="36"/>
                <c:pt idx="0">
                  <c:v>38480893.4304891</c:v>
                </c:pt>
                <c:pt idx="1">
                  <c:v>48660623.8740224</c:v>
                </c:pt>
                <c:pt idx="2">
                  <c:v>56128834.0617224</c:v>
                </c:pt>
                <c:pt idx="3">
                  <c:v>63170333.0494224</c:v>
                </c:pt>
                <c:pt idx="4">
                  <c:v>63417677.9571224</c:v>
                </c:pt>
                <c:pt idx="5">
                  <c:v>63391689.0281557</c:v>
                </c:pt>
                <c:pt idx="6">
                  <c:v>64310683.6675224</c:v>
                </c:pt>
                <c:pt idx="7">
                  <c:v>62098341.0560557</c:v>
                </c:pt>
                <c:pt idx="8">
                  <c:v>59167327.982089</c:v>
                </c:pt>
                <c:pt idx="9">
                  <c:v>57821652.139789</c:v>
                </c:pt>
                <c:pt idx="10">
                  <c:v>50937370.177489</c:v>
                </c:pt>
                <c:pt idx="11">
                  <c:v>39526164.8435224</c:v>
                </c:pt>
                <c:pt idx="12">
                  <c:v>29196258.5447264</c:v>
                </c:pt>
                <c:pt idx="13">
                  <c:v>39880037.7536484</c:v>
                </c:pt>
                <c:pt idx="14">
                  <c:v>47652171.1770716</c:v>
                </c:pt>
                <c:pt idx="15">
                  <c:v>54790970.1060921</c:v>
                </c:pt>
                <c:pt idx="16">
                  <c:v>54936864.070884</c:v>
                </c:pt>
                <c:pt idx="17">
                  <c:v>54780968.173437</c:v>
                </c:pt>
                <c:pt idx="18">
                  <c:v>55448233.5844853</c:v>
                </c:pt>
                <c:pt idx="19">
                  <c:v>52948216.3902029</c:v>
                </c:pt>
                <c:pt idx="20">
                  <c:v>49676115.8989813</c:v>
                </c:pt>
                <c:pt idx="21">
                  <c:v>47911131.4223583</c:v>
                </c:pt>
                <c:pt idx="22">
                  <c:v>40498849.6518507</c:v>
                </c:pt>
                <c:pt idx="23">
                  <c:v>28350190.3856333</c:v>
                </c:pt>
                <c:pt idx="24">
                  <c:v>17438532.9045371</c:v>
                </c:pt>
                <c:pt idx="25">
                  <c:v>29020285.085004</c:v>
                </c:pt>
                <c:pt idx="26">
                  <c:v>37466370.5838807</c:v>
                </c:pt>
                <c:pt idx="27">
                  <c:v>45083399.1074199</c:v>
                </c:pt>
                <c:pt idx="28">
                  <c:v>45459288.3619034</c:v>
                </c:pt>
                <c:pt idx="29">
                  <c:v>45499451.3323159</c:v>
                </c:pt>
                <c:pt idx="30">
                  <c:v>46256455.3462088</c:v>
                </c:pt>
                <c:pt idx="31">
                  <c:v>43769416.0735066</c:v>
                </c:pt>
                <c:pt idx="32">
                  <c:v>40444516.4486454</c:v>
                </c:pt>
                <c:pt idx="33">
                  <c:v>38571217.09184</c:v>
                </c:pt>
                <c:pt idx="34">
                  <c:v>30905462.3024235</c:v>
                </c:pt>
                <c:pt idx="35">
                  <c:v>18190269.2659242</c:v>
                </c:pt>
              </c:numCache>
            </c:numRef>
          </c:val>
          <c:smooth val="0"/>
        </c:ser>
        <c:hiLowLines>
          <c:spPr>
            <a:ln w="0">
              <a:noFill/>
            </a:ln>
          </c:spPr>
        </c:hiLowLines>
        <c:marker val="0"/>
        <c:axId val="34480664"/>
        <c:axId val="61501137"/>
      </c:lineChart>
      <c:catAx>
        <c:axId val="344806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yy"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501137"/>
        <c:crosses val="autoZero"/>
        <c:auto val="1"/>
        <c:lblAlgn val="ctr"/>
        <c:lblOffset val="100"/>
        <c:noMultiLvlLbl val="0"/>
      </c:catAx>
      <c:valAx>
        <c:axId val="6150113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48066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FY28/29 Operating Surplus &amp; Closing Cash by Scenario</a:t>
            </a:r>
          </a:p>
        </c:rich>
      </c:tx>
      <c:overlay val="0"/>
      <c:spPr>
        <a:noFill/>
        <a:ln w="0">
          <a:noFill/>
        </a:ln>
      </c:spPr>
    </c:title>
    <c:autoTitleDeleted val="0"/>
    <c:plotArea>
      <c:barChart>
        <c:barDir val="col"/>
        <c:grouping val="clustered"/>
        <c:varyColors val="0"/>
        <c:ser>
          <c:idx val="0"/>
          <c:order val="0"/>
          <c:tx>
            <c:strRef>
              <c:f>'Executive Dashboard'!B28</c:f>
              <c:strCache>
                <c:ptCount val="1"/>
                <c:pt idx="0">
                  <c:v>Operating Surplus / (Deficit) (£)</c:v>
                </c:pt>
              </c:strCache>
            </c:strRef>
          </c:tx>
          <c:spPr>
            <a:solidFill>
              <a:srgbClr val="1f3864"/>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Dashboard'!$A$29:$A$31</c:f>
              <c:strCache>
                <c:ptCount val="3"/>
                <c:pt idx="0">
                  <c:v>Base</c:v>
                </c:pt>
                <c:pt idx="1">
                  <c:v>Upside</c:v>
                </c:pt>
                <c:pt idx="2">
                  <c:v>Downside</c:v>
                </c:pt>
              </c:strCache>
            </c:strRef>
          </c:cat>
          <c:val>
            <c:numRef>
              <c:f>'Executive Dashboard'!$B$29:$B$31</c:f>
              <c:numCache>
                <c:formatCode>#,##0;\(#,##0\);\-</c:formatCode>
                <c:ptCount val="3"/>
                <c:pt idx="0">
                  <c:v>1340078.88029087</c:v>
                </c:pt>
                <c:pt idx="1">
                  <c:v>24851873.0300317</c:v>
                </c:pt>
                <c:pt idx="2">
                  <c:v>-33983416.2880397</c:v>
                </c:pt>
              </c:numCache>
            </c:numRef>
          </c:val>
        </c:ser>
        <c:ser>
          <c:idx val="1"/>
          <c:order val="1"/>
          <c:tx>
            <c:strRef>
              <c:f>'Executive Dashboard'!C28</c:f>
              <c:strCache>
                <c:ptCount val="1"/>
                <c:pt idx="0">
                  <c:v>Closing Cash (£)</c:v>
                </c:pt>
              </c:strCache>
            </c:strRef>
          </c:tx>
          <c:spPr>
            <a:solidFill>
              <a:srgbClr val="70ad47"/>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Dashboard'!$A$29:$A$31</c:f>
              <c:strCache>
                <c:ptCount val="3"/>
                <c:pt idx="0">
                  <c:v>Base</c:v>
                </c:pt>
                <c:pt idx="1">
                  <c:v>Upside</c:v>
                </c:pt>
                <c:pt idx="2">
                  <c:v>Downside</c:v>
                </c:pt>
              </c:strCache>
            </c:strRef>
          </c:cat>
          <c:val>
            <c:numRef>
              <c:f>'Executive Dashboard'!$C$29:$C$31</c:f>
              <c:numCache>
                <c:formatCode>#,##0;\(#,##0\);\-</c:formatCode>
                <c:ptCount val="3"/>
                <c:pt idx="0">
                  <c:v>18190269.2659242</c:v>
                </c:pt>
                <c:pt idx="1">
                  <c:v>63347331.5125382</c:v>
                </c:pt>
                <c:pt idx="2">
                  <c:v>-50162673.0482786</c:v>
                </c:pt>
              </c:numCache>
            </c:numRef>
          </c:val>
        </c:ser>
        <c:gapWidth val="150"/>
        <c:overlap val="0"/>
        <c:axId val="94934574"/>
        <c:axId val="13685132"/>
      </c:barChart>
      <c:catAx>
        <c:axId val="94934574"/>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3685132"/>
        <c:crosses val="autoZero"/>
        <c:auto val="1"/>
        <c:lblAlgn val="ctr"/>
        <c:lblOffset val="100"/>
        <c:noMultiLvlLbl val="0"/>
      </c:catAx>
      <c:valAx>
        <c:axId val="1368513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9345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FY28/29 Operating Margin % by Scenario</a:t>
            </a:r>
          </a:p>
        </c:rich>
      </c:tx>
      <c:overlay val="0"/>
      <c:spPr>
        <a:noFill/>
        <a:ln w="0">
          <a:noFill/>
        </a:ln>
      </c:spPr>
    </c:title>
    <c:autoTitleDeleted val="0"/>
    <c:plotArea>
      <c:barChart>
        <c:barDir val="col"/>
        <c:grouping val="clustered"/>
        <c:varyColors val="0"/>
        <c:ser>
          <c:idx val="0"/>
          <c:order val="0"/>
          <c:tx>
            <c:strRef>
              <c:f>'Executive Dashboard'!D28</c:f>
              <c:strCache>
                <c:ptCount val="1"/>
                <c:pt idx="0">
                  <c:v>Operating Margin %</c:v>
                </c:pt>
              </c:strCache>
            </c:strRef>
          </c:tx>
          <c:spPr>
            <a:solidFill>
              <a:srgbClr val="bf8f00"/>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Dashboard'!$A$29:$A$31</c:f>
              <c:strCache>
                <c:ptCount val="3"/>
                <c:pt idx="0">
                  <c:v>Base</c:v>
                </c:pt>
                <c:pt idx="1">
                  <c:v>Upside</c:v>
                </c:pt>
                <c:pt idx="2">
                  <c:v>Downside</c:v>
                </c:pt>
              </c:strCache>
            </c:strRef>
          </c:cat>
          <c:val>
            <c:numRef>
              <c:f>'Executive Dashboard'!$D$29:$D$31</c:f>
              <c:numCache>
                <c:formatCode>0.0%</c:formatCode>
                <c:ptCount val="3"/>
                <c:pt idx="0">
                  <c:v>0.00377025255679209</c:v>
                </c:pt>
                <c:pt idx="1">
                  <c:v>0.067076735164346</c:v>
                </c:pt>
                <c:pt idx="2">
                  <c:v>-0.101770173811489</c:v>
                </c:pt>
              </c:numCache>
            </c:numRef>
          </c:val>
        </c:ser>
        <c:gapWidth val="150"/>
        <c:overlap val="0"/>
        <c:axId val="42981495"/>
        <c:axId val="42069579"/>
      </c:barChart>
      <c:catAx>
        <c:axId val="4298149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2069579"/>
        <c:crosses val="autoZero"/>
        <c:auto val="1"/>
        <c:lblAlgn val="ctr"/>
        <c:lblOffset val="100"/>
        <c:noMultiLvlLbl val="0"/>
      </c:catAx>
      <c:valAx>
        <c:axId val="4206957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29814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134640</xdr:rowOff>
    </xdr:from>
    <xdr:to>
      <xdr:col>4</xdr:col>
      <xdr:colOff>450360</xdr:colOff>
      <xdr:row>22</xdr:row>
      <xdr:rowOff>167040</xdr:rowOff>
    </xdr:to>
    <xdr:graphicFrame>
      <xdr:nvGraphicFramePr>
        <xdr:cNvPr id="0" name="Chart 1"/>
        <xdr:cNvGraphicFramePr/>
      </xdr:nvGraphicFramePr>
      <xdr:xfrm>
        <a:off x="0" y="2333520"/>
        <a:ext cx="46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8</xdr:row>
      <xdr:rowOff>134640</xdr:rowOff>
    </xdr:from>
    <xdr:to>
      <xdr:col>9</xdr:col>
      <xdr:colOff>450360</xdr:colOff>
      <xdr:row>22</xdr:row>
      <xdr:rowOff>167040</xdr:rowOff>
    </xdr:to>
    <xdr:graphicFrame>
      <xdr:nvGraphicFramePr>
        <xdr:cNvPr id="1" name="Chart 2"/>
        <xdr:cNvGraphicFramePr/>
      </xdr:nvGraphicFramePr>
      <xdr:xfrm>
        <a:off x="5286240" y="2333520"/>
        <a:ext cx="467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8</xdr:row>
      <xdr:rowOff>134640</xdr:rowOff>
    </xdr:from>
    <xdr:to>
      <xdr:col>14</xdr:col>
      <xdr:colOff>450720</xdr:colOff>
      <xdr:row>22</xdr:row>
      <xdr:rowOff>167040</xdr:rowOff>
    </xdr:to>
    <xdr:graphicFrame>
      <xdr:nvGraphicFramePr>
        <xdr:cNvPr id="2" name="Chart 3"/>
        <xdr:cNvGraphicFramePr/>
      </xdr:nvGraphicFramePr>
      <xdr:xfrm>
        <a:off x="10572840" y="2333520"/>
        <a:ext cx="46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31</xdr:row>
      <xdr:rowOff>134640</xdr:rowOff>
    </xdr:from>
    <xdr:to>
      <xdr:col>4</xdr:col>
      <xdr:colOff>450360</xdr:colOff>
      <xdr:row>45</xdr:row>
      <xdr:rowOff>167400</xdr:rowOff>
    </xdr:to>
    <xdr:graphicFrame>
      <xdr:nvGraphicFramePr>
        <xdr:cNvPr id="3" name="Chart 4"/>
        <xdr:cNvGraphicFramePr/>
      </xdr:nvGraphicFramePr>
      <xdr:xfrm>
        <a:off x="0" y="6877080"/>
        <a:ext cx="46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31</xdr:row>
      <xdr:rowOff>134640</xdr:rowOff>
    </xdr:from>
    <xdr:to>
      <xdr:col>9</xdr:col>
      <xdr:colOff>450360</xdr:colOff>
      <xdr:row>45</xdr:row>
      <xdr:rowOff>167400</xdr:rowOff>
    </xdr:to>
    <xdr:graphicFrame>
      <xdr:nvGraphicFramePr>
        <xdr:cNvPr id="4" name="Chart 5"/>
        <xdr:cNvGraphicFramePr/>
      </xdr:nvGraphicFramePr>
      <xdr:xfrm>
        <a:off x="5286240" y="6877080"/>
        <a:ext cx="467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Relationships xmlns="http://schemas.openxmlformats.org/package/2006/relationships"><Relationship Id="rId1" Type="http://schemas.openxmlformats.org/officeDocument/2006/relationships/pivotCacheRecords" Target="pivotCacheRecords3.xml"/>
</Relationships>
</file>

<file path=xl/pivotCache/pivotCacheDefinition1.xml><?xml version="1.0" encoding="utf-8"?>
<pivotCacheDefinition xmlns="http://schemas.openxmlformats.org/spreadsheetml/2006/main" xmlns:r="http://schemas.openxmlformats.org/officeDocument/2006/relationships" r:id="rId1" recordCount="36" createdVersion="3">
  <cacheSource type="worksheet">
    <worksheetSource ref="A4:M40" sheet="Income"/>
  </cacheSource>
  <cacheFields count="13">
    <cacheField name="Month" numFmtId="0">
      <sharedItems containsSemiMixedTypes="0" containsNonDate="0" containsDate="1" containsString="0" minDate="2023-08-01T00:00:00" maxDate="2026-07-01T00:00:00" count="36">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cacheField>
    <cacheField name="FY" numFmtId="0">
      <sharedItems count="3">
        <s v="FY23/24"/>
        <s v="FY24/25"/>
        <s v="FY25/26"/>
      </sharedItems>
    </cacheField>
    <cacheField name="UK Undergraduate Tuition" numFmtId="0">
      <sharedItems containsSemiMixedTypes="0" containsString="0" containsNumber="1" minValue="4625000" maxValue="7349895.83333333" count="35">
        <n v="4625000"/>
        <n v="4690520.83333333"/>
        <n v="4704395.83333333"/>
        <n v="4770687.5"/>
        <n v="4906552.08333333"/>
        <n v="4959789.16666667"/>
        <n v="6822645.83333333"/>
        <n v="6838062.5"/>
        <n v="6848083.33333333"/>
        <n v="6857333.33333333"/>
        <n v="6872750"/>
        <n v="6880458.33333333"/>
        <n v="6881229.16666667"/>
        <n v="6884312.5"/>
        <n v="6898958.33333333"/>
        <n v="6908979.16666667"/>
        <n v="6914375"/>
        <n v="6923625"/>
        <n v="6937500"/>
        <n v="6942895.83333333"/>
        <n v="6943666.66666667"/>
        <n v="6969875"/>
        <n v="6992229.16666667"/>
        <n v="7019208.33333333"/>
        <n v="7039250"/>
        <n v="7234681.25"/>
        <n v="7235475.83333333"/>
        <n v="7236270.41666667"/>
        <n v="7237859.58333333"/>
        <n v="7271232.08333333"/>
        <n v="7305399.16666667"/>
        <n v="7311755.83333333"/>
        <n v="7318907.08333333"/>
        <n v="7322880"/>
        <n v="7349895.83333333"/>
      </sharedItems>
    </cacheField>
    <cacheField name="International Undergraduate Tuition" numFmtId="0">
      <sharedItems containsSemiMixedTypes="0" containsString="0" containsNumber="1" minValue="2216666.66666667" maxValue="3638316.66666667" count="32">
        <n v="2216666.66666667"/>
        <n v="2240416.66666667"/>
        <n v="2335812.5"/>
        <n v="2402312.5"/>
        <n v="2430200"/>
        <n v="2529712.5"/>
        <n v="3215750"/>
        <n v="3249000"/>
        <n v="3252166.66666667"/>
        <n v="3264833.33333333"/>
        <n v="3280666.66666667"/>
        <n v="3282250"/>
        <n v="3293333.33333333"/>
        <n v="3298083.33333333"/>
        <n v="3336083.33333333"/>
        <n v="3504550"/>
        <n v="3511200"/>
        <n v="3517850"/>
        <n v="3522837.5"/>
        <n v="3531150"/>
        <n v="3545787.5"/>
        <n v="3547533.33333333"/>
        <n v="3547775"/>
        <n v="3568483.33333333"/>
        <n v="3582687.5"/>
        <n v="3599908.33333333"/>
        <n v="3601654.16666667"/>
        <n v="3608637.5"/>
        <n v="3613875"/>
        <n v="3619262.5"/>
        <n v="3634825"/>
        <n v="3638316.66666667"/>
      </sharedItems>
    </cacheField>
    <cacheField name="UK Postgraduate Tuition" numFmtId="0">
      <sharedItems containsSemiMixedTypes="0" containsString="0" containsNumber="1" minValue="149500" maxValue="6513600" count="36">
        <n v="149500"/>
        <n v="579550"/>
        <n v="639112.5"/>
        <n v="702812.5"/>
        <n v="778875"/>
        <n v="813337.5"/>
        <n v="882375"/>
        <n v="963962.5"/>
        <n v="1021200"/>
        <n v="1091187.5"/>
        <n v="1216050"/>
        <n v="1272187.5"/>
        <n v="1373125"/>
        <n v="1497450"/>
        <n v="1605975"/>
        <n v="1703000"/>
        <n v="1901962.5"/>
        <n v="1982887.5"/>
        <n v="2143375"/>
        <n v="2334950"/>
        <n v="2490900"/>
        <n v="2677187.5"/>
        <n v="2855937.5"/>
        <n v="2963075"/>
        <n v="3111900"/>
        <n v="3172450"/>
        <n v="3364612.5"/>
        <n v="3603437.5"/>
        <n v="3944625"/>
        <n v="4244362.5"/>
        <n v="4508562.5"/>
        <n v="4986475"/>
        <n v="5299200"/>
        <n v="5605437.5"/>
        <n v="6215925"/>
        <n v="6513600"/>
      </sharedItems>
    </cacheField>
    <cacheField name="International Postgraduate Tuition" numFmtId="0">
      <sharedItems containsSemiMixedTypes="0" containsString="0" containsNumber="1" minValue="312000" maxValue="11758458.3333333" count="36">
        <n v="312000"/>
        <n v="990833.333333333"/>
        <n v="1141291.66666667"/>
        <n v="1192750"/>
        <n v="1234458.33333333"/>
        <n v="1373500"/>
        <n v="1499875"/>
        <n v="1555166.66666667"/>
        <n v="1703208.33333333"/>
        <n v="1891500"/>
        <n v="1947541.66666667"/>
        <n v="2155916.66666667"/>
        <n v="2370875"/>
        <n v="2476083.33333333"/>
        <n v="2719666.66666667"/>
        <n v="2986750"/>
        <n v="3067333.33333333"/>
        <n v="3396166.66666667"/>
        <n v="3747250"/>
        <n v="3861041.66666667"/>
        <n v="4344291.66666667"/>
        <n v="4733625"/>
        <n v="4885875"/>
        <n v="5172375"/>
        <n v="5319458.33333333"/>
        <n v="5430791.66666667"/>
        <n v="5898875"/>
        <n v="6462625"/>
        <n v="6731291.66666667"/>
        <n v="7438083.33333333"/>
        <n v="8196500"/>
        <n v="8404708.33333333"/>
        <n v="9486375"/>
        <n v="10154625"/>
        <n v="10624583.3333333"/>
        <n v="11758458.3333333"/>
      </sharedItems>
    </cacheField>
    <cacheField name="Postgraduate Research (PGR) Tuition" numFmtId="0">
      <sharedItems containsSemiMixedTypes="0" containsString="0" containsNumber="1" minValue="405166.666666667" maxValue="709479.166666667" count="32">
        <n v="405166.666666667"/>
        <n v="443083.333333333"/>
        <n v="456158.333333333"/>
        <n v="492450"/>
        <n v="504454.166666667"/>
        <n v="538416.666666667"/>
        <n v="540941.666666667"/>
        <n v="541125"/>
        <n v="542208.333333333"/>
        <n v="544916.666666667"/>
        <n v="573625"/>
        <n v="575250"/>
        <n v="575791.666666667"/>
        <n v="581208.333333333"/>
        <n v="596300"/>
        <n v="597416.666666667"/>
        <n v="599650"/>
        <n v="602441.666666667"/>
        <n v="634825"/>
        <n v="637616.666666667"/>
        <n v="639291.666666667"/>
        <n v="640408.333333333"/>
        <n v="652141.666666667"/>
        <n v="653879.166666667"/>
        <n v="657933.333333333"/>
        <n v="662566.666666667"/>
        <n v="695579.166666667"/>
        <n v="696158.333333333"/>
        <n v="697895.833333333"/>
        <n v="699054.166666667"/>
        <n v="701370.833333333"/>
        <n v="709479.166666667"/>
      </sharedItems>
    </cacheField>
    <cacheField name="Research Grants &amp; Contracts" numFmtId="0">
      <sharedItems containsSemiMixedTypes="0" containsString="0" containsNumber="1" containsInteger="1" minValue="2400000" maxValue="3190000" count="15">
        <n v="2400000"/>
        <n v="2512500"/>
        <n v="2533333"/>
        <n v="2610000"/>
        <n v="2652083"/>
        <n v="2666667"/>
        <n v="2755000"/>
        <n v="2791667"/>
        <n v="2800000"/>
        <n v="2900000"/>
        <n v="2931250"/>
        <n v="2933333"/>
        <n v="3045000"/>
        <n v="3070833"/>
        <n v="3190000"/>
      </sharedItems>
    </cacheField>
    <cacheField name="Government &amp; Funding Body Grants" numFmtId="0">
      <sharedItems containsSemiMixedTypes="0" containsString="0" containsNumber="1" containsInteger="1" minValue="548077" maxValue="3692308" count="4">
        <n v="548077"/>
        <n v="553846"/>
        <n v="3653846"/>
        <n v="3692308"/>
      </sharedItems>
    </cacheField>
    <cacheField name="Student Accommodation Income" numFmtId="0">
      <sharedItems containsSemiMixedTypes="0" containsString="0" containsNumber="1" containsInteger="1" minValue="1000000" maxValue="2838333" count="21">
        <n v="1000000"/>
        <n v="1045833"/>
        <n v="1091667"/>
        <n v="1200000"/>
        <n v="1255000"/>
        <n v="1310000"/>
        <n v="2000000"/>
        <n v="2091667"/>
        <n v="2183333"/>
        <n v="2200000"/>
        <n v="2300000"/>
        <n v="2300833"/>
        <n v="2401667"/>
        <n v="2405417"/>
        <n v="2500000"/>
        <n v="2510833"/>
        <n v="2600000"/>
        <n v="2614583"/>
        <n v="2719167"/>
        <n v="2729167"/>
        <n v="2838333"/>
      </sharedItems>
    </cacheField>
    <cacheField name="Commercial &amp; Professional Services" numFmtId="0">
      <sharedItems containsSemiMixedTypes="0" containsString="0" containsNumber="1" containsInteger="1" minValue="675000" maxValue="916667" count="8">
        <n v="675000"/>
        <n v="712500"/>
        <n v="750000"/>
        <n v="791667"/>
        <n v="825000"/>
        <n v="833333"/>
        <n v="870833"/>
        <n v="916667"/>
      </sharedItems>
    </cacheField>
    <cacheField name="Other Operating Income" numFmtId="0">
      <sharedItems containsSemiMixedTypes="0" containsString="0" containsNumber="1" containsInteger="1" minValue="500000" maxValue="541667" count="3">
        <n v="500000"/>
        <n v="516667"/>
        <n v="541667"/>
      </sharedItems>
    </cacheField>
    <cacheField name="Total Income" numFmtId="0">
      <sharedItems containsSemiMixedTypes="0" containsString="0" containsNumber="1" minValue="15014868.3333333" maxValue="36494771" count="36">
        <n v="15014868.3333333"/>
        <n v="15796671"/>
        <n v="16137179.3333333"/>
        <n v="16183470.6666667"/>
        <n v="17741850"/>
        <n v="18323410"/>
        <n v="18586635.9166667"/>
        <n v="19185087.3333333"/>
        <n v="19835714.3333333"/>
        <n v="21101098.1666667"/>
        <n v="22192400.8333333"/>
        <n v="22199160.6666667"/>
        <n v="22786028.5833333"/>
        <n v="22956887.3333333"/>
        <n v="23416791.8333333"/>
        <n v="23947647.5833333"/>
        <n v="24125183.3333333"/>
        <n v="24581948.0833333"/>
        <n v="24915014.5"/>
        <n v="25563597.8333333"/>
        <n v="26575491.8333333"/>
        <n v="26646188"/>
        <n v="26984230.25"/>
        <n v="27284888.3333333"/>
        <n v="27662115.3333333"/>
        <n v="28050545.1666667"/>
        <n v="28461510.3333333"/>
        <n v="30596785.6666667"/>
        <n v="30849617.1666667"/>
        <n v="32957417"/>
        <n v="32977118.5833333"/>
        <n v="33126575.8333333"/>
        <n v="33197473"/>
        <n v="33586576.6666667"/>
        <n v="36385214.8333333"/>
        <n v="36494771"/>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36" createdVersion="3">
  <cacheSource type="worksheet">
    <worksheetSource ref="A4:G40" sheet="Income Statement"/>
  </cacheSource>
  <cacheFields count="7">
    <cacheField name="Month" numFmtId="0">
      <sharedItems containsSemiMixedTypes="0" containsNonDate="0" containsDate="1" containsString="0" minDate="2023-08-01T00:00:00" maxDate="2026-07-01T00:00:00" count="36">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cacheField>
    <cacheField name="FY" numFmtId="0">
      <sharedItems count="3">
        <s v="FY23/24"/>
        <s v="FY24/25"/>
        <s v="FY25/26"/>
      </sharedItems>
    </cacheField>
    <cacheField name="Total Income" numFmtId="0">
      <sharedItems containsSemiMixedTypes="0" containsString="0" containsNumber="1" minValue="15014868.3333333" maxValue="36494771" count="36">
        <n v="15014868.3333333"/>
        <n v="15796671"/>
        <n v="16137179.3333333"/>
        <n v="16183470.6666667"/>
        <n v="17741850"/>
        <n v="18323410"/>
        <n v="18586635.9166667"/>
        <n v="19185087.3333333"/>
        <n v="19835714.3333333"/>
        <n v="21101098.1666667"/>
        <n v="22192400.8333333"/>
        <n v="22199160.6666667"/>
        <n v="22786028.5833333"/>
        <n v="22956887.3333333"/>
        <n v="23416791.8333333"/>
        <n v="23947647.5833333"/>
        <n v="24125183.3333333"/>
        <n v="24581948.0833333"/>
        <n v="24915014.5"/>
        <n v="25563597.8333333"/>
        <n v="26575491.8333333"/>
        <n v="26646188"/>
        <n v="26984230.25"/>
        <n v="27284888.3333333"/>
        <n v="27662115.3333333"/>
        <n v="28050545.1666667"/>
        <n v="28461510.3333333"/>
        <n v="30596785.6666667"/>
        <n v="30849617.1666667"/>
        <n v="32957417"/>
        <n v="32977118.5833333"/>
        <n v="33126575.8333333"/>
        <n v="33197473"/>
        <n v="33586576.6666667"/>
        <n v="36385214.8333333"/>
        <n v="36494771"/>
      </sharedItems>
    </cacheField>
    <cacheField name="Total Staff Costs" numFmtId="0">
      <sharedItems containsSemiMixedTypes="0" containsString="0" containsNumber="1" containsInteger="1" minValue="15000000" maxValue="16558333" count="3">
        <n v="15000000"/>
        <n v="15791667"/>
        <n v="16558333"/>
      </sharedItems>
    </cacheField>
    <cacheField name="Total Operating Expenditure" numFmtId="0">
      <sharedItems containsSemiMixedTypes="0" containsString="0" containsNumber="1" minValue="7139576.2222219" maxValue="9819110.64285684" count="36">
        <n v="7139576.2222219"/>
        <n v="7285937.16161593"/>
        <n v="7369804.69999985"/>
        <n v="7444046.22222204"/>
        <n v="7562304.00000054"/>
        <n v="7591630.16161621"/>
        <n v="7699684.70000007"/>
        <n v="7754879.22222248"/>
        <n v="7778896.33577512"/>
        <n v="7893592.00000034"/>
        <n v="7902780.16161586"/>
        <n v="7929961.08333108"/>
        <n v="8038655.69999981"/>
        <n v="8141503.33577529"/>
        <n v="8173824.34038478"/>
        <n v="8233061.00000016"/>
        <n v="8260912.08333333"/>
        <n v="8411331.4324137"/>
        <n v="8515929.33577454"/>
        <n v="8524277.34038532"/>
        <n v="8597319.0833355"/>
        <n v="8613293.64510179"/>
        <n v="8794744.43241756"/>
        <n v="8795012.37912107"/>
        <n v="8872836.73245947"/>
        <n v="8882003.34038462"/>
        <n v="8965910.64238409"/>
        <n v="9067212.6428567"/>
        <n v="9189976.43242161"/>
        <n v="9196751.3791208"/>
        <n v="9246958.73245901"/>
        <n v="9323985"/>
        <n v="9439979.64285677"/>
        <n v="9611219.37912102"/>
        <n v="9631080.73245914"/>
        <n v="9819110.64285684"/>
      </sharedItems>
    </cacheField>
    <cacheField name="Operating Surplus / (Deficit)" numFmtId="0">
      <sharedItems containsSemiMixedTypes="0" containsString="0" containsNumber="1" minValue="-9698847.33333333" maxValue="12178826.6596147" count="36">
        <n v="-9698847.33333333"/>
        <n v="-8960906.64238409"/>
        <n v="-8598425.31176846"/>
        <n v="-7930033.30952336"/>
        <n v="-7790807.72619017"/>
        <n v="-7489796.64285677"/>
        <n v="-5319937.75000216"/>
        <n v="-4867491.75"/>
        <n v="-4606551.08333108"/>
        <n v="-1527183.63888915"/>
        <n v="-1043312.3888887"/>
        <n v="-1038478.05555523"/>
        <n v="-843746.416666823"/>
        <n v="-363143.333333875"/>
        <n v="-268467.166667003"/>
        <n v="120834.921717475"/>
        <n v="670950.171717402"/>
        <n v="741886.171717127"/>
        <n v="1235920.81757839"/>
        <n v="1492562.95421232"/>
        <n v="1503683.0675863"/>
        <n v="1768585.45421227"/>
        <n v="2059776.56758244"/>
        <n v="2272096.6008742"/>
        <n v="2296469.95421253"/>
        <n v="2702655.10087387"/>
        <n v="3011919.43420766"/>
        <n v="8070720.83089155"/>
        <n v="8123210.66422546"/>
        <n v="8226980.96666682"/>
        <n v="8380129.88333353"/>
        <n v="9024246.66422471"/>
        <n v="9635224.13333326"/>
        <n v="10412752.3262819"/>
        <n v="10944878.4929487"/>
        <n v="12178826.6596147"/>
      </sharedItems>
    </cacheField>
    <cacheField name="Operating Margin %" numFmtId="0">
      <sharedItems containsSemiMixedTypes="0" containsString="0" containsNumber="1" minValue="-0.599305769022104" maxValue="0.333714291825935" count="36">
        <n v="-0.599305769022104"/>
        <n v="-0.572660720086354"/>
        <n v="-0.567265510713244"/>
        <n v="-0.491413842885349"/>
        <n v="-0.422154208431295"/>
        <n v="-0.41916179781647"/>
        <n v="-0.268199957944654"/>
        <n v="-0.253712253972539"/>
        <n v="-0.251402500043992"/>
        <n v="-0.0670228088806223"/>
        <n v="-0.0492144080536866"/>
        <n v="-0.0470121460370178"/>
        <n v="-0.0352329561277676"/>
        <n v="-0.0163584262840692"/>
        <n v="-0.0114647287543824"/>
        <n v="0.00491559583918419"/>
        <n v="0.0292265306692159"/>
        <n v="0.0307515247228018"/>
        <n v="0.0458015961962964"/>
        <n v="0.0539569348268082"/>
        <n v="0.0603524861519265"/>
        <n v="0.06918374579912"/>
        <n v="0.0773009845754461"/>
        <n v="0.0798305000073443"/>
        <n v="0.0841663680700127"/>
        <n v="0.10169727498642"/>
        <n v="0.10737472003884"/>
        <n v="0.244693644730894"/>
        <n v="0.254119530248129"/>
        <n v="0.261614942814008"/>
        <n v="0.26888383166437"/>
        <n v="0.273815349795911"/>
        <n v="0.290860853889942"/>
        <n v="0.300805658097197"/>
        <n v="0.310027200140827"/>
        <n v="0.333714291825935"/>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recordCount="36" createdVersion="3">
  <cacheSource type="worksheet">
    <worksheetSource ref="A4:S40" sheet="Operating Expenditure"/>
  </cacheSource>
  <cacheFields count="19">
    <cacheField name="Month" numFmtId="0">
      <sharedItems containsSemiMixedTypes="0" containsNonDate="0" containsDate="1" containsString="0" minDate="2023-08-01T00:00:00" maxDate="2026-07-01T00:00:00" count="36">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sharedItems>
    </cacheField>
    <cacheField name="FY" numFmtId="0">
      <sharedItems count="3">
        <s v="FY23/24"/>
        <s v="FY24/25"/>
        <s v="FY25/26"/>
      </sharedItems>
    </cacheField>
    <cacheField name="Utilities" numFmtId="0">
      <sharedItems containsSemiMixedTypes="0" containsString="0" containsNumber="1" containsInteger="1" minValue="818182" maxValue="2227273" count="23">
        <n v="818182"/>
        <n v="883636"/>
        <n v="954545"/>
        <n v="1030909"/>
        <n v="1090909"/>
        <n v="1113636"/>
        <n v="1178182"/>
        <n v="1227273"/>
        <n v="1272727"/>
        <n v="1325455"/>
        <n v="1363636"/>
        <n v="1431818"/>
        <n v="1472727"/>
        <n v="1500000"/>
        <n v="1590909"/>
        <n v="1620000"/>
        <n v="1750000"/>
        <n v="1772727"/>
        <n v="1909091"/>
        <n v="1914545"/>
        <n v="2061818"/>
        <n v="2068182"/>
        <n v="2227273"/>
      </sharedItems>
    </cacheField>
    <cacheField name="Utilities MOM%" numFmtId="0">
      <sharedItems containsSemiMixedTypes="0" containsString="0" containsNumber="1" minValue="-0.300000188571439" maxValue="1" count="31">
        <n v="-0.300000188571439"/>
        <n v="-0.300000146666706"/>
        <n v="-0.299999932098753"/>
        <n v="-0.260288172958096"/>
        <n v="-0.259999608888976"/>
        <n v="-0.250000196428614"/>
        <n v="-0.249999770833314"/>
        <n v="-0.249999575617349"/>
        <n v="-0.142857591836949"/>
        <n v="-0.142857420005064"/>
        <n v="-0.142857271137068"/>
        <n v="-0.076923293885635"/>
        <n v="-0.0769232376360963"/>
        <n v="-0.0769231141166493"/>
        <n v="0"/>
        <n v="0.0714286034985383"/>
        <n v="0.0714287100025318"/>
        <n v="0.0714287585033925"/>
        <n v="0.142856544217402"/>
        <n v="0.142857271137068"/>
        <n v="0.142857420005064"/>
        <n v="0.15384595295488"/>
        <n v="0.153846023668619"/>
        <n v="0.153846228233299"/>
        <n v="0.181817901234568"/>
        <n v="0.181818"/>
        <n v="0.181818285714286"/>
        <n v="0.222222377425064"/>
        <n v="0.222222557536846"/>
        <n v="0.222222765431978"/>
        <n v="1"/>
      </sharedItems>
    </cacheField>
    <cacheField name="IT &amp; Digital Services" numFmtId="0">
      <sharedItems containsSemiMixedTypes="0" containsString="0" containsNumber="1" containsInteger="1" minValue="1333333" maxValue="1466667" count="3">
        <n v="1333333"/>
        <n v="1400000"/>
        <n v="1466667"/>
      </sharedItems>
    </cacheField>
    <cacheField name="IT MOM%" numFmtId="0">
      <sharedItems containsSemiMixedTypes="0" containsString="0" containsNumber="1" minValue="-1" maxValue="0.0500002625000656" count="4">
        <n v="-1"/>
        <n v="0"/>
        <n v="0.0476192857142857"/>
        <n v="0.0500002625000656"/>
      </sharedItems>
    </cacheField>
    <cacheField name="Estates &amp; Maintenance" numFmtId="0">
      <sharedItems containsSemiMixedTypes="0" containsString="0" containsNumber="1" containsInteger="1" minValue="1430894" maxValue="2708943" count="15">
        <n v="1430894"/>
        <n v="1489431"/>
        <n v="1547967"/>
        <n v="1609756"/>
        <n v="1675610"/>
        <n v="1741463"/>
        <n v="1967480"/>
        <n v="2047967"/>
        <n v="2128455"/>
        <n v="2325203"/>
        <n v="2420325"/>
        <n v="2504065"/>
        <n v="2515447"/>
        <n v="2606504"/>
        <n v="2708943"/>
      </sharedItems>
    </cacheField>
    <cacheField name="Estate&amp;m MOM%" numFmtId="0">
      <sharedItems containsSemiMixedTypes="0" containsString="0" containsNumber="1" minValue="-1" maxValue="0.272727539066792" count="16">
        <n v="-1"/>
        <n v="-0.384615537516791"/>
        <n v="-0.384615450779996"/>
        <n v="-0.384615289269003"/>
        <n v="-0.0349345329989902"/>
        <n v="-0.0334416239195069"/>
        <n v="0"/>
        <n v="0.125000080751075"/>
        <n v="0.125000083924667"/>
        <n v="0.125000174715947"/>
        <n v="0.222221758046323"/>
        <n v="0.222222349828851"/>
        <n v="0.222222498316515"/>
        <n v="0.27272704169801"/>
        <n v="0.272727400861188"/>
        <n v="0.272727539066792"/>
      </sharedItems>
    </cacheField>
    <cacheField name="Student Services" numFmtId="0">
      <sharedItems containsSemiMixedTypes="0" containsString="0" containsNumber="1" containsInteger="1" minValue="966942" maxValue="1596694" count="12">
        <n v="966942"/>
        <n v="996694"/>
        <n v="1026446"/>
        <n v="1074380"/>
        <n v="1107438"/>
        <n v="1140496"/>
        <n v="1396694"/>
        <n v="1439669"/>
        <n v="1482645"/>
        <n v="1504132"/>
        <n v="1550413"/>
        <n v="1596694"/>
      </sharedItems>
    </cacheField>
    <cacheField name="Student s MOM%" numFmtId="0">
      <sharedItems containsSemiMixedTypes="0" containsString="0" containsNumber="1" minValue="-0.444445202183067" maxValue="1" count="19">
        <n v="-0.444445202183067"/>
        <n v="-0.444444444444444"/>
        <n v="-0.444444332964782"/>
        <n v="-0.443076937396452"/>
        <n v="-0.441790872265535"/>
        <n v="-0.11111154410461"/>
        <n v="-0.111111334070437"/>
        <n v="-0.111111111111111"/>
        <n v="0"/>
        <n v="0.1"/>
        <n v="0.100000180597018"/>
        <n v="0.100000350724597"/>
        <n v="0.23076901704489"/>
        <n v="0.230769230769231"/>
        <n v="0.23076933453389"/>
        <n v="0.28571410677312"/>
        <n v="0.285714193572938"/>
        <n v="0.285714285714286"/>
        <n v="1"/>
      </sharedItems>
    </cacheField>
    <cacheField name="Marketing &amp; Recruitment" numFmtId="0">
      <sharedItems containsSemiMixedTypes="0" containsString="0" containsNumber="1" containsInteger="1" minValue="450000" maxValue="1280000" count="21">
        <n v="450000"/>
        <n v="465000"/>
        <n v="480000"/>
        <n v="525000"/>
        <n v="542500"/>
        <n v="560000"/>
        <n v="600000"/>
        <n v="620000"/>
        <n v="640000"/>
        <n v="675000"/>
        <n v="697500"/>
        <n v="720000"/>
        <n v="975000"/>
        <n v="1007500"/>
        <n v="1040000"/>
        <n v="1050000"/>
        <n v="1085000"/>
        <n v="1120000"/>
        <n v="1200000"/>
        <n v="1240000"/>
        <n v="1280000"/>
      </sharedItems>
    </cacheField>
    <cacheField name="Marketing &amp; Recruitment MOM%" numFmtId="0">
      <sharedItems containsSemiMixedTypes="0" containsString="0" containsNumber="1" minValue="-1" maxValue="1.33333333333333" count="13">
        <n v="-1"/>
        <n v="-0.5"/>
        <n v="-0.307692307692308"/>
        <n v="-0.222222222222222"/>
        <n v="-0.142857142857143"/>
        <n v="-0.125"/>
        <n v="-0.0714285714285714"/>
        <n v="0"/>
        <n v="0.0769230769230769"/>
        <n v="0.179723502304147"/>
        <n v="0.180952380952381"/>
        <n v="0.857142857142857"/>
        <n v="1.33333333333333"/>
      </sharedItems>
    </cacheField>
    <cacheField name="Professional Fees" numFmtId="0">
      <sharedItems containsSemiMixedTypes="0" containsString="0" containsNumber="1" containsInteger="1" minValue="333333" maxValue="1300000" count="9">
        <n v="333333"/>
        <n v="340000"/>
        <n v="346667"/>
        <n v="416667"/>
        <n v="425000"/>
        <n v="433333"/>
        <n v="1250000"/>
        <n v="1275000"/>
        <n v="1300000"/>
      </sharedItems>
    </cacheField>
    <cacheField name="Professional fees MOM%" numFmtId="0">
      <sharedItems containsSemiMixedTypes="0" containsString="0" containsNumber="1" minValue="-2.75000375000375" maxValue="1" count="13">
        <n v="-2.75000375000375"/>
        <n v="-2.75"/>
        <n v="-2.74999639423424"/>
        <n v="-0.25000225000225"/>
        <n v="-0.25"/>
        <n v="-0.249997836540542"/>
        <n v="0"/>
        <n v="0.184000652799478"/>
        <n v="0.184312941176471"/>
        <n v="0.733333076923077"/>
        <n v="0.733333333333333"/>
        <n v="0.7333336"/>
        <n v="1"/>
      </sharedItems>
    </cacheField>
    <cacheField name="Administration" numFmtId="0">
      <sharedItems containsSemiMixedTypes="0" containsString="0" containsNumber="1" containsInteger="1" minValue="750000" maxValue="800000" count="3">
        <n v="750000"/>
        <n v="775000"/>
        <n v="800000"/>
      </sharedItems>
    </cacheField>
    <cacheField name="Admin Fees MOM%" numFmtId="0">
      <sharedItems containsSemiMixedTypes="0" containsString="0" containsNumber="1" minValue="-0.0333333333333333" maxValue="1" count="4">
        <n v="-0.0333333333333333"/>
        <n v="-0.032258064516129"/>
        <n v="0"/>
        <n v="1"/>
      </sharedItems>
    </cacheField>
    <cacheField name="Other Operating Expenditure" numFmtId="0">
      <sharedItems containsSemiMixedTypes="0" containsString="0" containsNumber="1" containsInteger="1" minValue="666667" maxValue="700000" count="3">
        <n v="666667"/>
        <n v="683333"/>
        <n v="700000"/>
      </sharedItems>
    </cacheField>
    <cacheField name="other operating Expenditure MOM%" numFmtId="0">
      <sharedItems containsSemiMixedTypes="0" containsString="0" containsNumber="1" minValue="-1" maxValue="0.0249989875005063" count="4">
        <n v="-1"/>
        <n v="0"/>
        <n v="0.0243907436052408"/>
        <n v="0.0249989875005063"/>
      </sharedItems>
    </cacheField>
    <cacheField name="Total Operating Expenditure" numFmtId="0">
      <sharedItems containsSemiMixedTypes="0" containsString="0" containsNumber="1" minValue="7139576.2222219" maxValue="9819110.64285684" count="36">
        <n v="7139576.2222219"/>
        <n v="7285937.16161593"/>
        <n v="7369804.69999985"/>
        <n v="7444046.22222204"/>
        <n v="7562304.00000054"/>
        <n v="7591630.16161621"/>
        <n v="7699684.70000007"/>
        <n v="7754879.22222248"/>
        <n v="7778896.33577512"/>
        <n v="7893592.00000034"/>
        <n v="7902780.16161586"/>
        <n v="7929961.08333108"/>
        <n v="8038655.69999981"/>
        <n v="8141503.33577529"/>
        <n v="8173824.34038478"/>
        <n v="8233061.00000016"/>
        <n v="8260912.08333333"/>
        <n v="8411331.4324137"/>
        <n v="8515929.33577454"/>
        <n v="8524277.34038532"/>
        <n v="8597319.0833355"/>
        <n v="8613293.64510179"/>
        <n v="8794744.43241756"/>
        <n v="8795012.37912107"/>
        <n v="8872836.73245947"/>
        <n v="8882003.34038462"/>
        <n v="8965910.64238409"/>
        <n v="9067212.6428567"/>
        <n v="9189976.43242161"/>
        <n v="9196751.3791208"/>
        <n v="9246958.73245901"/>
        <n v="9323985"/>
        <n v="9439979.64285677"/>
        <n v="9611219.37912102"/>
        <n v="9631080.73245914"/>
        <n v="9819110.64285684"/>
      </sharedItems>
    </cacheField>
  </cacheFields>
</pivotCacheDefinition>
</file>

<file path=xl/pivotCache/pivotCacheRecords1.xml><?xml version="1.0" encoding="utf-8"?>
<pivotCacheRecords xmlns="http://schemas.openxmlformats.org/spreadsheetml/2006/main" xmlns:r="http://schemas.openxmlformats.org/officeDocument/2006/relationships" count="36">
  <r>
    <x v="0"/>
    <x v="0"/>
    <x v="0"/>
    <x v="0"/>
    <x v="0"/>
    <x v="0"/>
    <x v="0"/>
    <x v="0"/>
    <x v="2"/>
    <x v="3"/>
    <x v="0"/>
    <x v="0"/>
    <x v="2"/>
  </r>
  <r>
    <x v="1"/>
    <x v="0"/>
    <x v="19"/>
    <x v="14"/>
    <x v="33"/>
    <x v="33"/>
    <x v="7"/>
    <x v="2"/>
    <x v="0"/>
    <x v="16"/>
    <x v="4"/>
    <x v="0"/>
    <x v="33"/>
  </r>
  <r>
    <x v="2"/>
    <x v="0"/>
    <x v="15"/>
    <x v="13"/>
    <x v="30"/>
    <x v="30"/>
    <x v="9"/>
    <x v="5"/>
    <x v="0"/>
    <x v="16"/>
    <x v="4"/>
    <x v="0"/>
    <x v="27"/>
  </r>
  <r>
    <x v="3"/>
    <x v="0"/>
    <x v="10"/>
    <x v="13"/>
    <x v="27"/>
    <x v="27"/>
    <x v="8"/>
    <x v="5"/>
    <x v="2"/>
    <x v="14"/>
    <x v="2"/>
    <x v="0"/>
    <x v="28"/>
  </r>
  <r>
    <x v="4"/>
    <x v="0"/>
    <x v="11"/>
    <x v="12"/>
    <x v="22"/>
    <x v="23"/>
    <x v="5"/>
    <x v="8"/>
    <x v="0"/>
    <x v="10"/>
    <x v="0"/>
    <x v="0"/>
    <x v="19"/>
  </r>
  <r>
    <x v="5"/>
    <x v="0"/>
    <x v="8"/>
    <x v="11"/>
    <x v="21"/>
    <x v="21"/>
    <x v="12"/>
    <x v="8"/>
    <x v="0"/>
    <x v="9"/>
    <x v="2"/>
    <x v="0"/>
    <x v="18"/>
  </r>
  <r>
    <x v="6"/>
    <x v="0"/>
    <x v="12"/>
    <x v="7"/>
    <x v="18"/>
    <x v="18"/>
    <x v="12"/>
    <x v="8"/>
    <x v="2"/>
    <x v="9"/>
    <x v="4"/>
    <x v="0"/>
    <x v="20"/>
  </r>
  <r>
    <x v="7"/>
    <x v="0"/>
    <x v="17"/>
    <x v="9"/>
    <x v="15"/>
    <x v="15"/>
    <x v="13"/>
    <x v="5"/>
    <x v="0"/>
    <x v="9"/>
    <x v="4"/>
    <x v="0"/>
    <x v="11"/>
  </r>
  <r>
    <x v="8"/>
    <x v="0"/>
    <x v="7"/>
    <x v="10"/>
    <x v="12"/>
    <x v="12"/>
    <x v="10"/>
    <x v="5"/>
    <x v="0"/>
    <x v="9"/>
    <x v="2"/>
    <x v="0"/>
    <x v="9"/>
  </r>
  <r>
    <x v="9"/>
    <x v="0"/>
    <x v="6"/>
    <x v="6"/>
    <x v="9"/>
    <x v="9"/>
    <x v="10"/>
    <x v="2"/>
    <x v="2"/>
    <x v="6"/>
    <x v="0"/>
    <x v="0"/>
    <x v="13"/>
  </r>
  <r>
    <x v="10"/>
    <x v="0"/>
    <x v="9"/>
    <x v="8"/>
    <x v="6"/>
    <x v="6"/>
    <x v="11"/>
    <x v="2"/>
    <x v="0"/>
    <x v="0"/>
    <x v="0"/>
    <x v="0"/>
    <x v="5"/>
  </r>
  <r>
    <x v="11"/>
    <x v="0"/>
    <x v="2"/>
    <x v="1"/>
    <x v="3"/>
    <x v="3"/>
    <x v="1"/>
    <x v="11"/>
    <x v="0"/>
    <x v="0"/>
    <x v="2"/>
    <x v="0"/>
    <x v="0"/>
  </r>
  <r>
    <x v="12"/>
    <x v="1"/>
    <x v="1"/>
    <x v="2"/>
    <x v="1"/>
    <x v="1"/>
    <x v="2"/>
    <x v="1"/>
    <x v="3"/>
    <x v="4"/>
    <x v="1"/>
    <x v="1"/>
    <x v="4"/>
  </r>
  <r>
    <x v="13"/>
    <x v="1"/>
    <x v="22"/>
    <x v="29"/>
    <x v="34"/>
    <x v="35"/>
    <x v="14"/>
    <x v="4"/>
    <x v="1"/>
    <x v="18"/>
    <x v="6"/>
    <x v="1"/>
    <x v="35"/>
  </r>
  <r>
    <x v="14"/>
    <x v="1"/>
    <x v="23"/>
    <x v="24"/>
    <x v="31"/>
    <x v="32"/>
    <x v="16"/>
    <x v="7"/>
    <x v="1"/>
    <x v="18"/>
    <x v="6"/>
    <x v="1"/>
    <x v="31"/>
  </r>
  <r>
    <x v="15"/>
    <x v="1"/>
    <x v="24"/>
    <x v="19"/>
    <x v="28"/>
    <x v="29"/>
    <x v="15"/>
    <x v="7"/>
    <x v="3"/>
    <x v="17"/>
    <x v="3"/>
    <x v="1"/>
    <x v="29"/>
  </r>
  <r>
    <x v="16"/>
    <x v="1"/>
    <x v="20"/>
    <x v="22"/>
    <x v="25"/>
    <x v="26"/>
    <x v="17"/>
    <x v="10"/>
    <x v="1"/>
    <x v="13"/>
    <x v="1"/>
    <x v="1"/>
    <x v="23"/>
  </r>
  <r>
    <x v="17"/>
    <x v="1"/>
    <x v="21"/>
    <x v="22"/>
    <x v="23"/>
    <x v="25"/>
    <x v="21"/>
    <x v="10"/>
    <x v="1"/>
    <x v="11"/>
    <x v="3"/>
    <x v="1"/>
    <x v="21"/>
  </r>
  <r>
    <x v="18"/>
    <x v="1"/>
    <x v="14"/>
    <x v="18"/>
    <x v="19"/>
    <x v="20"/>
    <x v="19"/>
    <x v="10"/>
    <x v="3"/>
    <x v="11"/>
    <x v="6"/>
    <x v="1"/>
    <x v="25"/>
  </r>
  <r>
    <x v="19"/>
    <x v="1"/>
    <x v="16"/>
    <x v="19"/>
    <x v="16"/>
    <x v="17"/>
    <x v="20"/>
    <x v="7"/>
    <x v="1"/>
    <x v="11"/>
    <x v="6"/>
    <x v="1"/>
    <x v="14"/>
  </r>
  <r>
    <x v="20"/>
    <x v="1"/>
    <x v="12"/>
    <x v="15"/>
    <x v="13"/>
    <x v="14"/>
    <x v="18"/>
    <x v="7"/>
    <x v="1"/>
    <x v="11"/>
    <x v="3"/>
    <x v="1"/>
    <x v="10"/>
  </r>
  <r>
    <x v="21"/>
    <x v="1"/>
    <x v="18"/>
    <x v="16"/>
    <x v="10"/>
    <x v="11"/>
    <x v="20"/>
    <x v="4"/>
    <x v="3"/>
    <x v="7"/>
    <x v="1"/>
    <x v="1"/>
    <x v="16"/>
  </r>
  <r>
    <x v="22"/>
    <x v="1"/>
    <x v="13"/>
    <x v="17"/>
    <x v="7"/>
    <x v="8"/>
    <x v="18"/>
    <x v="4"/>
    <x v="1"/>
    <x v="1"/>
    <x v="1"/>
    <x v="1"/>
    <x v="7"/>
  </r>
  <r>
    <x v="23"/>
    <x v="1"/>
    <x v="3"/>
    <x v="3"/>
    <x v="4"/>
    <x v="5"/>
    <x v="3"/>
    <x v="13"/>
    <x v="1"/>
    <x v="1"/>
    <x v="3"/>
    <x v="1"/>
    <x v="1"/>
  </r>
  <r>
    <x v="24"/>
    <x v="2"/>
    <x v="4"/>
    <x v="5"/>
    <x v="2"/>
    <x v="2"/>
    <x v="4"/>
    <x v="3"/>
    <x v="2"/>
    <x v="5"/>
    <x v="2"/>
    <x v="2"/>
    <x v="6"/>
  </r>
  <r>
    <x v="25"/>
    <x v="2"/>
    <x v="34"/>
    <x v="30"/>
    <x v="35"/>
    <x v="34"/>
    <x v="25"/>
    <x v="6"/>
    <x v="0"/>
    <x v="20"/>
    <x v="7"/>
    <x v="2"/>
    <x v="34"/>
  </r>
  <r>
    <x v="26"/>
    <x v="2"/>
    <x v="27"/>
    <x v="31"/>
    <x v="32"/>
    <x v="31"/>
    <x v="23"/>
    <x v="9"/>
    <x v="0"/>
    <x v="20"/>
    <x v="7"/>
    <x v="2"/>
    <x v="30"/>
  </r>
  <r>
    <x v="27"/>
    <x v="2"/>
    <x v="31"/>
    <x v="25"/>
    <x v="29"/>
    <x v="28"/>
    <x v="22"/>
    <x v="9"/>
    <x v="2"/>
    <x v="19"/>
    <x v="5"/>
    <x v="2"/>
    <x v="32"/>
  </r>
  <r>
    <x v="28"/>
    <x v="2"/>
    <x v="33"/>
    <x v="26"/>
    <x v="26"/>
    <x v="24"/>
    <x v="24"/>
    <x v="12"/>
    <x v="0"/>
    <x v="15"/>
    <x v="2"/>
    <x v="2"/>
    <x v="24"/>
  </r>
  <r>
    <x v="29"/>
    <x v="2"/>
    <x v="32"/>
    <x v="25"/>
    <x v="24"/>
    <x v="22"/>
    <x v="28"/>
    <x v="12"/>
    <x v="0"/>
    <x v="12"/>
    <x v="5"/>
    <x v="2"/>
    <x v="22"/>
  </r>
  <r>
    <x v="30"/>
    <x v="2"/>
    <x v="26"/>
    <x v="28"/>
    <x v="20"/>
    <x v="19"/>
    <x v="30"/>
    <x v="12"/>
    <x v="2"/>
    <x v="12"/>
    <x v="7"/>
    <x v="2"/>
    <x v="26"/>
  </r>
  <r>
    <x v="31"/>
    <x v="2"/>
    <x v="29"/>
    <x v="27"/>
    <x v="17"/>
    <x v="16"/>
    <x v="31"/>
    <x v="9"/>
    <x v="0"/>
    <x v="12"/>
    <x v="7"/>
    <x v="2"/>
    <x v="15"/>
  </r>
  <r>
    <x v="32"/>
    <x v="2"/>
    <x v="28"/>
    <x v="20"/>
    <x v="14"/>
    <x v="13"/>
    <x v="26"/>
    <x v="9"/>
    <x v="0"/>
    <x v="12"/>
    <x v="5"/>
    <x v="2"/>
    <x v="12"/>
  </r>
  <r>
    <x v="33"/>
    <x v="2"/>
    <x v="25"/>
    <x v="21"/>
    <x v="11"/>
    <x v="10"/>
    <x v="27"/>
    <x v="6"/>
    <x v="2"/>
    <x v="8"/>
    <x v="2"/>
    <x v="2"/>
    <x v="17"/>
  </r>
  <r>
    <x v="34"/>
    <x v="2"/>
    <x v="30"/>
    <x v="23"/>
    <x v="8"/>
    <x v="7"/>
    <x v="29"/>
    <x v="6"/>
    <x v="0"/>
    <x v="2"/>
    <x v="2"/>
    <x v="2"/>
    <x v="8"/>
  </r>
  <r>
    <x v="35"/>
    <x v="2"/>
    <x v="5"/>
    <x v="4"/>
    <x v="5"/>
    <x v="4"/>
    <x v="6"/>
    <x v="14"/>
    <x v="0"/>
    <x v="2"/>
    <x v="5"/>
    <x v="2"/>
    <x v="3"/>
  </r>
</pivotCacheRecords>
</file>

<file path=xl/pivotCache/pivotCacheRecords2.xml><?xml version="1.0" encoding="utf-8"?>
<pivotCacheRecords xmlns="http://schemas.openxmlformats.org/spreadsheetml/2006/main" xmlns:r="http://schemas.openxmlformats.org/officeDocument/2006/relationships" count="36">
  <r>
    <x v="0"/>
    <x v="0"/>
    <x v="2"/>
    <x v="0"/>
    <x v="27"/>
    <x v="3"/>
    <x v="3"/>
  </r>
  <r>
    <x v="1"/>
    <x v="0"/>
    <x v="33"/>
    <x v="0"/>
    <x v="14"/>
    <x v="33"/>
    <x v="34"/>
  </r>
  <r>
    <x v="2"/>
    <x v="0"/>
    <x v="27"/>
    <x v="0"/>
    <x v="2"/>
    <x v="29"/>
    <x v="30"/>
  </r>
  <r>
    <x v="3"/>
    <x v="0"/>
    <x v="28"/>
    <x v="0"/>
    <x v="8"/>
    <x v="27"/>
    <x v="29"/>
  </r>
  <r>
    <x v="4"/>
    <x v="0"/>
    <x v="19"/>
    <x v="0"/>
    <x v="23"/>
    <x v="21"/>
    <x v="21"/>
  </r>
  <r>
    <x v="5"/>
    <x v="0"/>
    <x v="18"/>
    <x v="0"/>
    <x v="17"/>
    <x v="20"/>
    <x v="20"/>
  </r>
  <r>
    <x v="6"/>
    <x v="0"/>
    <x v="20"/>
    <x v="0"/>
    <x v="24"/>
    <x v="25"/>
    <x v="25"/>
  </r>
  <r>
    <x v="7"/>
    <x v="0"/>
    <x v="11"/>
    <x v="0"/>
    <x v="4"/>
    <x v="13"/>
    <x v="13"/>
  </r>
  <r>
    <x v="8"/>
    <x v="0"/>
    <x v="9"/>
    <x v="0"/>
    <x v="0"/>
    <x v="11"/>
    <x v="10"/>
  </r>
  <r>
    <x v="9"/>
    <x v="0"/>
    <x v="13"/>
    <x v="0"/>
    <x v="1"/>
    <x v="16"/>
    <x v="16"/>
  </r>
  <r>
    <x v="10"/>
    <x v="0"/>
    <x v="5"/>
    <x v="0"/>
    <x v="11"/>
    <x v="8"/>
    <x v="8"/>
  </r>
  <r>
    <x v="11"/>
    <x v="0"/>
    <x v="0"/>
    <x v="0"/>
    <x v="21"/>
    <x v="2"/>
    <x v="1"/>
  </r>
  <r>
    <x v="12"/>
    <x v="1"/>
    <x v="4"/>
    <x v="1"/>
    <x v="32"/>
    <x v="5"/>
    <x v="4"/>
  </r>
  <r>
    <x v="13"/>
    <x v="1"/>
    <x v="35"/>
    <x v="1"/>
    <x v="19"/>
    <x v="35"/>
    <x v="35"/>
  </r>
  <r>
    <x v="14"/>
    <x v="1"/>
    <x v="31"/>
    <x v="1"/>
    <x v="6"/>
    <x v="32"/>
    <x v="32"/>
  </r>
  <r>
    <x v="15"/>
    <x v="1"/>
    <x v="29"/>
    <x v="1"/>
    <x v="13"/>
    <x v="31"/>
    <x v="31"/>
  </r>
  <r>
    <x v="16"/>
    <x v="1"/>
    <x v="23"/>
    <x v="1"/>
    <x v="29"/>
    <x v="24"/>
    <x v="24"/>
  </r>
  <r>
    <x v="17"/>
    <x v="1"/>
    <x v="21"/>
    <x v="1"/>
    <x v="22"/>
    <x v="22"/>
    <x v="22"/>
  </r>
  <r>
    <x v="18"/>
    <x v="1"/>
    <x v="25"/>
    <x v="1"/>
    <x v="30"/>
    <x v="26"/>
    <x v="26"/>
  </r>
  <r>
    <x v="19"/>
    <x v="1"/>
    <x v="14"/>
    <x v="1"/>
    <x v="9"/>
    <x v="14"/>
    <x v="14"/>
  </r>
  <r>
    <x v="20"/>
    <x v="1"/>
    <x v="10"/>
    <x v="1"/>
    <x v="3"/>
    <x v="10"/>
    <x v="11"/>
  </r>
  <r>
    <x v="21"/>
    <x v="1"/>
    <x v="16"/>
    <x v="1"/>
    <x v="5"/>
    <x v="17"/>
    <x v="17"/>
  </r>
  <r>
    <x v="22"/>
    <x v="1"/>
    <x v="7"/>
    <x v="1"/>
    <x v="16"/>
    <x v="7"/>
    <x v="7"/>
  </r>
  <r>
    <x v="23"/>
    <x v="1"/>
    <x v="1"/>
    <x v="1"/>
    <x v="26"/>
    <x v="1"/>
    <x v="2"/>
  </r>
  <r>
    <x v="24"/>
    <x v="2"/>
    <x v="6"/>
    <x v="2"/>
    <x v="35"/>
    <x v="4"/>
    <x v="5"/>
  </r>
  <r>
    <x v="25"/>
    <x v="2"/>
    <x v="34"/>
    <x v="2"/>
    <x v="25"/>
    <x v="34"/>
    <x v="33"/>
  </r>
  <r>
    <x v="26"/>
    <x v="2"/>
    <x v="30"/>
    <x v="2"/>
    <x v="12"/>
    <x v="30"/>
    <x v="28"/>
  </r>
  <r>
    <x v="27"/>
    <x v="2"/>
    <x v="32"/>
    <x v="2"/>
    <x v="18"/>
    <x v="28"/>
    <x v="27"/>
  </r>
  <r>
    <x v="28"/>
    <x v="2"/>
    <x v="24"/>
    <x v="2"/>
    <x v="33"/>
    <x v="19"/>
    <x v="19"/>
  </r>
  <r>
    <x v="29"/>
    <x v="2"/>
    <x v="22"/>
    <x v="2"/>
    <x v="28"/>
    <x v="18"/>
    <x v="18"/>
  </r>
  <r>
    <x v="30"/>
    <x v="2"/>
    <x v="26"/>
    <x v="2"/>
    <x v="34"/>
    <x v="23"/>
    <x v="23"/>
  </r>
  <r>
    <x v="31"/>
    <x v="2"/>
    <x v="15"/>
    <x v="2"/>
    <x v="15"/>
    <x v="12"/>
    <x v="12"/>
  </r>
  <r>
    <x v="32"/>
    <x v="2"/>
    <x v="12"/>
    <x v="2"/>
    <x v="7"/>
    <x v="9"/>
    <x v="9"/>
  </r>
  <r>
    <x v="33"/>
    <x v="2"/>
    <x v="17"/>
    <x v="2"/>
    <x v="10"/>
    <x v="15"/>
    <x v="15"/>
  </r>
  <r>
    <x v="34"/>
    <x v="2"/>
    <x v="8"/>
    <x v="2"/>
    <x v="20"/>
    <x v="6"/>
    <x v="6"/>
  </r>
  <r>
    <x v="35"/>
    <x v="2"/>
    <x v="3"/>
    <x v="2"/>
    <x v="31"/>
    <x v="0"/>
    <x v="0"/>
  </r>
</pivotCacheRecords>
</file>

<file path=xl/pivotCache/pivotCacheRecords3.xml><?xml version="1.0" encoding="utf-8"?>
<pivotCacheRecords xmlns="http://schemas.openxmlformats.org/spreadsheetml/2006/main" xmlns:r="http://schemas.openxmlformats.org/officeDocument/2006/relationships" count="36">
  <r>
    <x v="0"/>
    <x v="0"/>
    <x v="2"/>
    <x v="8"/>
    <x v="0"/>
    <x v="1"/>
    <x v="9"/>
    <x v="6"/>
    <x v="9"/>
    <x v="17"/>
    <x v="18"/>
    <x v="1"/>
    <x v="0"/>
    <x v="6"/>
    <x v="0"/>
    <x v="2"/>
    <x v="0"/>
    <x v="1"/>
    <x v="27"/>
  </r>
  <r>
    <x v="1"/>
    <x v="0"/>
    <x v="4"/>
    <x v="6"/>
    <x v="0"/>
    <x v="1"/>
    <x v="9"/>
    <x v="2"/>
    <x v="3"/>
    <x v="9"/>
    <x v="6"/>
    <x v="5"/>
    <x v="0"/>
    <x v="6"/>
    <x v="0"/>
    <x v="2"/>
    <x v="0"/>
    <x v="1"/>
    <x v="14"/>
  </r>
  <r>
    <x v="2"/>
    <x v="0"/>
    <x v="10"/>
    <x v="1"/>
    <x v="0"/>
    <x v="1"/>
    <x v="0"/>
    <x v="6"/>
    <x v="0"/>
    <x v="8"/>
    <x v="3"/>
    <x v="7"/>
    <x v="0"/>
    <x v="6"/>
    <x v="0"/>
    <x v="2"/>
    <x v="0"/>
    <x v="1"/>
    <x v="2"/>
  </r>
  <r>
    <x v="3"/>
    <x v="0"/>
    <x v="17"/>
    <x v="11"/>
    <x v="0"/>
    <x v="1"/>
    <x v="0"/>
    <x v="6"/>
    <x v="0"/>
    <x v="1"/>
    <x v="3"/>
    <x v="11"/>
    <x v="0"/>
    <x v="6"/>
    <x v="0"/>
    <x v="2"/>
    <x v="0"/>
    <x v="1"/>
    <x v="8"/>
  </r>
  <r>
    <x v="4"/>
    <x v="0"/>
    <x v="18"/>
    <x v="17"/>
    <x v="0"/>
    <x v="1"/>
    <x v="0"/>
    <x v="6"/>
    <x v="6"/>
    <x v="13"/>
    <x v="12"/>
    <x v="8"/>
    <x v="0"/>
    <x v="6"/>
    <x v="0"/>
    <x v="2"/>
    <x v="0"/>
    <x v="1"/>
    <x v="23"/>
  </r>
  <r>
    <x v="5"/>
    <x v="0"/>
    <x v="17"/>
    <x v="22"/>
    <x v="0"/>
    <x v="1"/>
    <x v="0"/>
    <x v="6"/>
    <x v="3"/>
    <x v="9"/>
    <x v="15"/>
    <x v="6"/>
    <x v="0"/>
    <x v="0"/>
    <x v="0"/>
    <x v="2"/>
    <x v="0"/>
    <x v="1"/>
    <x v="17"/>
  </r>
  <r>
    <x v="6"/>
    <x v="0"/>
    <x v="13"/>
    <x v="25"/>
    <x v="0"/>
    <x v="1"/>
    <x v="0"/>
    <x v="9"/>
    <x v="0"/>
    <x v="8"/>
    <x v="12"/>
    <x v="2"/>
    <x v="6"/>
    <x v="11"/>
    <x v="0"/>
    <x v="2"/>
    <x v="0"/>
    <x v="1"/>
    <x v="24"/>
  </r>
  <r>
    <x v="7"/>
    <x v="0"/>
    <x v="7"/>
    <x v="29"/>
    <x v="0"/>
    <x v="1"/>
    <x v="3"/>
    <x v="6"/>
    <x v="0"/>
    <x v="8"/>
    <x v="9"/>
    <x v="3"/>
    <x v="0"/>
    <x v="6"/>
    <x v="0"/>
    <x v="2"/>
    <x v="0"/>
    <x v="1"/>
    <x v="4"/>
  </r>
  <r>
    <x v="8"/>
    <x v="0"/>
    <x v="2"/>
    <x v="18"/>
    <x v="0"/>
    <x v="1"/>
    <x v="3"/>
    <x v="12"/>
    <x v="0"/>
    <x v="8"/>
    <x v="3"/>
    <x v="4"/>
    <x v="0"/>
    <x v="6"/>
    <x v="0"/>
    <x v="2"/>
    <x v="0"/>
    <x v="1"/>
    <x v="0"/>
  </r>
  <r>
    <x v="9"/>
    <x v="0"/>
    <x v="0"/>
    <x v="14"/>
    <x v="0"/>
    <x v="1"/>
    <x v="6"/>
    <x v="13"/>
    <x v="0"/>
    <x v="7"/>
    <x v="0"/>
    <x v="7"/>
    <x v="0"/>
    <x v="6"/>
    <x v="0"/>
    <x v="2"/>
    <x v="0"/>
    <x v="1"/>
    <x v="1"/>
  </r>
  <r>
    <x v="10"/>
    <x v="0"/>
    <x v="0"/>
    <x v="14"/>
    <x v="0"/>
    <x v="1"/>
    <x v="11"/>
    <x v="6"/>
    <x v="3"/>
    <x v="8"/>
    <x v="0"/>
    <x v="12"/>
    <x v="0"/>
    <x v="3"/>
    <x v="0"/>
    <x v="2"/>
    <x v="0"/>
    <x v="1"/>
    <x v="11"/>
  </r>
  <r>
    <x v="11"/>
    <x v="0"/>
    <x v="0"/>
    <x v="4"/>
    <x v="0"/>
    <x v="3"/>
    <x v="11"/>
    <x v="5"/>
    <x v="3"/>
    <x v="3"/>
    <x v="15"/>
    <x v="10"/>
    <x v="3"/>
    <x v="7"/>
    <x v="0"/>
    <x v="0"/>
    <x v="0"/>
    <x v="3"/>
    <x v="21"/>
  </r>
  <r>
    <x v="12"/>
    <x v="1"/>
    <x v="3"/>
    <x v="9"/>
    <x v="1"/>
    <x v="1"/>
    <x v="10"/>
    <x v="6"/>
    <x v="10"/>
    <x v="16"/>
    <x v="19"/>
    <x v="1"/>
    <x v="1"/>
    <x v="6"/>
    <x v="1"/>
    <x v="2"/>
    <x v="1"/>
    <x v="1"/>
    <x v="32"/>
  </r>
  <r>
    <x v="13"/>
    <x v="1"/>
    <x v="6"/>
    <x v="7"/>
    <x v="1"/>
    <x v="1"/>
    <x v="10"/>
    <x v="3"/>
    <x v="4"/>
    <x v="10"/>
    <x v="7"/>
    <x v="5"/>
    <x v="1"/>
    <x v="6"/>
    <x v="1"/>
    <x v="2"/>
    <x v="1"/>
    <x v="1"/>
    <x v="19"/>
  </r>
  <r>
    <x v="14"/>
    <x v="1"/>
    <x v="12"/>
    <x v="2"/>
    <x v="1"/>
    <x v="1"/>
    <x v="1"/>
    <x v="6"/>
    <x v="1"/>
    <x v="8"/>
    <x v="4"/>
    <x v="7"/>
    <x v="1"/>
    <x v="6"/>
    <x v="1"/>
    <x v="2"/>
    <x v="1"/>
    <x v="1"/>
    <x v="6"/>
  </r>
  <r>
    <x v="15"/>
    <x v="1"/>
    <x v="19"/>
    <x v="12"/>
    <x v="1"/>
    <x v="1"/>
    <x v="1"/>
    <x v="6"/>
    <x v="1"/>
    <x v="2"/>
    <x v="4"/>
    <x v="11"/>
    <x v="1"/>
    <x v="6"/>
    <x v="1"/>
    <x v="2"/>
    <x v="1"/>
    <x v="1"/>
    <x v="13"/>
  </r>
  <r>
    <x v="16"/>
    <x v="1"/>
    <x v="20"/>
    <x v="16"/>
    <x v="1"/>
    <x v="1"/>
    <x v="1"/>
    <x v="6"/>
    <x v="7"/>
    <x v="12"/>
    <x v="13"/>
    <x v="8"/>
    <x v="1"/>
    <x v="6"/>
    <x v="1"/>
    <x v="2"/>
    <x v="1"/>
    <x v="1"/>
    <x v="29"/>
  </r>
  <r>
    <x v="17"/>
    <x v="1"/>
    <x v="19"/>
    <x v="21"/>
    <x v="1"/>
    <x v="1"/>
    <x v="1"/>
    <x v="6"/>
    <x v="4"/>
    <x v="10"/>
    <x v="16"/>
    <x v="6"/>
    <x v="1"/>
    <x v="1"/>
    <x v="1"/>
    <x v="2"/>
    <x v="1"/>
    <x v="1"/>
    <x v="22"/>
  </r>
  <r>
    <x v="18"/>
    <x v="1"/>
    <x v="15"/>
    <x v="24"/>
    <x v="1"/>
    <x v="1"/>
    <x v="1"/>
    <x v="8"/>
    <x v="1"/>
    <x v="8"/>
    <x v="13"/>
    <x v="2"/>
    <x v="7"/>
    <x v="10"/>
    <x v="1"/>
    <x v="2"/>
    <x v="1"/>
    <x v="1"/>
    <x v="30"/>
  </r>
  <r>
    <x v="19"/>
    <x v="1"/>
    <x v="9"/>
    <x v="28"/>
    <x v="1"/>
    <x v="1"/>
    <x v="4"/>
    <x v="6"/>
    <x v="1"/>
    <x v="8"/>
    <x v="10"/>
    <x v="3"/>
    <x v="1"/>
    <x v="6"/>
    <x v="1"/>
    <x v="2"/>
    <x v="1"/>
    <x v="1"/>
    <x v="9"/>
  </r>
  <r>
    <x v="20"/>
    <x v="1"/>
    <x v="3"/>
    <x v="20"/>
    <x v="1"/>
    <x v="1"/>
    <x v="4"/>
    <x v="10"/>
    <x v="1"/>
    <x v="8"/>
    <x v="4"/>
    <x v="4"/>
    <x v="1"/>
    <x v="6"/>
    <x v="1"/>
    <x v="2"/>
    <x v="1"/>
    <x v="1"/>
    <x v="3"/>
  </r>
  <r>
    <x v="21"/>
    <x v="1"/>
    <x v="1"/>
    <x v="14"/>
    <x v="1"/>
    <x v="1"/>
    <x v="7"/>
    <x v="15"/>
    <x v="1"/>
    <x v="6"/>
    <x v="1"/>
    <x v="7"/>
    <x v="1"/>
    <x v="6"/>
    <x v="1"/>
    <x v="2"/>
    <x v="1"/>
    <x v="1"/>
    <x v="5"/>
  </r>
  <r>
    <x v="22"/>
    <x v="1"/>
    <x v="1"/>
    <x v="14"/>
    <x v="1"/>
    <x v="1"/>
    <x v="13"/>
    <x v="6"/>
    <x v="4"/>
    <x v="8"/>
    <x v="1"/>
    <x v="12"/>
    <x v="1"/>
    <x v="4"/>
    <x v="1"/>
    <x v="2"/>
    <x v="1"/>
    <x v="1"/>
    <x v="16"/>
  </r>
  <r>
    <x v="23"/>
    <x v="1"/>
    <x v="1"/>
    <x v="3"/>
    <x v="1"/>
    <x v="2"/>
    <x v="13"/>
    <x v="4"/>
    <x v="4"/>
    <x v="4"/>
    <x v="16"/>
    <x v="9"/>
    <x v="4"/>
    <x v="8"/>
    <x v="1"/>
    <x v="1"/>
    <x v="1"/>
    <x v="2"/>
    <x v="26"/>
  </r>
  <r>
    <x v="24"/>
    <x v="2"/>
    <x v="5"/>
    <x v="10"/>
    <x v="2"/>
    <x v="1"/>
    <x v="12"/>
    <x v="6"/>
    <x v="11"/>
    <x v="15"/>
    <x v="20"/>
    <x v="1"/>
    <x v="2"/>
    <x v="6"/>
    <x v="2"/>
    <x v="2"/>
    <x v="2"/>
    <x v="1"/>
    <x v="35"/>
  </r>
  <r>
    <x v="25"/>
    <x v="2"/>
    <x v="8"/>
    <x v="5"/>
    <x v="2"/>
    <x v="1"/>
    <x v="12"/>
    <x v="1"/>
    <x v="5"/>
    <x v="11"/>
    <x v="8"/>
    <x v="5"/>
    <x v="2"/>
    <x v="6"/>
    <x v="2"/>
    <x v="2"/>
    <x v="2"/>
    <x v="1"/>
    <x v="25"/>
  </r>
  <r>
    <x v="26"/>
    <x v="2"/>
    <x v="14"/>
    <x v="0"/>
    <x v="2"/>
    <x v="1"/>
    <x v="2"/>
    <x v="6"/>
    <x v="2"/>
    <x v="8"/>
    <x v="5"/>
    <x v="7"/>
    <x v="2"/>
    <x v="6"/>
    <x v="2"/>
    <x v="2"/>
    <x v="2"/>
    <x v="1"/>
    <x v="12"/>
  </r>
  <r>
    <x v="27"/>
    <x v="2"/>
    <x v="21"/>
    <x v="13"/>
    <x v="2"/>
    <x v="1"/>
    <x v="2"/>
    <x v="6"/>
    <x v="2"/>
    <x v="0"/>
    <x v="5"/>
    <x v="11"/>
    <x v="2"/>
    <x v="6"/>
    <x v="2"/>
    <x v="2"/>
    <x v="2"/>
    <x v="1"/>
    <x v="18"/>
  </r>
  <r>
    <x v="28"/>
    <x v="2"/>
    <x v="22"/>
    <x v="15"/>
    <x v="2"/>
    <x v="1"/>
    <x v="2"/>
    <x v="6"/>
    <x v="8"/>
    <x v="14"/>
    <x v="14"/>
    <x v="8"/>
    <x v="2"/>
    <x v="6"/>
    <x v="2"/>
    <x v="2"/>
    <x v="2"/>
    <x v="1"/>
    <x v="33"/>
  </r>
  <r>
    <x v="29"/>
    <x v="2"/>
    <x v="21"/>
    <x v="23"/>
    <x v="2"/>
    <x v="1"/>
    <x v="2"/>
    <x v="6"/>
    <x v="5"/>
    <x v="11"/>
    <x v="17"/>
    <x v="6"/>
    <x v="2"/>
    <x v="2"/>
    <x v="2"/>
    <x v="2"/>
    <x v="2"/>
    <x v="1"/>
    <x v="28"/>
  </r>
  <r>
    <x v="30"/>
    <x v="2"/>
    <x v="16"/>
    <x v="26"/>
    <x v="2"/>
    <x v="1"/>
    <x v="2"/>
    <x v="7"/>
    <x v="2"/>
    <x v="8"/>
    <x v="14"/>
    <x v="2"/>
    <x v="8"/>
    <x v="9"/>
    <x v="2"/>
    <x v="2"/>
    <x v="2"/>
    <x v="1"/>
    <x v="34"/>
  </r>
  <r>
    <x v="31"/>
    <x v="2"/>
    <x v="11"/>
    <x v="27"/>
    <x v="2"/>
    <x v="1"/>
    <x v="5"/>
    <x v="6"/>
    <x v="2"/>
    <x v="8"/>
    <x v="11"/>
    <x v="3"/>
    <x v="2"/>
    <x v="6"/>
    <x v="2"/>
    <x v="2"/>
    <x v="2"/>
    <x v="1"/>
    <x v="15"/>
  </r>
  <r>
    <x v="32"/>
    <x v="2"/>
    <x v="5"/>
    <x v="19"/>
    <x v="2"/>
    <x v="1"/>
    <x v="5"/>
    <x v="11"/>
    <x v="2"/>
    <x v="8"/>
    <x v="5"/>
    <x v="4"/>
    <x v="2"/>
    <x v="6"/>
    <x v="2"/>
    <x v="2"/>
    <x v="2"/>
    <x v="1"/>
    <x v="7"/>
  </r>
  <r>
    <x v="33"/>
    <x v="2"/>
    <x v="2"/>
    <x v="14"/>
    <x v="2"/>
    <x v="1"/>
    <x v="8"/>
    <x v="14"/>
    <x v="2"/>
    <x v="5"/>
    <x v="2"/>
    <x v="7"/>
    <x v="2"/>
    <x v="6"/>
    <x v="2"/>
    <x v="2"/>
    <x v="2"/>
    <x v="1"/>
    <x v="10"/>
  </r>
  <r>
    <x v="34"/>
    <x v="2"/>
    <x v="2"/>
    <x v="14"/>
    <x v="2"/>
    <x v="1"/>
    <x v="14"/>
    <x v="6"/>
    <x v="5"/>
    <x v="8"/>
    <x v="2"/>
    <x v="12"/>
    <x v="2"/>
    <x v="5"/>
    <x v="2"/>
    <x v="2"/>
    <x v="2"/>
    <x v="1"/>
    <x v="20"/>
  </r>
  <r>
    <x v="35"/>
    <x v="2"/>
    <x v="2"/>
    <x v="30"/>
    <x v="2"/>
    <x v="0"/>
    <x v="14"/>
    <x v="0"/>
    <x v="5"/>
    <x v="18"/>
    <x v="17"/>
    <x v="0"/>
    <x v="5"/>
    <x v="12"/>
    <x v="2"/>
    <x v="3"/>
    <x v="2"/>
    <x v="0"/>
    <x v="31"/>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0" dataCaption="Values" showDrill="1" useAutoFormatting="0" itemPrintTitles="1" indent="0" outline="1" outlineData="1" compact="1" compactData="1">
  <location ref="A32:L37" firstHeaderRow="1" firstDataRow="2" firstDataCol="1"/>
  <pivotFields count="13">
    <pivotField showAll="0"/>
    <pivotField axis="axisRow" showAll="0">
      <items count="4">
        <item x="0"/>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colFields count="1">
    <field x="-2"/>
  </colFields>
  <dataFields count="11">
    <dataField name="Sum of Total Income" fld="12" subtotal="sum" numFmtId="166"/>
    <dataField name="Sum of UK Undergraduate Tuition" fld="2" subtotal="sum" numFmtId="166"/>
    <dataField name="Sum of International Undergraduate Tuition" fld="3" subtotal="sum" numFmtId="166"/>
    <dataField name="Sum of UK Postgraduate Tuition" fld="4" subtotal="sum" numFmtId="166"/>
    <dataField name="Sum of International Postgraduate Tuition" fld="5" subtotal="sum" numFmtId="166"/>
    <dataField name="Sum of Postgraduate Research (PGR) Tuition" fld="6" subtotal="sum" numFmtId="166"/>
    <dataField name="Sum of Research Grants &amp; Contracts" fld="7" subtotal="sum" numFmtId="166"/>
    <dataField name="Sum of Government &amp; Funding Body Grants" fld="8" subtotal="sum" numFmtId="166"/>
    <dataField name="Sum of Student Accommodation Income" fld="9" subtotal="sum" numFmtId="166"/>
    <dataField name="Sum of Commercial &amp; Professional Services" fld="10" subtotal="sum" numFmtId="166"/>
    <dataField name="Sum of Other Operating Income" fld="11" subtotal="sum" numFmtId="166"/>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0" dataCaption="Values" showDrill="1" useAutoFormatting="0" itemPrintTitles="1" indent="0" outline="1" outlineData="1" compact="1" compactData="1">
  <location ref="A5:B9" firstHeaderRow="1" firstDataRow="1" firstDataCol="1"/>
  <pivotFields count="7">
    <pivotField showAll="0"/>
    <pivotField axis="axisRow" showAll="0">
      <items count="4">
        <item x="0"/>
        <item x="1"/>
        <item x="2"/>
        <item t="default"/>
      </items>
    </pivotField>
    <pivotField showAll="0"/>
    <pivotField showAll="0"/>
    <pivotField dataField="1" showAll="0"/>
    <pivotField showAll="0"/>
    <pivotField showAll="0"/>
  </pivotFields>
  <rowFields count="1">
    <field x="1"/>
  </rowFields>
  <dataFields count="1">
    <dataField name="Sum of Total Operating Expenditure" fld="4" subtotal="sum" numFmtId="166"/>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0" dataCaption="Values" showDrill="1" useAutoFormatting="0" itemPrintTitles="1" indent="0" outline="1" outlineData="1" compact="1" compactData="1">
  <location ref="A14:E19" firstHeaderRow="1" firstDataRow="2" firstDataCol="1"/>
  <pivotFields count="19">
    <pivotField showAll="0"/>
    <pivotField axis="axisRow" showAll="0">
      <items count="4">
        <item x="0"/>
        <item x="1"/>
        <item x="2"/>
        <item t="default"/>
      </items>
    </pivotField>
    <pivotField dataField="1"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colFields count="1">
    <field x="-2"/>
  </colFields>
  <dataFields count="4">
    <dataField name="Sum of Total Operating Expenditure" fld="18" subtotal="sum" numFmtId="166"/>
    <dataField name="Sum of Utilities" fld="2" subtotal="sum" numFmtId="166"/>
    <dataField name="Sum of IT &amp; Digital Services" fld="4" subtotal="sum" numFmtId="166"/>
    <dataField name="Sum of Estates &amp; Maintenance" fld="6" subtotal="sum" numFmtId="166"/>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6" cacheId="3" applyNumberFormats="0" applyBorderFormats="0" applyFontFormats="0" applyPatternFormats="0" applyAlignmentFormats="0" applyWidthHeightFormats="0" dataCaption="Values" showDrill="1" useAutoFormatting="0" itemPrintTitles="1" indent="0" outline="1" outlineData="1" compact="1" compactData="1">
  <location ref="A23:G28" firstHeaderRow="1" firstDataRow="2" firstDataCol="1"/>
  <pivotFields count="19">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dataField="1" showAll="0"/>
  </pivotFields>
  <rowFields count="1">
    <field x="1"/>
  </rowFields>
  <colFields count="1">
    <field x="-2"/>
  </colFields>
  <dataFields count="6">
    <dataField name="Sum of Total Operating Expenditure" fld="18" subtotal="sum" numFmtId="166"/>
    <dataField name="Sum of Student Services" fld="8" subtotal="sum" numFmtId="166"/>
    <dataField name="Sum of Marketing &amp; Recruitment" fld="10" subtotal="sum" numFmtId="166"/>
    <dataField name="Sum of Professional Fees" fld="12" subtotal="sum" numFmtId="166"/>
    <dataField name="Sum of Administration" fld="14" subtotal="sum" numFmtId="166"/>
    <dataField name="Sum of Other Operating Expenditure" fld="16" subtotal="sum" numFmtId="166"/>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
</Relationships>
</file>

<file path=xl/worksheets/_rels/sheet2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31" activePane="bottomRight" state="frozen"/>
      <selection pane="topLeft" activeCell="A1" activeCellId="0" sqref="A1"/>
      <selection pane="topRight" activeCell="C1" activeCellId="0" sqref="C1"/>
      <selection pane="bottomLeft" activeCell="A31" activeCellId="0" sqref="A31"/>
      <selection pane="bottomRight" activeCell="A29" activeCellId="0" sqref="A29"/>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4" min="3" style="1" width="15"/>
    <col collapsed="false" customWidth="true" hidden="false" outlineLevel="0" max="6" min="5" style="1" width="20"/>
    <col collapsed="false" customWidth="true" hidden="false" outlineLevel="0" max="8" min="7" style="1" width="15"/>
    <col collapsed="false" customWidth="true" hidden="false" outlineLevel="0" max="10" min="9" style="1" width="20"/>
    <col collapsed="false" customWidth="true" hidden="false" outlineLevel="0" max="12" min="11" style="1" width="22"/>
    <col collapsed="false" customWidth="true" hidden="false" outlineLevel="0" max="13" min="13" style="1" width="14"/>
  </cols>
  <sheetData>
    <row r="1" customFormat="false" ht="21.75" hidden="false" customHeight="true" outlineLevel="0" collapsed="false">
      <c r="A1" s="2" t="s">
        <v>0</v>
      </c>
      <c r="B1" s="2"/>
      <c r="C1" s="2"/>
      <c r="D1" s="2"/>
      <c r="E1" s="2"/>
      <c r="F1" s="2"/>
      <c r="G1" s="2"/>
      <c r="H1" s="2"/>
      <c r="I1" s="2"/>
      <c r="J1" s="2"/>
      <c r="K1" s="2"/>
      <c r="L1" s="2"/>
      <c r="M1" s="2"/>
    </row>
    <row r="2" customFormat="false" ht="15.75" hidden="false" customHeight="true" outlineLevel="0" collapsed="false">
      <c r="A2" s="3"/>
      <c r="B2" s="3"/>
      <c r="C2" s="3"/>
      <c r="D2" s="3"/>
      <c r="E2" s="3"/>
      <c r="F2" s="3"/>
      <c r="G2" s="3"/>
      <c r="H2" s="3"/>
      <c r="I2" s="3"/>
      <c r="J2" s="3"/>
      <c r="K2" s="3"/>
      <c r="L2" s="3"/>
      <c r="M2" s="3"/>
    </row>
    <row r="4" customFormat="false" ht="30" hidden="false" customHeight="true" outlineLevel="0" collapsed="false">
      <c r="A4" s="4" t="s">
        <v>1</v>
      </c>
      <c r="B4" s="4" t="s">
        <v>2</v>
      </c>
      <c r="C4" s="4" t="s">
        <v>3</v>
      </c>
      <c r="D4" s="5" t="s">
        <v>4</v>
      </c>
      <c r="E4" s="4" t="s">
        <v>5</v>
      </c>
      <c r="F4" s="5" t="s">
        <v>4</v>
      </c>
      <c r="G4" s="4" t="s">
        <v>6</v>
      </c>
      <c r="H4" s="5" t="s">
        <v>4</v>
      </c>
      <c r="I4" s="4" t="s">
        <v>7</v>
      </c>
      <c r="J4" s="5" t="s">
        <v>4</v>
      </c>
      <c r="K4" s="4" t="s">
        <v>8</v>
      </c>
      <c r="L4" s="5" t="s">
        <v>4</v>
      </c>
      <c r="M4" s="4" t="s">
        <v>9</v>
      </c>
    </row>
    <row r="5" customFormat="false" ht="15" hidden="false" customHeight="true" outlineLevel="0" collapsed="false">
      <c r="A5" s="6" t="n">
        <v>45139</v>
      </c>
      <c r="B5" s="7" t="s">
        <v>10</v>
      </c>
      <c r="C5" s="8" t="n">
        <v>6000</v>
      </c>
      <c r="D5" s="8" t="n">
        <f aca="false">C6-C5</f>
        <v>3007</v>
      </c>
      <c r="E5" s="8" t="n">
        <v>1400</v>
      </c>
      <c r="F5" s="8" t="n">
        <f aca="false">E6-E5</f>
        <v>707</v>
      </c>
      <c r="G5" s="8" t="n">
        <v>184</v>
      </c>
      <c r="H5" s="8" t="n">
        <f aca="false">G6-G5</f>
        <v>6715</v>
      </c>
      <c r="I5" s="8" t="n">
        <v>192</v>
      </c>
      <c r="J5" s="8" t="n">
        <f aca="false">I6-I5</f>
        <v>6057</v>
      </c>
      <c r="K5" s="8" t="n">
        <v>748</v>
      </c>
      <c r="L5" s="8" t="n">
        <f aca="false">K6-K5</f>
        <v>251</v>
      </c>
      <c r="M5" s="9" t="n">
        <f aca="false">SUM(C5:K5)</f>
        <v>25010</v>
      </c>
    </row>
    <row r="6" customFormat="false" ht="15" hidden="false" customHeight="true" outlineLevel="0" collapsed="false">
      <c r="A6" s="6" t="n">
        <v>45170</v>
      </c>
      <c r="B6" s="7" t="s">
        <v>10</v>
      </c>
      <c r="C6" s="8" t="n">
        <v>9007</v>
      </c>
      <c r="D6" s="8" t="n">
        <f aca="false">C7-C6</f>
        <v>-44</v>
      </c>
      <c r="E6" s="8" t="n">
        <v>2107</v>
      </c>
      <c r="F6" s="8" t="n">
        <f aca="false">E7-E6</f>
        <v>-24</v>
      </c>
      <c r="G6" s="8" t="n">
        <v>6899</v>
      </c>
      <c r="H6" s="8" t="n">
        <f aca="false">G7-G6</f>
        <v>-1350</v>
      </c>
      <c r="I6" s="8" t="n">
        <v>6249</v>
      </c>
      <c r="J6" s="8" t="n">
        <f aca="false">I7-I6</f>
        <v>-1205</v>
      </c>
      <c r="K6" s="8" t="n">
        <v>999</v>
      </c>
      <c r="L6" s="8" t="n">
        <f aca="false">K7-K6</f>
        <v>7</v>
      </c>
      <c r="M6" s="9" t="n">
        <f aca="false">SUM(C6:K6)</f>
        <v>22638</v>
      </c>
    </row>
    <row r="7" customFormat="false" ht="15" hidden="false" customHeight="true" outlineLevel="0" collapsed="false">
      <c r="A7" s="6" t="n">
        <v>45200</v>
      </c>
      <c r="B7" s="7" t="s">
        <v>10</v>
      </c>
      <c r="C7" s="8" t="n">
        <v>8963</v>
      </c>
      <c r="D7" s="8" t="n">
        <f aca="false">C8-C7</f>
        <v>-47</v>
      </c>
      <c r="E7" s="8" t="n">
        <v>2083</v>
      </c>
      <c r="F7" s="8" t="n">
        <f aca="false">E8-E7</f>
        <v>0</v>
      </c>
      <c r="G7" s="8" t="n">
        <v>5549</v>
      </c>
      <c r="H7" s="8" t="n">
        <f aca="false">G8-G7</f>
        <v>-1114</v>
      </c>
      <c r="I7" s="8" t="n">
        <v>5044</v>
      </c>
      <c r="J7" s="8" t="n">
        <f aca="false">I8-I7</f>
        <v>-1067</v>
      </c>
      <c r="K7" s="8" t="n">
        <v>1006</v>
      </c>
      <c r="L7" s="8" t="n">
        <f aca="false">K8-K7</f>
        <v>-5</v>
      </c>
      <c r="M7" s="9" t="n">
        <f aca="false">SUM(C7:K7)</f>
        <v>20417</v>
      </c>
    </row>
    <row r="8" customFormat="false" ht="15" hidden="false" customHeight="true" outlineLevel="0" collapsed="false">
      <c r="A8" s="6" t="n">
        <v>45231</v>
      </c>
      <c r="B8" s="7" t="s">
        <v>10</v>
      </c>
      <c r="C8" s="8" t="n">
        <v>8916</v>
      </c>
      <c r="D8" s="8" t="n">
        <f aca="false">C9-C8</f>
        <v>10</v>
      </c>
      <c r="E8" s="8" t="n">
        <v>2083</v>
      </c>
      <c r="F8" s="8" t="n">
        <f aca="false">E9-E8</f>
        <v>-3</v>
      </c>
      <c r="G8" s="8" t="n">
        <v>4435</v>
      </c>
      <c r="H8" s="8" t="n">
        <f aca="false">G9-G8</f>
        <v>-920</v>
      </c>
      <c r="I8" s="8" t="n">
        <v>3977</v>
      </c>
      <c r="J8" s="8" t="n">
        <f aca="false">I9-I8</f>
        <v>-794</v>
      </c>
      <c r="K8" s="8" t="n">
        <v>1001</v>
      </c>
      <c r="L8" s="8" t="n">
        <f aca="false">K9-K8</f>
        <v>-7</v>
      </c>
      <c r="M8" s="9" t="n">
        <f aca="false">SUM(C8:K8)</f>
        <v>18705</v>
      </c>
    </row>
    <row r="9" customFormat="false" ht="15" hidden="false" customHeight="true" outlineLevel="0" collapsed="false">
      <c r="A9" s="6" t="n">
        <v>45261</v>
      </c>
      <c r="B9" s="7" t="s">
        <v>10</v>
      </c>
      <c r="C9" s="8" t="n">
        <v>8926</v>
      </c>
      <c r="D9" s="8" t="n">
        <f aca="false">C10-C9</f>
        <v>-42</v>
      </c>
      <c r="E9" s="8" t="n">
        <v>2080</v>
      </c>
      <c r="F9" s="8" t="n">
        <f aca="false">E10-E9</f>
        <v>-7</v>
      </c>
      <c r="G9" s="8" t="n">
        <v>3515</v>
      </c>
      <c r="H9" s="8" t="n">
        <f aca="false">G10-G9</f>
        <v>-220</v>
      </c>
      <c r="I9" s="8" t="n">
        <v>3183</v>
      </c>
      <c r="J9" s="8" t="n">
        <f aca="false">I10-I9</f>
        <v>-270</v>
      </c>
      <c r="K9" s="8" t="n">
        <v>994</v>
      </c>
      <c r="L9" s="8" t="n">
        <f aca="false">K10-K9</f>
        <v>69</v>
      </c>
      <c r="M9" s="9" t="n">
        <f aca="false">SUM(C9:K9)</f>
        <v>18159</v>
      </c>
    </row>
    <row r="10" customFormat="false" ht="15" hidden="false" customHeight="true" outlineLevel="0" collapsed="false">
      <c r="A10" s="6" t="n">
        <v>45292</v>
      </c>
      <c r="B10" s="7" t="s">
        <v>10</v>
      </c>
      <c r="C10" s="8" t="n">
        <v>8884</v>
      </c>
      <c r="D10" s="8" t="n">
        <f aca="false">C11-C10</f>
        <v>43</v>
      </c>
      <c r="E10" s="8" t="n">
        <v>2073</v>
      </c>
      <c r="F10" s="8" t="n">
        <f aca="false">E11-E10</f>
        <v>-21</v>
      </c>
      <c r="G10" s="8" t="n">
        <v>3295</v>
      </c>
      <c r="H10" s="8" t="n">
        <f aca="false">G11-G10</f>
        <v>-657</v>
      </c>
      <c r="I10" s="8" t="n">
        <v>2913</v>
      </c>
      <c r="J10" s="8" t="n">
        <f aca="false">I11-I10</f>
        <v>-607</v>
      </c>
      <c r="K10" s="8" t="n">
        <v>1063</v>
      </c>
      <c r="L10" s="8" t="n">
        <f aca="false">K11-K10</f>
        <v>0</v>
      </c>
      <c r="M10" s="9" t="n">
        <f aca="false">SUM(C10:K10)</f>
        <v>16986</v>
      </c>
    </row>
    <row r="11" customFormat="false" ht="15" hidden="false" customHeight="true" outlineLevel="0" collapsed="false">
      <c r="A11" s="6" t="n">
        <v>45323</v>
      </c>
      <c r="B11" s="7" t="s">
        <v>10</v>
      </c>
      <c r="C11" s="8" t="n">
        <v>8927</v>
      </c>
      <c r="D11" s="8" t="n">
        <f aca="false">C12-C11</f>
        <v>55</v>
      </c>
      <c r="E11" s="8" t="n">
        <v>2052</v>
      </c>
      <c r="F11" s="8" t="n">
        <f aca="false">E12-E11</f>
        <v>10</v>
      </c>
      <c r="G11" s="8" t="n">
        <v>2638</v>
      </c>
      <c r="H11" s="8" t="n">
        <f aca="false">G12-G11</f>
        <v>-542</v>
      </c>
      <c r="I11" s="8" t="n">
        <v>2306</v>
      </c>
      <c r="J11" s="8" t="n">
        <f aca="false">I12-I11</f>
        <v>-468</v>
      </c>
      <c r="K11" s="8" t="n">
        <v>1063</v>
      </c>
      <c r="L11" s="8" t="n">
        <f aca="false">K12-K11</f>
        <v>10</v>
      </c>
      <c r="M11" s="9" t="n">
        <f aca="false">SUM(C11:K11)</f>
        <v>16041</v>
      </c>
    </row>
    <row r="12" customFormat="false" ht="15" hidden="false" customHeight="true" outlineLevel="0" collapsed="false">
      <c r="A12" s="6" t="n">
        <v>45352</v>
      </c>
      <c r="B12" s="7" t="s">
        <v>10</v>
      </c>
      <c r="C12" s="8" t="n">
        <v>8982</v>
      </c>
      <c r="D12" s="8" t="n">
        <f aca="false">C13-C12</f>
        <v>-111</v>
      </c>
      <c r="E12" s="8" t="n">
        <v>2062</v>
      </c>
      <c r="F12" s="8" t="n">
        <f aca="false">E13-E12</f>
        <v>10</v>
      </c>
      <c r="G12" s="8" t="n">
        <v>2096</v>
      </c>
      <c r="H12" s="8" t="n">
        <f aca="false">G13-G12</f>
        <v>-406</v>
      </c>
      <c r="I12" s="8" t="n">
        <v>1838</v>
      </c>
      <c r="J12" s="8" t="n">
        <f aca="false">I13-I12</f>
        <v>-379</v>
      </c>
      <c r="K12" s="8" t="n">
        <v>1073</v>
      </c>
      <c r="L12" s="8" t="n">
        <f aca="false">K13-K12</f>
        <v>-14</v>
      </c>
      <c r="M12" s="9" t="n">
        <f aca="false">SUM(C12:K12)</f>
        <v>15165</v>
      </c>
    </row>
    <row r="13" customFormat="false" ht="15" hidden="false" customHeight="true" outlineLevel="0" collapsed="false">
      <c r="A13" s="6" t="n">
        <v>45383</v>
      </c>
      <c r="B13" s="7" t="s">
        <v>10</v>
      </c>
      <c r="C13" s="8" t="n">
        <v>8871</v>
      </c>
      <c r="D13" s="8" t="n">
        <f aca="false">C14-C13</f>
        <v>-20</v>
      </c>
      <c r="E13" s="8" t="n">
        <v>2072</v>
      </c>
      <c r="F13" s="8" t="n">
        <f aca="false">E14-E13</f>
        <v>-41</v>
      </c>
      <c r="G13" s="8" t="n">
        <v>1690</v>
      </c>
      <c r="H13" s="8" t="n">
        <f aca="false">G14-G13</f>
        <v>-347</v>
      </c>
      <c r="I13" s="8" t="n">
        <v>1459</v>
      </c>
      <c r="J13" s="8" t="n">
        <f aca="false">I14-I13</f>
        <v>-295</v>
      </c>
      <c r="K13" s="8" t="n">
        <v>1059</v>
      </c>
      <c r="L13" s="8" t="n">
        <f aca="false">K14-K13</f>
        <v>0</v>
      </c>
      <c r="M13" s="9" t="n">
        <f aca="false">SUM(C13:K13)</f>
        <v>14448</v>
      </c>
    </row>
    <row r="14" customFormat="false" ht="15" hidden="false" customHeight="true" outlineLevel="0" collapsed="false">
      <c r="A14" s="6" t="n">
        <v>45413</v>
      </c>
      <c r="B14" s="7" t="s">
        <v>10</v>
      </c>
      <c r="C14" s="8" t="n">
        <v>8851</v>
      </c>
      <c r="D14" s="8" t="n">
        <f aca="false">C15-C14</f>
        <v>45</v>
      </c>
      <c r="E14" s="8" t="n">
        <v>2031</v>
      </c>
      <c r="F14" s="8" t="n">
        <f aca="false">E15-E14</f>
        <v>23</v>
      </c>
      <c r="G14" s="8" t="n">
        <v>1343</v>
      </c>
      <c r="H14" s="8" t="n">
        <f aca="false">G15-G14</f>
        <v>-257</v>
      </c>
      <c r="I14" s="8" t="n">
        <v>1164</v>
      </c>
      <c r="J14" s="8" t="n">
        <f aca="false">I15-I14</f>
        <v>-241</v>
      </c>
      <c r="K14" s="8" t="n">
        <v>1059</v>
      </c>
      <c r="L14" s="8" t="n">
        <f aca="false">K15-K14</f>
        <v>3</v>
      </c>
      <c r="M14" s="9" t="n">
        <f aca="false">SUM(C14:K14)</f>
        <v>14018</v>
      </c>
    </row>
    <row r="15" customFormat="false" ht="15" hidden="false" customHeight="true" outlineLevel="0" collapsed="false">
      <c r="A15" s="6" t="n">
        <v>45444</v>
      </c>
      <c r="B15" s="7" t="s">
        <v>10</v>
      </c>
      <c r="C15" s="8" t="n">
        <v>8896</v>
      </c>
      <c r="D15" s="8" t="n">
        <f aca="false">C16-C15</f>
        <v>-2793</v>
      </c>
      <c r="E15" s="8" t="n">
        <v>2054</v>
      </c>
      <c r="F15" s="8" t="n">
        <f aca="false">E16-E15</f>
        <v>-639</v>
      </c>
      <c r="G15" s="8" t="n">
        <v>1086</v>
      </c>
      <c r="H15" s="8" t="n">
        <f aca="false">G16-G15</f>
        <v>-221</v>
      </c>
      <c r="I15" s="8" t="n">
        <v>923</v>
      </c>
      <c r="J15" s="8" t="n">
        <f aca="false">I16-I15</f>
        <v>-189</v>
      </c>
      <c r="K15" s="8" t="n">
        <v>1062</v>
      </c>
      <c r="L15" s="8" t="n">
        <f aca="false">K16-K15</f>
        <v>-244</v>
      </c>
      <c r="M15" s="9" t="n">
        <f aca="false">SUM(C15:K15)</f>
        <v>10179</v>
      </c>
    </row>
    <row r="16" customFormat="false" ht="15" hidden="false" customHeight="true" outlineLevel="0" collapsed="false">
      <c r="A16" s="6" t="n">
        <v>45474</v>
      </c>
      <c r="B16" s="7" t="s">
        <v>10</v>
      </c>
      <c r="C16" s="8" t="n">
        <v>6103</v>
      </c>
      <c r="D16" s="8" t="n">
        <f aca="false">C17-C16</f>
        <v>-18</v>
      </c>
      <c r="E16" s="8" t="n">
        <v>1415</v>
      </c>
      <c r="F16" s="8" t="n">
        <f aca="false">E17-E16</f>
        <v>-10</v>
      </c>
      <c r="G16" s="8" t="n">
        <v>865</v>
      </c>
      <c r="H16" s="8" t="n">
        <f aca="false">G17-G16</f>
        <v>-173</v>
      </c>
      <c r="I16" s="8" t="n">
        <v>734</v>
      </c>
      <c r="J16" s="8" t="n">
        <f aca="false">I17-I16</f>
        <v>-154</v>
      </c>
      <c r="K16" s="8" t="n">
        <v>818</v>
      </c>
      <c r="L16" s="8" t="n">
        <f aca="false">K17-K16</f>
        <v>-1</v>
      </c>
      <c r="M16" s="9" t="n">
        <f aca="false">SUM(C16:K16)</f>
        <v>9580</v>
      </c>
    </row>
    <row r="17" customFormat="false" ht="15" hidden="false" customHeight="true" outlineLevel="0" collapsed="false">
      <c r="A17" s="6" t="n">
        <v>45505</v>
      </c>
      <c r="B17" s="7" t="s">
        <v>11</v>
      </c>
      <c r="C17" s="8" t="n">
        <v>6085</v>
      </c>
      <c r="D17" s="8" t="n">
        <f aca="false">C18-C17</f>
        <v>2986</v>
      </c>
      <c r="E17" s="8" t="n">
        <v>1405</v>
      </c>
      <c r="F17" s="8" t="n">
        <f aca="false">E18-E17</f>
        <v>772</v>
      </c>
      <c r="G17" s="8" t="n">
        <v>692</v>
      </c>
      <c r="H17" s="8" t="n">
        <f aca="false">G18-G17</f>
        <v>6730</v>
      </c>
      <c r="I17" s="8" t="n">
        <v>580</v>
      </c>
      <c r="J17" s="8" t="n">
        <f aca="false">I18-I17</f>
        <v>6303</v>
      </c>
      <c r="K17" s="8" t="n">
        <v>817</v>
      </c>
      <c r="L17" s="8" t="n">
        <f aca="false">K18-K17</f>
        <v>251</v>
      </c>
      <c r="M17" s="9" t="n">
        <f aca="false">SUM(C17:K17)</f>
        <v>26370</v>
      </c>
    </row>
    <row r="18" customFormat="false" ht="15" hidden="false" customHeight="true" outlineLevel="0" collapsed="false">
      <c r="A18" s="6" t="n">
        <v>45536</v>
      </c>
      <c r="B18" s="7" t="s">
        <v>11</v>
      </c>
      <c r="C18" s="8" t="n">
        <v>9071</v>
      </c>
      <c r="D18" s="8" t="n">
        <f aca="false">C19-C18</f>
        <v>35</v>
      </c>
      <c r="E18" s="8" t="n">
        <v>2177</v>
      </c>
      <c r="F18" s="8" t="n">
        <f aca="false">E19-E18</f>
        <v>-22</v>
      </c>
      <c r="G18" s="8" t="n">
        <v>7422</v>
      </c>
      <c r="H18" s="8" t="n">
        <f aca="false">G19-G18</f>
        <v>-1468</v>
      </c>
      <c r="I18" s="8" t="n">
        <v>6883</v>
      </c>
      <c r="J18" s="8" t="n">
        <f aca="false">I19-I18</f>
        <v>-1330</v>
      </c>
      <c r="K18" s="8" t="n">
        <v>1068</v>
      </c>
      <c r="L18" s="8" t="n">
        <f aca="false">K19-K18</f>
        <v>6</v>
      </c>
      <c r="M18" s="9" t="n">
        <f aca="false">SUM(C18:K18)</f>
        <v>23836</v>
      </c>
    </row>
    <row r="19" customFormat="false" ht="15" hidden="false" customHeight="true" outlineLevel="0" collapsed="false">
      <c r="A19" s="6" t="n">
        <v>45566</v>
      </c>
      <c r="B19" s="7" t="s">
        <v>11</v>
      </c>
      <c r="C19" s="8" t="n">
        <v>9106</v>
      </c>
      <c r="D19" s="8" t="n">
        <f aca="false">C20-C19</f>
        <v>26</v>
      </c>
      <c r="E19" s="8" t="n">
        <v>2155</v>
      </c>
      <c r="F19" s="8" t="n">
        <f aca="false">E20-E19</f>
        <v>-31</v>
      </c>
      <c r="G19" s="8" t="n">
        <v>5954</v>
      </c>
      <c r="H19" s="8" t="n">
        <f aca="false">G20-G19</f>
        <v>-1244</v>
      </c>
      <c r="I19" s="8" t="n">
        <v>5553</v>
      </c>
      <c r="J19" s="8" t="n">
        <f aca="false">I20-I19</f>
        <v>-1199</v>
      </c>
      <c r="K19" s="8" t="n">
        <v>1074</v>
      </c>
      <c r="L19" s="8" t="n">
        <f aca="false">K20-K19</f>
        <v>-4</v>
      </c>
      <c r="M19" s="9" t="n">
        <f aca="false">SUM(C19:K19)</f>
        <v>21394</v>
      </c>
    </row>
    <row r="20" customFormat="false" ht="15" hidden="false" customHeight="true" outlineLevel="0" collapsed="false">
      <c r="A20" s="6" t="n">
        <v>45597</v>
      </c>
      <c r="B20" s="7" t="s">
        <v>11</v>
      </c>
      <c r="C20" s="8" t="n">
        <v>9132</v>
      </c>
      <c r="D20" s="8" t="n">
        <f aca="false">C21-C20</f>
        <v>-124</v>
      </c>
      <c r="E20" s="8" t="n">
        <v>2124</v>
      </c>
      <c r="F20" s="8" t="n">
        <f aca="false">E21-E20</f>
        <v>10</v>
      </c>
      <c r="G20" s="8" t="n">
        <v>4710</v>
      </c>
      <c r="H20" s="8" t="n">
        <f aca="false">G21-G20</f>
        <v>-922</v>
      </c>
      <c r="I20" s="8" t="n">
        <v>4354</v>
      </c>
      <c r="J20" s="8" t="n">
        <f aca="false">I21-I20</f>
        <v>-901</v>
      </c>
      <c r="K20" s="8" t="n">
        <v>1070</v>
      </c>
      <c r="L20" s="8" t="n">
        <f aca="false">K21-K20</f>
        <v>9</v>
      </c>
      <c r="M20" s="9" t="n">
        <f aca="false">SUM(C20:K20)</f>
        <v>19453</v>
      </c>
    </row>
    <row r="21" customFormat="false" ht="15" hidden="false" customHeight="true" outlineLevel="0" collapsed="false">
      <c r="A21" s="6" t="n">
        <v>45627</v>
      </c>
      <c r="B21" s="7" t="s">
        <v>11</v>
      </c>
      <c r="C21" s="8" t="n">
        <v>9008</v>
      </c>
      <c r="D21" s="8" t="n">
        <f aca="false">C22-C21</f>
        <v>34</v>
      </c>
      <c r="E21" s="8" t="n">
        <v>2134</v>
      </c>
      <c r="F21" s="8" t="n">
        <f aca="false">E22-E21</f>
        <v>0</v>
      </c>
      <c r="G21" s="8" t="n">
        <v>3788</v>
      </c>
      <c r="H21" s="8" t="n">
        <f aca="false">G22-G21</f>
        <v>-250</v>
      </c>
      <c r="I21" s="8" t="n">
        <v>3453</v>
      </c>
      <c r="J21" s="8" t="n">
        <f aca="false">I22-I21</f>
        <v>-274</v>
      </c>
      <c r="K21" s="8" t="n">
        <v>1079</v>
      </c>
      <c r="L21" s="8" t="n">
        <f aca="false">K22-K21</f>
        <v>68</v>
      </c>
      <c r="M21" s="9" t="n">
        <f aca="false">SUM(C21:K21)</f>
        <v>18972</v>
      </c>
    </row>
    <row r="22" customFormat="false" ht="15" hidden="false" customHeight="true" outlineLevel="0" collapsed="false">
      <c r="A22" s="6" t="n">
        <v>45658</v>
      </c>
      <c r="B22" s="7" t="s">
        <v>11</v>
      </c>
      <c r="C22" s="8" t="n">
        <v>9042</v>
      </c>
      <c r="D22" s="8" t="n">
        <f aca="false">C23-C22</f>
        <v>-92</v>
      </c>
      <c r="E22" s="8" t="n">
        <v>2134</v>
      </c>
      <c r="F22" s="8" t="n">
        <f aca="false">E23-E22</f>
        <v>-15</v>
      </c>
      <c r="G22" s="8" t="n">
        <v>3538</v>
      </c>
      <c r="H22" s="8" t="n">
        <f aca="false">G23-G22</f>
        <v>-750</v>
      </c>
      <c r="I22" s="8" t="n">
        <v>3179</v>
      </c>
      <c r="J22" s="8" t="n">
        <f aca="false">I23-I22</f>
        <v>-636</v>
      </c>
      <c r="K22" s="8" t="n">
        <v>1147</v>
      </c>
      <c r="L22" s="8" t="n">
        <f aca="false">K23-K22</f>
        <v>-5</v>
      </c>
      <c r="M22" s="9" t="n">
        <f aca="false">SUM(C22:K22)</f>
        <v>17547</v>
      </c>
    </row>
    <row r="23" customFormat="false" ht="15" hidden="false" customHeight="true" outlineLevel="0" collapsed="false">
      <c r="A23" s="6" t="n">
        <v>45689</v>
      </c>
      <c r="B23" s="7" t="s">
        <v>11</v>
      </c>
      <c r="C23" s="8" t="n">
        <v>8950</v>
      </c>
      <c r="D23" s="8" t="n">
        <f aca="false">C24-C23</f>
        <v>20</v>
      </c>
      <c r="E23" s="8" t="n">
        <v>2119</v>
      </c>
      <c r="F23" s="8" t="n">
        <f aca="false">E24-E23</f>
        <v>5</v>
      </c>
      <c r="G23" s="8" t="n">
        <v>2788</v>
      </c>
      <c r="H23" s="8" t="n">
        <f aca="false">G24-G23</f>
        <v>-517</v>
      </c>
      <c r="I23" s="8" t="n">
        <v>2543</v>
      </c>
      <c r="J23" s="8" t="n">
        <f aca="false">I24-I23</f>
        <v>-555</v>
      </c>
      <c r="K23" s="8" t="n">
        <v>1142</v>
      </c>
      <c r="L23" s="8" t="n">
        <f aca="false">K24-K23</f>
        <v>3</v>
      </c>
      <c r="M23" s="9" t="n">
        <f aca="false">SUM(C23:K23)</f>
        <v>16495</v>
      </c>
    </row>
    <row r="24" customFormat="false" ht="15" hidden="false" customHeight="true" outlineLevel="0" collapsed="false">
      <c r="A24" s="6" t="n">
        <v>45717</v>
      </c>
      <c r="B24" s="7" t="s">
        <v>11</v>
      </c>
      <c r="C24" s="8" t="n">
        <v>8970</v>
      </c>
      <c r="D24" s="8" t="n">
        <f aca="false">C25-C24</f>
        <v>-43</v>
      </c>
      <c r="E24" s="8" t="n">
        <v>2124</v>
      </c>
      <c r="F24" s="8" t="n">
        <f aca="false">E25-E24</f>
        <v>-16</v>
      </c>
      <c r="G24" s="8" t="n">
        <v>2271</v>
      </c>
      <c r="H24" s="8" t="n">
        <f aca="false">G25-G24</f>
        <v>-483</v>
      </c>
      <c r="I24" s="8" t="n">
        <v>1988</v>
      </c>
      <c r="J24" s="8" t="n">
        <f aca="false">I25-I24</f>
        <v>-396</v>
      </c>
      <c r="K24" s="8" t="n">
        <v>1145</v>
      </c>
      <c r="L24" s="8" t="n">
        <f aca="false">K25-K24</f>
        <v>-8</v>
      </c>
      <c r="M24" s="9" t="n">
        <f aca="false">SUM(C24:K24)</f>
        <v>15560</v>
      </c>
    </row>
    <row r="25" customFormat="false" ht="15" hidden="false" customHeight="true" outlineLevel="0" collapsed="false">
      <c r="A25" s="6" t="n">
        <v>45748</v>
      </c>
      <c r="B25" s="7" t="s">
        <v>11</v>
      </c>
      <c r="C25" s="8" t="n">
        <v>8927</v>
      </c>
      <c r="D25" s="8" t="n">
        <f aca="false">C26-C25</f>
        <v>73</v>
      </c>
      <c r="E25" s="8" t="n">
        <v>2108</v>
      </c>
      <c r="F25" s="8" t="n">
        <f aca="false">E26-E25</f>
        <v>4</v>
      </c>
      <c r="G25" s="8" t="n">
        <v>1788</v>
      </c>
      <c r="H25" s="8" t="n">
        <f aca="false">G26-G25</f>
        <v>-336</v>
      </c>
      <c r="I25" s="8" t="n">
        <v>1592</v>
      </c>
      <c r="J25" s="8" t="n">
        <f aca="false">I26-I25</f>
        <v>-330</v>
      </c>
      <c r="K25" s="8" t="n">
        <v>1137</v>
      </c>
      <c r="L25" s="8" t="n">
        <f aca="false">K26-K25</f>
        <v>8</v>
      </c>
      <c r="M25" s="9" t="n">
        <f aca="false">SUM(C25:K25)</f>
        <v>14963</v>
      </c>
    </row>
    <row r="26" customFormat="false" ht="15" hidden="false" customHeight="true" outlineLevel="0" collapsed="false">
      <c r="A26" s="6" t="n">
        <v>45778</v>
      </c>
      <c r="B26" s="7" t="s">
        <v>11</v>
      </c>
      <c r="C26" s="8" t="n">
        <v>9000</v>
      </c>
      <c r="D26" s="8" t="n">
        <f aca="false">C27-C26</f>
        <v>-69</v>
      </c>
      <c r="E26" s="8" t="n">
        <v>2112</v>
      </c>
      <c r="F26" s="8" t="n">
        <f aca="false">E27-E26</f>
        <v>4</v>
      </c>
      <c r="G26" s="8" t="n">
        <v>1452</v>
      </c>
      <c r="H26" s="8" t="n">
        <f aca="false">G27-G26</f>
        <v>-301</v>
      </c>
      <c r="I26" s="8" t="n">
        <v>1262</v>
      </c>
      <c r="J26" s="8" t="n">
        <f aca="false">I27-I26</f>
        <v>-265</v>
      </c>
      <c r="K26" s="8" t="n">
        <v>1145</v>
      </c>
      <c r="L26" s="8" t="n">
        <f aca="false">K27-K26</f>
        <v>-8</v>
      </c>
      <c r="M26" s="9" t="n">
        <f aca="false">SUM(C26:K26)</f>
        <v>14340</v>
      </c>
    </row>
    <row r="27" customFormat="false" ht="15" hidden="false" customHeight="true" outlineLevel="0" collapsed="false">
      <c r="A27" s="6" t="n">
        <v>45809</v>
      </c>
      <c r="B27" s="7" t="s">
        <v>11</v>
      </c>
      <c r="C27" s="8" t="n">
        <v>8931</v>
      </c>
      <c r="D27" s="8" t="n">
        <f aca="false">C28-C27</f>
        <v>-2742</v>
      </c>
      <c r="E27" s="8" t="n">
        <v>2116</v>
      </c>
      <c r="F27" s="8" t="n">
        <f aca="false">E28-E27</f>
        <v>-671</v>
      </c>
      <c r="G27" s="8" t="n">
        <v>1151</v>
      </c>
      <c r="H27" s="8" t="n">
        <f aca="false">G28-G27</f>
        <v>-221</v>
      </c>
      <c r="I27" s="8" t="n">
        <v>997</v>
      </c>
      <c r="J27" s="8" t="n">
        <f aca="false">I28-I27</f>
        <v>-193</v>
      </c>
      <c r="K27" s="8" t="n">
        <v>1137</v>
      </c>
      <c r="L27" s="8" t="n">
        <f aca="false">K28-K27</f>
        <v>-255</v>
      </c>
      <c r="M27" s="9" t="n">
        <f aca="false">SUM(C27:K27)</f>
        <v>10505</v>
      </c>
    </row>
    <row r="28" customFormat="false" ht="19.5" hidden="false" customHeight="true" outlineLevel="0" collapsed="false">
      <c r="A28" s="6" t="n">
        <v>45839</v>
      </c>
      <c r="B28" s="7" t="s">
        <v>11</v>
      </c>
      <c r="C28" s="8" t="n">
        <v>6189</v>
      </c>
      <c r="D28" s="8" t="n">
        <f aca="false">C29-C28</f>
        <v>-14</v>
      </c>
      <c r="E28" s="8" t="n">
        <v>1445</v>
      </c>
      <c r="F28" s="8" t="n">
        <f aca="false">E29-E28</f>
        <v>4</v>
      </c>
      <c r="G28" s="8" t="n">
        <v>930</v>
      </c>
      <c r="H28" s="8" t="n">
        <f aca="false">G29-G28</f>
        <v>-189</v>
      </c>
      <c r="I28" s="8" t="n">
        <v>804</v>
      </c>
      <c r="J28" s="8" t="n">
        <f aca="false">I29-I28</f>
        <v>-167</v>
      </c>
      <c r="K28" s="8" t="n">
        <v>882</v>
      </c>
      <c r="L28" s="8" t="n">
        <f aca="false">K29-K28</f>
        <v>-11</v>
      </c>
      <c r="M28" s="9" t="n">
        <f aca="false">SUM(C28:K28)</f>
        <v>9884</v>
      </c>
    </row>
    <row r="29" s="13" customFormat="true" ht="15" hidden="false" customHeight="true" outlineLevel="0" collapsed="false">
      <c r="A29" s="10" t="n">
        <v>45870</v>
      </c>
      <c r="B29" s="11" t="s">
        <v>12</v>
      </c>
      <c r="C29" s="12" t="n">
        <v>6175</v>
      </c>
      <c r="D29" s="12" t="n">
        <f aca="false">C30-C29</f>
        <v>3075</v>
      </c>
      <c r="E29" s="12" t="n">
        <v>1449</v>
      </c>
      <c r="F29" s="12" t="n">
        <f aca="false">E30-E29</f>
        <v>633</v>
      </c>
      <c r="G29" s="12" t="n">
        <v>741</v>
      </c>
      <c r="H29" s="12" t="n">
        <f aca="false">G30-G29</f>
        <v>6811</v>
      </c>
      <c r="I29" s="12" t="n">
        <v>637</v>
      </c>
      <c r="J29" s="12" t="n">
        <f aca="false">I30-I29</f>
        <v>5293</v>
      </c>
      <c r="K29" s="12" t="n">
        <v>871</v>
      </c>
      <c r="L29" s="12" t="n">
        <f aca="false">K30-K29</f>
        <v>273</v>
      </c>
      <c r="M29" s="12" t="n">
        <f aca="false">SUM(C29:K29)</f>
        <v>25685</v>
      </c>
    </row>
    <row r="30" customFormat="false" ht="15" hidden="false" customHeight="true" outlineLevel="0" collapsed="false">
      <c r="A30" s="6" t="n">
        <v>45901</v>
      </c>
      <c r="B30" s="7" t="s">
        <v>12</v>
      </c>
      <c r="C30" s="8" t="n">
        <v>9250</v>
      </c>
      <c r="D30" s="8" t="n">
        <f aca="false">C31-C30</f>
        <v>-143</v>
      </c>
      <c r="E30" s="8" t="n">
        <v>2082</v>
      </c>
      <c r="F30" s="8" t="n">
        <f aca="false">E31-E30</f>
        <v>2</v>
      </c>
      <c r="G30" s="8" t="n">
        <v>7552</v>
      </c>
      <c r="H30" s="8" t="n">
        <f aca="false">G31-G30</f>
        <v>-1408</v>
      </c>
      <c r="I30" s="8" t="n">
        <v>5930</v>
      </c>
      <c r="J30" s="8" t="n">
        <f aca="false">I31-I30</f>
        <v>-1239</v>
      </c>
      <c r="K30" s="8" t="n">
        <v>1144</v>
      </c>
      <c r="L30" s="8" t="n">
        <f aca="false">K31-K30</f>
        <v>-15</v>
      </c>
      <c r="M30" s="9" t="n">
        <f aca="false">SUM(C30:K30)</f>
        <v>23170</v>
      </c>
    </row>
    <row r="31" customFormat="false" ht="15" hidden="false" customHeight="true" outlineLevel="0" collapsed="false">
      <c r="A31" s="6" t="n">
        <v>45931</v>
      </c>
      <c r="B31" s="7" t="s">
        <v>12</v>
      </c>
      <c r="C31" s="8" t="n">
        <v>9107</v>
      </c>
      <c r="D31" s="8" t="n">
        <f aca="false">C32-C31</f>
        <v>95</v>
      </c>
      <c r="E31" s="8" t="n">
        <v>2084</v>
      </c>
      <c r="F31" s="8" t="n">
        <f aca="false">E32-E31</f>
        <v>-22</v>
      </c>
      <c r="G31" s="8" t="n">
        <v>6144</v>
      </c>
      <c r="H31" s="8" t="n">
        <f aca="false">G32-G31</f>
        <v>-1223</v>
      </c>
      <c r="I31" s="8" t="n">
        <v>4691</v>
      </c>
      <c r="J31" s="8" t="n">
        <f aca="false">I32-I31</f>
        <v>-934</v>
      </c>
      <c r="K31" s="8" t="n">
        <v>1129</v>
      </c>
      <c r="L31" s="8" t="n">
        <f aca="false">K32-K31</f>
        <v>-3</v>
      </c>
      <c r="M31" s="9" t="n">
        <f aca="false">SUM(C31:K31)</f>
        <v>21071</v>
      </c>
    </row>
    <row r="32" customFormat="false" ht="15" hidden="false" customHeight="true" outlineLevel="0" collapsed="false">
      <c r="A32" s="6" t="n">
        <v>45962</v>
      </c>
      <c r="B32" s="7" t="s">
        <v>12</v>
      </c>
      <c r="C32" s="8" t="n">
        <v>9202</v>
      </c>
      <c r="D32" s="8" t="n">
        <f aca="false">C33-C32</f>
        <v>14</v>
      </c>
      <c r="E32" s="8" t="n">
        <v>2062</v>
      </c>
      <c r="F32" s="8" t="n">
        <f aca="false">E33-E32</f>
        <v>1</v>
      </c>
      <c r="G32" s="8" t="n">
        <v>4921</v>
      </c>
      <c r="H32" s="8" t="n">
        <f aca="false">G33-G32</f>
        <v>-1020</v>
      </c>
      <c r="I32" s="8" t="n">
        <v>3757</v>
      </c>
      <c r="J32" s="8" t="n">
        <f aca="false">I33-I32</f>
        <v>-788</v>
      </c>
      <c r="K32" s="8" t="n">
        <v>1126</v>
      </c>
      <c r="L32" s="8" t="n">
        <f aca="false">K33-K32</f>
        <v>10</v>
      </c>
      <c r="M32" s="9" t="n">
        <f aca="false">SUM(C32:K32)</f>
        <v>19275</v>
      </c>
    </row>
    <row r="33" customFormat="false" ht="15" hidden="false" customHeight="true" outlineLevel="0" collapsed="false">
      <c r="A33" s="6" t="n">
        <v>45992</v>
      </c>
      <c r="B33" s="7" t="s">
        <v>12</v>
      </c>
      <c r="C33" s="8" t="n">
        <v>9216</v>
      </c>
      <c r="D33" s="8" t="n">
        <f aca="false">C34-C33</f>
        <v>-5</v>
      </c>
      <c r="E33" s="8" t="n">
        <v>2063</v>
      </c>
      <c r="F33" s="8" t="n">
        <f aca="false">E34-E33</f>
        <v>-1</v>
      </c>
      <c r="G33" s="8" t="n">
        <v>3901</v>
      </c>
      <c r="H33" s="8" t="n">
        <f aca="false">G34-G33</f>
        <v>-293</v>
      </c>
      <c r="I33" s="8" t="n">
        <v>2969</v>
      </c>
      <c r="J33" s="8" t="n">
        <f aca="false">I34-I33</f>
        <v>-242</v>
      </c>
      <c r="K33" s="8" t="n">
        <v>1136</v>
      </c>
      <c r="L33" s="8" t="n">
        <f aca="false">K34-K33</f>
        <v>69</v>
      </c>
      <c r="M33" s="9" t="n">
        <f aca="false">SUM(C33:K33)</f>
        <v>18744</v>
      </c>
    </row>
    <row r="34" customFormat="false" ht="15" hidden="false" customHeight="true" outlineLevel="0" collapsed="false">
      <c r="A34" s="6" t="n">
        <v>46023</v>
      </c>
      <c r="B34" s="7" t="s">
        <v>12</v>
      </c>
      <c r="C34" s="8" t="n">
        <v>9211</v>
      </c>
      <c r="D34" s="8" t="n">
        <f aca="false">C35-C34</f>
        <v>-105</v>
      </c>
      <c r="E34" s="8" t="n">
        <v>2062</v>
      </c>
      <c r="F34" s="8" t="n">
        <f aca="false">E35-E34</f>
        <v>8</v>
      </c>
      <c r="G34" s="8" t="n">
        <v>3608</v>
      </c>
      <c r="H34" s="8" t="n">
        <f aca="false">G35-G34</f>
        <v>-720</v>
      </c>
      <c r="I34" s="8" t="n">
        <v>2727</v>
      </c>
      <c r="J34" s="8" t="n">
        <f aca="false">I35-I34</f>
        <v>-572</v>
      </c>
      <c r="K34" s="8" t="n">
        <v>1205</v>
      </c>
      <c r="L34" s="8" t="n">
        <f aca="false">K35-K34</f>
        <v>6</v>
      </c>
      <c r="M34" s="9" t="n">
        <f aca="false">SUM(C34:K34)</f>
        <v>17424</v>
      </c>
    </row>
    <row r="35" customFormat="false" ht="15" hidden="false" customHeight="true" outlineLevel="0" collapsed="false">
      <c r="A35" s="6" t="n">
        <v>46054</v>
      </c>
      <c r="B35" s="7" t="s">
        <v>12</v>
      </c>
      <c r="C35" s="8" t="n">
        <v>9106</v>
      </c>
      <c r="D35" s="8" t="n">
        <f aca="false">C36-C35</f>
        <v>45</v>
      </c>
      <c r="E35" s="8" t="n">
        <v>2070</v>
      </c>
      <c r="F35" s="8" t="n">
        <f aca="false">E36-E35</f>
        <v>-3</v>
      </c>
      <c r="G35" s="8" t="n">
        <v>2888</v>
      </c>
      <c r="H35" s="8" t="n">
        <f aca="false">G36-G35</f>
        <v>-589</v>
      </c>
      <c r="I35" s="8" t="n">
        <v>2155</v>
      </c>
      <c r="J35" s="8" t="n">
        <f aca="false">I36-I35</f>
        <v>-443</v>
      </c>
      <c r="K35" s="8" t="n">
        <v>1211</v>
      </c>
      <c r="L35" s="8" t="n">
        <f aca="false">K36-K35</f>
        <v>14</v>
      </c>
      <c r="M35" s="9" t="n">
        <f aca="false">SUM(C35:K35)</f>
        <v>16440</v>
      </c>
    </row>
    <row r="36" customFormat="false" ht="15" hidden="false" customHeight="true" outlineLevel="0" collapsed="false">
      <c r="A36" s="6" t="n">
        <v>46082</v>
      </c>
      <c r="B36" s="7" t="s">
        <v>12</v>
      </c>
      <c r="C36" s="8" t="n">
        <v>9151</v>
      </c>
      <c r="D36" s="8" t="n">
        <f aca="false">C37-C36</f>
        <v>-42</v>
      </c>
      <c r="E36" s="8" t="n">
        <v>2067</v>
      </c>
      <c r="F36" s="8" t="n">
        <f aca="false">E37-E36</f>
        <v>-36</v>
      </c>
      <c r="G36" s="8" t="n">
        <v>2299</v>
      </c>
      <c r="H36" s="8" t="n">
        <f aca="false">G37-G36</f>
        <v>-437</v>
      </c>
      <c r="I36" s="8" t="n">
        <v>1712</v>
      </c>
      <c r="J36" s="8" t="n">
        <f aca="false">I37-I36</f>
        <v>-330</v>
      </c>
      <c r="K36" s="8" t="n">
        <v>1225</v>
      </c>
      <c r="L36" s="8" t="n">
        <f aca="false">K37-K36</f>
        <v>-24</v>
      </c>
      <c r="M36" s="9" t="n">
        <f aca="false">SUM(C36:K36)</f>
        <v>15609</v>
      </c>
    </row>
    <row r="37" customFormat="false" ht="15" hidden="false" customHeight="true" outlineLevel="0" collapsed="false">
      <c r="A37" s="6" t="n">
        <v>46113</v>
      </c>
      <c r="B37" s="7" t="s">
        <v>12</v>
      </c>
      <c r="C37" s="8" t="n">
        <v>9109</v>
      </c>
      <c r="D37" s="8" t="n">
        <f aca="false">C38-C37</f>
        <v>-4</v>
      </c>
      <c r="E37" s="8" t="n">
        <v>2031</v>
      </c>
      <c r="F37" s="8" t="n">
        <f aca="false">E38-E37</f>
        <v>1</v>
      </c>
      <c r="G37" s="8" t="n">
        <v>1862</v>
      </c>
      <c r="H37" s="8" t="n">
        <f aca="false">G38-G37</f>
        <v>-387</v>
      </c>
      <c r="I37" s="8" t="n">
        <v>1382</v>
      </c>
      <c r="J37" s="8" t="n">
        <f aca="false">I38-I37</f>
        <v>-295</v>
      </c>
      <c r="K37" s="8" t="n">
        <v>1201</v>
      </c>
      <c r="L37" s="8" t="n">
        <f aca="false">K38-K37</f>
        <v>1</v>
      </c>
      <c r="M37" s="9" t="n">
        <f aca="false">SUM(C37:K37)</f>
        <v>14900</v>
      </c>
    </row>
    <row r="38" customFormat="false" ht="15" hidden="false" customHeight="true" outlineLevel="0" collapsed="false">
      <c r="A38" s="6" t="n">
        <v>46143</v>
      </c>
      <c r="B38" s="7" t="s">
        <v>12</v>
      </c>
      <c r="C38" s="8" t="n">
        <v>9105</v>
      </c>
      <c r="D38" s="8" t="n">
        <f aca="false">C39-C38</f>
        <v>89</v>
      </c>
      <c r="E38" s="8" t="n">
        <v>2032</v>
      </c>
      <c r="F38" s="8" t="n">
        <f aca="false">E39-E38</f>
        <v>12</v>
      </c>
      <c r="G38" s="8" t="n">
        <v>1475</v>
      </c>
      <c r="H38" s="8" t="n">
        <f aca="false">G39-G38</f>
        <v>-291</v>
      </c>
      <c r="I38" s="8" t="n">
        <v>1087</v>
      </c>
      <c r="J38" s="8" t="n">
        <f aca="false">I39-I38</f>
        <v>-219</v>
      </c>
      <c r="K38" s="8" t="n">
        <v>1202</v>
      </c>
      <c r="L38" s="8" t="n">
        <f aca="false">K39-K38</f>
        <v>5</v>
      </c>
      <c r="M38" s="9" t="n">
        <f aca="false">SUM(C38:K38)</f>
        <v>14492</v>
      </c>
    </row>
    <row r="39" customFormat="false" ht="15" hidden="false" customHeight="true" outlineLevel="0" collapsed="false">
      <c r="A39" s="6" t="n">
        <v>46174</v>
      </c>
      <c r="B39" s="7" t="s">
        <v>12</v>
      </c>
      <c r="C39" s="8" t="n">
        <v>9194</v>
      </c>
      <c r="D39" s="8" t="n">
        <f aca="false">C40-C39</f>
        <v>-2952</v>
      </c>
      <c r="E39" s="8" t="n">
        <v>2044</v>
      </c>
      <c r="F39" s="8" t="n">
        <f aca="false">E40-E39</f>
        <v>-652</v>
      </c>
      <c r="G39" s="8" t="n">
        <v>1184</v>
      </c>
      <c r="H39" s="8" t="n">
        <f aca="false">G40-G39</f>
        <v>-241</v>
      </c>
      <c r="I39" s="8" t="n">
        <v>868</v>
      </c>
      <c r="J39" s="8" t="n">
        <f aca="false">I40-I39</f>
        <v>-179</v>
      </c>
      <c r="K39" s="8" t="n">
        <v>1207</v>
      </c>
      <c r="L39" s="8" t="n">
        <f aca="false">K40-K39</f>
        <v>-273</v>
      </c>
      <c r="M39" s="9" t="n">
        <f aca="false">SUM(C39:K39)</f>
        <v>10473</v>
      </c>
    </row>
    <row r="40" customFormat="false" ht="15" hidden="false" customHeight="true" outlineLevel="0" collapsed="false">
      <c r="A40" s="6" t="n">
        <v>46204</v>
      </c>
      <c r="B40" s="7" t="s">
        <v>12</v>
      </c>
      <c r="C40" s="8" t="n">
        <v>6242</v>
      </c>
      <c r="D40" s="8" t="n">
        <f aca="false">C41-C40</f>
        <v>2308.13888888889</v>
      </c>
      <c r="E40" s="8" t="n">
        <v>1392</v>
      </c>
      <c r="F40" s="8" t="n">
        <f aca="false">E41-E40</f>
        <v>583.083333333333</v>
      </c>
      <c r="G40" s="8" t="n">
        <v>943</v>
      </c>
      <c r="H40" s="8" t="n">
        <f aca="false">G41-G40</f>
        <v>2045.80555555556</v>
      </c>
      <c r="I40" s="8" t="n">
        <v>689</v>
      </c>
      <c r="J40" s="8" t="n">
        <f aca="false">I41-I40</f>
        <v>1860.27777777778</v>
      </c>
      <c r="K40" s="8" t="n">
        <v>934</v>
      </c>
      <c r="L40" s="8" t="n">
        <f aca="false">K41-K40</f>
        <v>132.083333333333</v>
      </c>
      <c r="M40" s="9" t="n">
        <f aca="false">SUM(C40:K40)</f>
        <v>16997.3055555556</v>
      </c>
    </row>
    <row r="41" customFormat="false" ht="15" hidden="false" customHeight="true" outlineLevel="0" collapsed="false">
      <c r="B41" s="14" t="s">
        <v>13</v>
      </c>
      <c r="C41" s="15" t="n">
        <f aca="false">AVERAGE(C5:C40)</f>
        <v>8550.13888888889</v>
      </c>
      <c r="D41" s="15"/>
      <c r="E41" s="15" t="n">
        <f aca="false">AVERAGE(E5:E40)</f>
        <v>1975.08333333333</v>
      </c>
      <c r="F41" s="15"/>
      <c r="G41" s="15" t="n">
        <f aca="false">AVERAGE(G5:G40)</f>
        <v>2988.80555555556</v>
      </c>
      <c r="H41" s="15"/>
      <c r="I41" s="15" t="n">
        <f aca="false">AVERAGE(I5:I40)</f>
        <v>2549.27777777778</v>
      </c>
      <c r="J41" s="15"/>
      <c r="K41" s="15" t="n">
        <f aca="false">AVERAGE(K5:K40)</f>
        <v>1066.08333333333</v>
      </c>
      <c r="L41" s="15"/>
      <c r="M41" s="15" t="n">
        <f aca="false">AVERAGE(M5:M40)</f>
        <v>17359.5918209877</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7" activeCellId="0" sqref="A17"/>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8"/>
    <col collapsed="false" customWidth="true" hidden="false" outlineLevel="0" max="4" min="4" style="1" width="15"/>
    <col collapsed="false" customWidth="true" hidden="false" outlineLevel="0" max="5" min="5" style="1" width="13"/>
    <col collapsed="false" customWidth="true" hidden="false" outlineLevel="0" max="6" min="6" style="1" width="20"/>
    <col collapsed="false" customWidth="true" hidden="false" outlineLevel="0" max="7" min="7" style="1" width="17"/>
    <col collapsed="false" customWidth="true" hidden="false" outlineLevel="0" max="8" min="8" style="1" width="15"/>
  </cols>
  <sheetData>
    <row r="1" customFormat="false" ht="21.75" hidden="false" customHeight="true" outlineLevel="0" collapsed="false">
      <c r="A1" s="16" t="s">
        <v>14</v>
      </c>
      <c r="B1" s="16"/>
      <c r="C1" s="16"/>
      <c r="D1" s="16"/>
      <c r="E1" s="16"/>
      <c r="F1" s="16"/>
      <c r="G1" s="16"/>
      <c r="H1" s="16"/>
    </row>
    <row r="2" customFormat="false" ht="15.75" hidden="false" customHeight="true" outlineLevel="0" collapsed="false">
      <c r="A2" s="17"/>
      <c r="B2" s="17"/>
      <c r="C2" s="17"/>
      <c r="D2" s="17"/>
      <c r="E2" s="17"/>
      <c r="F2" s="17"/>
      <c r="G2" s="17"/>
      <c r="H2" s="17"/>
    </row>
    <row r="4" customFormat="false" ht="31.5" hidden="false" customHeight="true" outlineLevel="0" collapsed="false">
      <c r="A4" s="4" t="s">
        <v>15</v>
      </c>
      <c r="B4" s="4" t="s">
        <v>2</v>
      </c>
      <c r="C4" s="4" t="s">
        <v>16</v>
      </c>
      <c r="D4" s="4" t="s">
        <v>17</v>
      </c>
      <c r="E4" s="4" t="s">
        <v>18</v>
      </c>
      <c r="F4" s="4" t="s">
        <v>19</v>
      </c>
      <c r="G4" s="4" t="s">
        <v>20</v>
      </c>
      <c r="H4" s="4" t="s">
        <v>21</v>
      </c>
    </row>
    <row r="5" customFormat="false" ht="15" hidden="false" customHeight="true" outlineLevel="0" collapsed="false">
      <c r="A5" s="7" t="s">
        <v>3</v>
      </c>
      <c r="B5" s="7" t="s">
        <v>10</v>
      </c>
      <c r="C5" s="8" t="n">
        <v>6000</v>
      </c>
      <c r="D5" s="8" t="n">
        <v>3000</v>
      </c>
      <c r="E5" s="8" t="n">
        <v>143</v>
      </c>
      <c r="F5" s="8" t="n">
        <v>2767</v>
      </c>
      <c r="G5" s="9" t="n">
        <f aca="false">C5+D5-E5-F5</f>
        <v>6090</v>
      </c>
      <c r="H5" s="18" t="n">
        <f aca="false">1-E5/(C5+D5)</f>
        <v>0.984111111111111</v>
      </c>
    </row>
    <row r="6" customFormat="false" ht="15" hidden="false" customHeight="true" outlineLevel="0" collapsed="false">
      <c r="A6" s="7" t="s">
        <v>3</v>
      </c>
      <c r="B6" s="7" t="s">
        <v>11</v>
      </c>
      <c r="C6" s="8" t="n">
        <v>6090</v>
      </c>
      <c r="D6" s="8" t="n">
        <v>3050</v>
      </c>
      <c r="E6" s="8" t="n">
        <v>154</v>
      </c>
      <c r="F6" s="8" t="n">
        <v>2807</v>
      </c>
      <c r="G6" s="9" t="n">
        <f aca="false">C6+D6-E6-F6</f>
        <v>6179</v>
      </c>
      <c r="H6" s="18" t="n">
        <f aca="false">1-E6/(C6+D6)</f>
        <v>0.983150984682713</v>
      </c>
    </row>
    <row r="7" customFormat="false" ht="15" hidden="false" customHeight="true" outlineLevel="0" collapsed="false">
      <c r="A7" s="7" t="s">
        <v>3</v>
      </c>
      <c r="B7" s="7" t="s">
        <v>12</v>
      </c>
      <c r="C7" s="8" t="n">
        <v>6179</v>
      </c>
      <c r="D7" s="8" t="n">
        <v>3100</v>
      </c>
      <c r="E7" s="8" t="n">
        <v>156</v>
      </c>
      <c r="F7" s="8" t="n">
        <v>2850</v>
      </c>
      <c r="G7" s="9" t="n">
        <f aca="false">C7+D7-E7-F7</f>
        <v>6273</v>
      </c>
      <c r="H7" s="18" t="n">
        <f aca="false">1-E7/(C7+D7)</f>
        <v>0.983187843517621</v>
      </c>
    </row>
    <row r="8" customFormat="false" ht="15" hidden="false" customHeight="true" outlineLevel="0" collapsed="false">
      <c r="A8" s="7" t="s">
        <v>5</v>
      </c>
      <c r="B8" s="7" t="s">
        <v>10</v>
      </c>
      <c r="C8" s="8" t="n">
        <v>1400</v>
      </c>
      <c r="D8" s="8" t="n">
        <v>700</v>
      </c>
      <c r="E8" s="8" t="n">
        <v>62</v>
      </c>
      <c r="F8" s="8" t="n">
        <v>624</v>
      </c>
      <c r="G8" s="9" t="n">
        <f aca="false">C8+D8-E8-F8</f>
        <v>1414</v>
      </c>
      <c r="H8" s="18" t="n">
        <f aca="false">1-E8/(C8+D8)</f>
        <v>0.970476190476191</v>
      </c>
    </row>
    <row r="9" customFormat="false" ht="15" hidden="false" customHeight="true" outlineLevel="0" collapsed="false">
      <c r="A9" s="7" t="s">
        <v>5</v>
      </c>
      <c r="B9" s="7" t="s">
        <v>11</v>
      </c>
      <c r="C9" s="8" t="n">
        <v>1414</v>
      </c>
      <c r="D9" s="8" t="n">
        <v>745</v>
      </c>
      <c r="E9" s="8" t="n">
        <v>67</v>
      </c>
      <c r="F9" s="8" t="n">
        <v>641</v>
      </c>
      <c r="G9" s="9" t="n">
        <f aca="false">C9+D9-E9-F9</f>
        <v>1451</v>
      </c>
      <c r="H9" s="18" t="n">
        <f aca="false">1-E9/(C9+D9)</f>
        <v>0.968967114404817</v>
      </c>
    </row>
    <row r="10" customFormat="false" ht="15" hidden="false" customHeight="true" outlineLevel="0" collapsed="false">
      <c r="A10" s="7" t="s">
        <v>5</v>
      </c>
      <c r="B10" s="7" t="s">
        <v>12</v>
      </c>
      <c r="C10" s="8" t="n">
        <v>1451</v>
      </c>
      <c r="D10" s="8" t="n">
        <v>645</v>
      </c>
      <c r="E10" s="8" t="n">
        <v>66</v>
      </c>
      <c r="F10" s="8" t="n">
        <v>622</v>
      </c>
      <c r="G10" s="9" t="n">
        <f aca="false">C10+D10-E10-F10</f>
        <v>1408</v>
      </c>
      <c r="H10" s="18" t="n">
        <f aca="false">1-E10/(C10+D10)</f>
        <v>0.968511450381679</v>
      </c>
    </row>
    <row r="11" customFormat="false" ht="15" hidden="false" customHeight="true" outlineLevel="0" collapsed="false">
      <c r="A11" s="7" t="s">
        <v>6</v>
      </c>
      <c r="B11" s="7" t="s">
        <v>10</v>
      </c>
      <c r="C11" s="8" t="n">
        <v>184</v>
      </c>
      <c r="D11" s="8" t="n">
        <v>7227</v>
      </c>
      <c r="E11" s="8" t="n">
        <v>524</v>
      </c>
      <c r="F11" s="8" t="n">
        <v>6023</v>
      </c>
      <c r="G11" s="9" t="n">
        <f aca="false">C11+D11-E11-F11</f>
        <v>864</v>
      </c>
      <c r="H11" s="18" t="n">
        <f aca="false">1-E11/(C11+D11)</f>
        <v>0.92929429226825</v>
      </c>
    </row>
    <row r="12" customFormat="false" ht="15" hidden="false" customHeight="true" outlineLevel="0" collapsed="false">
      <c r="A12" s="7" t="s">
        <v>6</v>
      </c>
      <c r="B12" s="7" t="s">
        <v>11</v>
      </c>
      <c r="C12" s="8" t="n">
        <v>864</v>
      </c>
      <c r="D12" s="8" t="n">
        <v>7374</v>
      </c>
      <c r="E12" s="8" t="n">
        <v>585</v>
      </c>
      <c r="F12" s="8" t="n">
        <v>6728</v>
      </c>
      <c r="G12" s="9" t="n">
        <f aca="false">C12+D12-E12-F12</f>
        <v>925</v>
      </c>
      <c r="H12" s="18" t="n">
        <f aca="false">1-E12/(C12+D12)</f>
        <v>0.928987618353969</v>
      </c>
    </row>
    <row r="13" customFormat="false" ht="15" hidden="false" customHeight="true" outlineLevel="0" collapsed="false">
      <c r="A13" s="7" t="s">
        <v>6</v>
      </c>
      <c r="B13" s="7" t="s">
        <v>12</v>
      </c>
      <c r="C13" s="8" t="n">
        <v>925</v>
      </c>
      <c r="D13" s="8" t="n">
        <v>7522</v>
      </c>
      <c r="E13" s="8" t="n">
        <v>600</v>
      </c>
      <c r="F13" s="8" t="n">
        <v>6900</v>
      </c>
      <c r="G13" s="9" t="n">
        <f aca="false">C13+D13-E13-F13</f>
        <v>947</v>
      </c>
      <c r="H13" s="18" t="n">
        <f aca="false">1-E13/(C13+D13)</f>
        <v>0.928968864685687</v>
      </c>
    </row>
    <row r="14" customFormat="false" ht="15" hidden="false" customHeight="true" outlineLevel="0" collapsed="false">
      <c r="A14" s="7" t="s">
        <v>7</v>
      </c>
      <c r="B14" s="7" t="s">
        <v>10</v>
      </c>
      <c r="C14" s="8" t="n">
        <v>193</v>
      </c>
      <c r="D14" s="8" t="n">
        <v>6542</v>
      </c>
      <c r="E14" s="8" t="n">
        <v>480</v>
      </c>
      <c r="F14" s="8" t="n">
        <v>5519</v>
      </c>
      <c r="G14" s="9" t="n">
        <f aca="false">C14+D14-E14-F14</f>
        <v>736</v>
      </c>
      <c r="H14" s="18" t="n">
        <f aca="false">1-E14/(C14+D14)</f>
        <v>0.928730512249443</v>
      </c>
    </row>
    <row r="15" customFormat="false" ht="15" hidden="false" customHeight="true" outlineLevel="0" collapsed="false">
      <c r="A15" s="7" t="s">
        <v>7</v>
      </c>
      <c r="B15" s="7" t="s">
        <v>11</v>
      </c>
      <c r="C15" s="8" t="n">
        <v>735</v>
      </c>
      <c r="D15" s="8" t="n">
        <v>6861</v>
      </c>
      <c r="E15" s="8" t="n">
        <v>544</v>
      </c>
      <c r="F15" s="8" t="n">
        <v>6252</v>
      </c>
      <c r="G15" s="9" t="n">
        <f aca="false">C15+D15-E15-F15</f>
        <v>800</v>
      </c>
      <c r="H15" s="18" t="n">
        <f aca="false">1-E15/(C15+D15)</f>
        <v>0.928383359662981</v>
      </c>
    </row>
    <row r="16" customFormat="false" ht="15" hidden="false" customHeight="true" outlineLevel="0" collapsed="false">
      <c r="A16" s="7" t="s">
        <v>7</v>
      </c>
      <c r="B16" s="7" t="s">
        <v>12</v>
      </c>
      <c r="C16" s="8" t="n">
        <v>801</v>
      </c>
      <c r="D16" s="8" t="n">
        <v>5783</v>
      </c>
      <c r="E16" s="8" t="n">
        <v>472</v>
      </c>
      <c r="F16" s="8" t="n">
        <v>5423</v>
      </c>
      <c r="G16" s="9" t="n">
        <f aca="false">C16+D16-E16-F16</f>
        <v>689</v>
      </c>
      <c r="H16" s="18" t="n">
        <f aca="false">1-E16/(C16+D16)</f>
        <v>0.928311057108141</v>
      </c>
    </row>
    <row r="17" customFormat="false" ht="15" hidden="false" customHeight="true" outlineLevel="0" collapsed="false">
      <c r="A17" s="7" t="s">
        <v>8</v>
      </c>
      <c r="B17" s="7" t="s">
        <v>10</v>
      </c>
      <c r="C17" s="8" t="n">
        <v>750</v>
      </c>
      <c r="D17" s="8" t="n">
        <v>320</v>
      </c>
      <c r="E17" s="8" t="n">
        <v>11</v>
      </c>
      <c r="F17" s="8" t="n">
        <v>240</v>
      </c>
      <c r="G17" s="9" t="n">
        <f aca="false">C17+D17-E17-F17</f>
        <v>819</v>
      </c>
      <c r="H17" s="18" t="n">
        <f aca="false">1-E17/(C17+D17)</f>
        <v>0.989719626168224</v>
      </c>
    </row>
    <row r="18" customFormat="false" ht="15" hidden="false" customHeight="true" outlineLevel="0" collapsed="false">
      <c r="A18" s="7" t="s">
        <v>8</v>
      </c>
      <c r="B18" s="7" t="s">
        <v>11</v>
      </c>
      <c r="C18" s="8" t="n">
        <v>819</v>
      </c>
      <c r="D18" s="8" t="n">
        <v>330</v>
      </c>
      <c r="E18" s="8" t="n">
        <v>13</v>
      </c>
      <c r="F18" s="8" t="n">
        <v>258</v>
      </c>
      <c r="G18" s="9" t="n">
        <f aca="false">C18+D18-E18-F18</f>
        <v>878</v>
      </c>
      <c r="H18" s="18" t="n">
        <f aca="false">1-E18/(C18+D18)</f>
        <v>0.988685813751088</v>
      </c>
    </row>
    <row r="19" customFormat="false" ht="15" hidden="false" customHeight="true" outlineLevel="0" collapsed="false">
      <c r="A19" s="7" t="s">
        <v>8</v>
      </c>
      <c r="B19" s="7" t="s">
        <v>12</v>
      </c>
      <c r="C19" s="8" t="n">
        <v>878</v>
      </c>
      <c r="D19" s="8" t="n">
        <v>339</v>
      </c>
      <c r="E19" s="8" t="n">
        <v>14</v>
      </c>
      <c r="F19" s="8" t="n">
        <v>273</v>
      </c>
      <c r="G19" s="9" t="n">
        <f aca="false">C19+D19-E19-F19</f>
        <v>930</v>
      </c>
      <c r="H19" s="18" t="n">
        <f aca="false">1-E19/(C19+D19)</f>
        <v>0.988496302382909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7" activeCellId="0" sqref="A17"/>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4" min="2" style="1" width="12"/>
  </cols>
  <sheetData>
    <row r="1" customFormat="false" ht="21.75" hidden="false" customHeight="true" outlineLevel="0" collapsed="false">
      <c r="A1" s="16" t="s">
        <v>22</v>
      </c>
      <c r="B1" s="16"/>
      <c r="C1" s="16"/>
      <c r="D1" s="16"/>
    </row>
    <row r="2" customFormat="false" ht="21.75" hidden="false" customHeight="true" outlineLevel="0" collapsed="false">
      <c r="A2" s="19"/>
      <c r="B2" s="19"/>
      <c r="C2" s="19"/>
      <c r="D2" s="19"/>
    </row>
    <row r="3" customFormat="false" ht="15.75" hidden="false" customHeight="true" outlineLevel="0" collapsed="false">
      <c r="A3" s="20" t="s">
        <v>23</v>
      </c>
      <c r="B3" s="20"/>
      <c r="C3" s="20"/>
      <c r="D3" s="20"/>
    </row>
    <row r="5" customFormat="false" ht="15" hidden="false" customHeight="true" outlineLevel="0" collapsed="false">
      <c r="A5" s="4" t="s">
        <v>24</v>
      </c>
      <c r="B5" s="4" t="s">
        <v>10</v>
      </c>
      <c r="C5" s="4" t="s">
        <v>11</v>
      </c>
      <c r="D5" s="4" t="s">
        <v>12</v>
      </c>
    </row>
    <row r="6" customFormat="false" ht="15" hidden="false" customHeight="true" outlineLevel="0" collapsed="false">
      <c r="A6" s="7" t="s">
        <v>3</v>
      </c>
      <c r="B6" s="8" t="n">
        <v>9250</v>
      </c>
      <c r="C6" s="8" t="n">
        <v>9250</v>
      </c>
      <c r="D6" s="8" t="n">
        <v>9535</v>
      </c>
    </row>
    <row r="7" customFormat="false" ht="15" hidden="false" customHeight="true" outlineLevel="0" collapsed="false">
      <c r="A7" s="7" t="s">
        <v>5</v>
      </c>
      <c r="B7" s="8" t="n">
        <v>19000</v>
      </c>
      <c r="C7" s="8" t="n">
        <v>19950</v>
      </c>
      <c r="D7" s="8" t="n">
        <v>20950</v>
      </c>
    </row>
    <row r="8" customFormat="false" ht="15" hidden="false" customHeight="true" outlineLevel="0" collapsed="false">
      <c r="A8" s="7" t="s">
        <v>6</v>
      </c>
      <c r="B8" s="8" t="n">
        <v>9750</v>
      </c>
      <c r="C8" s="8" t="n">
        <v>10050</v>
      </c>
      <c r="D8" s="8" t="n">
        <v>10350</v>
      </c>
    </row>
    <row r="9" customFormat="false" ht="15" hidden="false" customHeight="true" outlineLevel="0" collapsed="false">
      <c r="A9" s="7" t="s">
        <v>7</v>
      </c>
      <c r="B9" s="8" t="n">
        <v>19500</v>
      </c>
      <c r="C9" s="8" t="n">
        <v>20500</v>
      </c>
      <c r="D9" s="8" t="n">
        <v>21500</v>
      </c>
    </row>
    <row r="10" customFormat="false" ht="15" hidden="false" customHeight="true" outlineLevel="0" collapsed="false">
      <c r="A10" s="7" t="s">
        <v>8</v>
      </c>
      <c r="B10" s="8" t="n">
        <v>6500</v>
      </c>
      <c r="C10" s="8" t="n">
        <v>6700</v>
      </c>
      <c r="D10" s="8" t="n">
        <v>6950</v>
      </c>
    </row>
    <row r="12" customFormat="false" ht="27.75" hidden="false" customHeight="true" outlineLevel="0" collapsed="false">
      <c r="A12" s="21"/>
      <c r="B12" s="21"/>
      <c r="C12" s="21"/>
      <c r="D12" s="21"/>
    </row>
  </sheetData>
  <mergeCells count="3">
    <mergeCell ref="A1:D1"/>
    <mergeCell ref="A3:D3"/>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E28" activePane="bottomRight" state="frozen"/>
      <selection pane="topLeft" activeCell="A1" activeCellId="0" sqref="A1"/>
      <selection pane="topRight" activeCell="E1" activeCellId="0" sqref="E1"/>
      <selection pane="bottomLeft" activeCell="A28" activeCellId="0" sqref="A28"/>
      <selection pane="bottomRight" activeCell="J13" activeCellId="0" sqref="J13"/>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12" min="3" style="1" width="17"/>
    <col collapsed="false" customWidth="true" hidden="false" outlineLevel="0" max="13" min="13" style="1" width="15"/>
  </cols>
  <sheetData>
    <row r="1" customFormat="false" ht="21.75" hidden="false" customHeight="true" outlineLevel="0" collapsed="false">
      <c r="A1" s="16" t="s">
        <v>25</v>
      </c>
      <c r="B1" s="16"/>
      <c r="C1" s="16"/>
      <c r="D1" s="16"/>
      <c r="E1" s="16"/>
      <c r="F1" s="16"/>
      <c r="G1" s="16"/>
      <c r="H1" s="16"/>
      <c r="I1" s="16"/>
      <c r="J1" s="16"/>
      <c r="K1" s="16"/>
      <c r="L1" s="16"/>
      <c r="M1" s="16"/>
    </row>
    <row r="2" customFormat="false" ht="15.75" hidden="false" customHeight="true" outlineLevel="0" collapsed="false"/>
    <row r="4" customFormat="false" ht="33.75" hidden="false" customHeight="true" outlineLevel="0" collapsed="false">
      <c r="A4" s="4" t="s">
        <v>1</v>
      </c>
      <c r="B4" s="4" t="s">
        <v>2</v>
      </c>
      <c r="C4" s="4" t="s">
        <v>26</v>
      </c>
      <c r="D4" s="4" t="s">
        <v>27</v>
      </c>
      <c r="E4" s="4" t="s">
        <v>28</v>
      </c>
      <c r="F4" s="4" t="s">
        <v>29</v>
      </c>
      <c r="G4" s="4" t="s">
        <v>30</v>
      </c>
      <c r="H4" s="4" t="s">
        <v>31</v>
      </c>
      <c r="I4" s="4" t="s">
        <v>32</v>
      </c>
      <c r="J4" s="4" t="s">
        <v>33</v>
      </c>
      <c r="K4" s="4" t="s">
        <v>34</v>
      </c>
      <c r="L4" s="4" t="s">
        <v>35</v>
      </c>
      <c r="M4" s="4" t="s">
        <v>36</v>
      </c>
    </row>
    <row r="5" customFormat="false" ht="15" hidden="false" customHeight="true" outlineLevel="0" collapsed="false">
      <c r="A5" s="6" t="n">
        <v>45139</v>
      </c>
      <c r="B5" s="7" t="s">
        <v>10</v>
      </c>
      <c r="C5" s="8" t="n">
        <f aca="false">'Student Headcount'!C5*'Tuition Fee Rates'!B6/12</f>
        <v>4625000</v>
      </c>
      <c r="D5" s="8" t="n">
        <f aca="false">'Student Headcount'!E5*'Tuition Fee Rates'!B7/12</f>
        <v>2216666.66666667</v>
      </c>
      <c r="E5" s="8" t="n">
        <f aca="false">'Student Headcount'!G5*'Tuition Fee Rates'!B8/12</f>
        <v>149500</v>
      </c>
      <c r="F5" s="8" t="n">
        <f aca="false">'Student Headcount'!I5*'Tuition Fee Rates'!B9/12</f>
        <v>312000</v>
      </c>
      <c r="G5" s="8" t="n">
        <f aca="false">'Student Headcount'!K5*'Tuition Fee Rates'!B10/12</f>
        <v>405166.666666667</v>
      </c>
      <c r="H5" s="8" t="n">
        <v>2400000</v>
      </c>
      <c r="I5" s="8" t="n">
        <v>3653846</v>
      </c>
      <c r="J5" s="8" t="n">
        <v>1200000</v>
      </c>
      <c r="K5" s="8" t="n">
        <v>675000</v>
      </c>
      <c r="L5" s="8" t="n">
        <v>500000</v>
      </c>
      <c r="M5" s="9" t="n">
        <f aca="false">SUM(C5:L5)</f>
        <v>16137179.3333333</v>
      </c>
    </row>
    <row r="6" customFormat="false" ht="15" hidden="false" customHeight="true" outlineLevel="0" collapsed="false">
      <c r="A6" s="6" t="n">
        <v>45170</v>
      </c>
      <c r="B6" s="7" t="s">
        <v>10</v>
      </c>
      <c r="C6" s="8" t="n">
        <f aca="false">'Student Headcount'!C6*'Tuition Fee Rates'!B6/12</f>
        <v>6942895.83333333</v>
      </c>
      <c r="D6" s="8" t="n">
        <f aca="false">'Student Headcount'!E6*'Tuition Fee Rates'!B7/12</f>
        <v>3336083.33333333</v>
      </c>
      <c r="E6" s="8" t="n">
        <f aca="false">'Student Headcount'!G6*'Tuition Fee Rates'!B8/12</f>
        <v>5605437.5</v>
      </c>
      <c r="F6" s="8" t="n">
        <f aca="false">'Student Headcount'!I6*'Tuition Fee Rates'!B9/12</f>
        <v>10154625</v>
      </c>
      <c r="G6" s="8" t="n">
        <f aca="false">'Student Headcount'!K6*'Tuition Fee Rates'!B10/12</f>
        <v>541125</v>
      </c>
      <c r="H6" s="8" t="n">
        <v>2533333</v>
      </c>
      <c r="I6" s="8" t="n">
        <v>548077</v>
      </c>
      <c r="J6" s="8" t="n">
        <v>2600000</v>
      </c>
      <c r="K6" s="8" t="n">
        <v>825000</v>
      </c>
      <c r="L6" s="8" t="n">
        <v>500000</v>
      </c>
      <c r="M6" s="9" t="n">
        <f aca="false">SUM(C6:L6)</f>
        <v>33586576.6666667</v>
      </c>
    </row>
    <row r="7" customFormat="false" ht="15" hidden="false" customHeight="true" outlineLevel="0" collapsed="false">
      <c r="A7" s="6" t="n">
        <v>45200</v>
      </c>
      <c r="B7" s="7" t="s">
        <v>10</v>
      </c>
      <c r="C7" s="8" t="n">
        <f aca="false">'Student Headcount'!C7*'Tuition Fee Rates'!B6/12</f>
        <v>6908979.16666667</v>
      </c>
      <c r="D7" s="8" t="n">
        <f aca="false">'Student Headcount'!E7*'Tuition Fee Rates'!B7/12</f>
        <v>3298083.33333333</v>
      </c>
      <c r="E7" s="8" t="n">
        <f aca="false">'Student Headcount'!G7*'Tuition Fee Rates'!B8/12</f>
        <v>4508562.5</v>
      </c>
      <c r="F7" s="8" t="n">
        <f aca="false">'Student Headcount'!I7*'Tuition Fee Rates'!B9/12</f>
        <v>8196500</v>
      </c>
      <c r="G7" s="8" t="n">
        <f aca="false">'Student Headcount'!K7*'Tuition Fee Rates'!B10/12</f>
        <v>544916.666666667</v>
      </c>
      <c r="H7" s="8" t="n">
        <v>2666667</v>
      </c>
      <c r="I7" s="8" t="n">
        <v>548077</v>
      </c>
      <c r="J7" s="8" t="n">
        <v>2600000</v>
      </c>
      <c r="K7" s="8" t="n">
        <v>825000</v>
      </c>
      <c r="L7" s="8" t="n">
        <v>500000</v>
      </c>
      <c r="M7" s="9" t="n">
        <f aca="false">SUM(C7:L7)</f>
        <v>30596785.6666667</v>
      </c>
    </row>
    <row r="8" customFormat="false" ht="15" hidden="false" customHeight="true" outlineLevel="0" collapsed="false">
      <c r="A8" s="6" t="n">
        <v>45231</v>
      </c>
      <c r="B8" s="7" t="s">
        <v>10</v>
      </c>
      <c r="C8" s="8" t="n">
        <f aca="false">'Student Headcount'!C8*'Tuition Fee Rates'!B6/12</f>
        <v>6872750</v>
      </c>
      <c r="D8" s="8" t="n">
        <f aca="false">'Student Headcount'!E8*'Tuition Fee Rates'!B7/12</f>
        <v>3298083.33333333</v>
      </c>
      <c r="E8" s="8" t="n">
        <f aca="false">'Student Headcount'!G8*'Tuition Fee Rates'!B8/12</f>
        <v>3603437.5</v>
      </c>
      <c r="F8" s="8" t="n">
        <f aca="false">'Student Headcount'!I8*'Tuition Fee Rates'!B9/12</f>
        <v>6462625</v>
      </c>
      <c r="G8" s="8" t="n">
        <f aca="false">'Student Headcount'!K8*'Tuition Fee Rates'!B10/12</f>
        <v>542208.333333333</v>
      </c>
      <c r="H8" s="8" t="n">
        <v>2666667</v>
      </c>
      <c r="I8" s="8" t="n">
        <v>3653846</v>
      </c>
      <c r="J8" s="8" t="n">
        <v>2500000</v>
      </c>
      <c r="K8" s="8" t="n">
        <v>750000</v>
      </c>
      <c r="L8" s="8" t="n">
        <v>500000</v>
      </c>
      <c r="M8" s="9" t="n">
        <f aca="false">SUM(C8:L8)</f>
        <v>30849617.1666667</v>
      </c>
    </row>
    <row r="9" customFormat="false" ht="15" hidden="false" customHeight="true" outlineLevel="0" collapsed="false">
      <c r="A9" s="6" t="n">
        <v>45261</v>
      </c>
      <c r="B9" s="7" t="s">
        <v>10</v>
      </c>
      <c r="C9" s="8" t="n">
        <f aca="false">'Student Headcount'!C9*'Tuition Fee Rates'!B6/12</f>
        <v>6880458.33333333</v>
      </c>
      <c r="D9" s="8" t="n">
        <f aca="false">'Student Headcount'!E9*'Tuition Fee Rates'!B7/12</f>
        <v>3293333.33333333</v>
      </c>
      <c r="E9" s="8" t="n">
        <f aca="false">'Student Headcount'!G9*'Tuition Fee Rates'!B8/12</f>
        <v>2855937.5</v>
      </c>
      <c r="F9" s="8" t="n">
        <f aca="false">'Student Headcount'!I9*'Tuition Fee Rates'!B9/12</f>
        <v>5172375</v>
      </c>
      <c r="G9" s="8" t="n">
        <f aca="false">'Student Headcount'!K9*'Tuition Fee Rates'!B10/12</f>
        <v>538416.666666667</v>
      </c>
      <c r="H9" s="8" t="n">
        <v>2800000</v>
      </c>
      <c r="I9" s="8" t="n">
        <v>548077</v>
      </c>
      <c r="J9" s="8" t="n">
        <v>2300000</v>
      </c>
      <c r="K9" s="8" t="n">
        <v>675000</v>
      </c>
      <c r="L9" s="8" t="n">
        <v>500000</v>
      </c>
      <c r="M9" s="9" t="n">
        <f aca="false">SUM(C9:L9)</f>
        <v>25563597.8333333</v>
      </c>
    </row>
    <row r="10" customFormat="false" ht="15" hidden="false" customHeight="true" outlineLevel="0" collapsed="false">
      <c r="A10" s="6" t="n">
        <v>45292</v>
      </c>
      <c r="B10" s="7" t="s">
        <v>10</v>
      </c>
      <c r="C10" s="8" t="n">
        <f aca="false">'Student Headcount'!C10*'Tuition Fee Rates'!B6/12</f>
        <v>6848083.33333333</v>
      </c>
      <c r="D10" s="8" t="n">
        <f aca="false">'Student Headcount'!E10*'Tuition Fee Rates'!B7/12</f>
        <v>3282250</v>
      </c>
      <c r="E10" s="8" t="n">
        <f aca="false">'Student Headcount'!G10*'Tuition Fee Rates'!B8/12</f>
        <v>2677187.5</v>
      </c>
      <c r="F10" s="8" t="n">
        <f aca="false">'Student Headcount'!I10*'Tuition Fee Rates'!B9/12</f>
        <v>4733625</v>
      </c>
      <c r="G10" s="8" t="n">
        <f aca="false">'Student Headcount'!K10*'Tuition Fee Rates'!B10/12</f>
        <v>575791.666666667</v>
      </c>
      <c r="H10" s="8" t="n">
        <v>2800000</v>
      </c>
      <c r="I10" s="8" t="n">
        <v>548077</v>
      </c>
      <c r="J10" s="8" t="n">
        <v>2200000</v>
      </c>
      <c r="K10" s="8" t="n">
        <v>750000</v>
      </c>
      <c r="L10" s="8" t="n">
        <v>500000</v>
      </c>
      <c r="M10" s="9" t="n">
        <f aca="false">SUM(C10:L10)</f>
        <v>24915014.5</v>
      </c>
    </row>
    <row r="11" customFormat="false" ht="15" hidden="false" customHeight="true" outlineLevel="0" collapsed="false">
      <c r="A11" s="6" t="n">
        <v>45323</v>
      </c>
      <c r="B11" s="7" t="s">
        <v>10</v>
      </c>
      <c r="C11" s="8" t="n">
        <f aca="false">'Student Headcount'!C11*'Tuition Fee Rates'!B6/12</f>
        <v>6881229.16666667</v>
      </c>
      <c r="D11" s="8" t="n">
        <f aca="false">'Student Headcount'!E11*'Tuition Fee Rates'!B7/12</f>
        <v>3249000</v>
      </c>
      <c r="E11" s="8" t="n">
        <f aca="false">'Student Headcount'!G11*'Tuition Fee Rates'!B8/12</f>
        <v>2143375</v>
      </c>
      <c r="F11" s="8" t="n">
        <f aca="false">'Student Headcount'!I11*'Tuition Fee Rates'!B9/12</f>
        <v>3747250</v>
      </c>
      <c r="G11" s="8" t="n">
        <f aca="false">'Student Headcount'!K11*'Tuition Fee Rates'!B10/12</f>
        <v>575791.666666667</v>
      </c>
      <c r="H11" s="8" t="n">
        <v>2800000</v>
      </c>
      <c r="I11" s="8" t="n">
        <v>3653846</v>
      </c>
      <c r="J11" s="8" t="n">
        <v>2200000</v>
      </c>
      <c r="K11" s="8" t="n">
        <v>825000</v>
      </c>
      <c r="L11" s="8" t="n">
        <v>500000</v>
      </c>
      <c r="M11" s="9" t="n">
        <f aca="false">SUM(C11:L11)</f>
        <v>26575491.8333333</v>
      </c>
    </row>
    <row r="12" customFormat="false" ht="15" hidden="false" customHeight="true" outlineLevel="0" collapsed="false">
      <c r="A12" s="6" t="n">
        <v>45352</v>
      </c>
      <c r="B12" s="7" t="s">
        <v>10</v>
      </c>
      <c r="C12" s="8" t="n">
        <f aca="false">'Student Headcount'!C12*'Tuition Fee Rates'!B6/12</f>
        <v>6923625</v>
      </c>
      <c r="D12" s="8" t="n">
        <f aca="false">'Student Headcount'!E12*'Tuition Fee Rates'!B7/12</f>
        <v>3264833.33333333</v>
      </c>
      <c r="E12" s="8" t="n">
        <f aca="false">'Student Headcount'!G12*'Tuition Fee Rates'!B8/12</f>
        <v>1703000</v>
      </c>
      <c r="F12" s="8" t="n">
        <f aca="false">'Student Headcount'!I12*'Tuition Fee Rates'!B9/12</f>
        <v>2986750</v>
      </c>
      <c r="G12" s="8" t="n">
        <f aca="false">'Student Headcount'!K12*'Tuition Fee Rates'!B10/12</f>
        <v>581208.333333333</v>
      </c>
      <c r="H12" s="8" t="n">
        <v>2666667</v>
      </c>
      <c r="I12" s="8" t="n">
        <v>548077</v>
      </c>
      <c r="J12" s="8" t="n">
        <v>2200000</v>
      </c>
      <c r="K12" s="8" t="n">
        <v>825000</v>
      </c>
      <c r="L12" s="8" t="n">
        <v>500000</v>
      </c>
      <c r="M12" s="9" t="n">
        <f aca="false">SUM(C12:L12)</f>
        <v>22199160.6666667</v>
      </c>
    </row>
    <row r="13" customFormat="false" ht="15" hidden="false" customHeight="true" outlineLevel="0" collapsed="false">
      <c r="A13" s="6" t="n">
        <v>45383</v>
      </c>
      <c r="B13" s="7" t="s">
        <v>10</v>
      </c>
      <c r="C13" s="8" t="n">
        <f aca="false">'Student Headcount'!C13*'Tuition Fee Rates'!B6/12</f>
        <v>6838062.5</v>
      </c>
      <c r="D13" s="8" t="n">
        <f aca="false">'Student Headcount'!E13*'Tuition Fee Rates'!B7/12</f>
        <v>3280666.66666667</v>
      </c>
      <c r="E13" s="8" t="n">
        <f aca="false">'Student Headcount'!G13*'Tuition Fee Rates'!B8/12</f>
        <v>1373125</v>
      </c>
      <c r="F13" s="8" t="n">
        <f aca="false">'Student Headcount'!I13*'Tuition Fee Rates'!B9/12</f>
        <v>2370875</v>
      </c>
      <c r="G13" s="8" t="n">
        <f aca="false">'Student Headcount'!K13*'Tuition Fee Rates'!B10/12</f>
        <v>573625</v>
      </c>
      <c r="H13" s="8" t="n">
        <v>2666667</v>
      </c>
      <c r="I13" s="8" t="n">
        <v>548077</v>
      </c>
      <c r="J13" s="8" t="n">
        <v>2200000</v>
      </c>
      <c r="K13" s="8" t="n">
        <v>750000</v>
      </c>
      <c r="L13" s="8" t="n">
        <v>500000</v>
      </c>
      <c r="M13" s="9" t="n">
        <f aca="false">SUM(C13:L13)</f>
        <v>21101098.1666667</v>
      </c>
    </row>
    <row r="14" customFormat="false" ht="15" hidden="false" customHeight="true" outlineLevel="0" collapsed="false">
      <c r="A14" s="6" t="n">
        <v>45413</v>
      </c>
      <c r="B14" s="7" t="s">
        <v>10</v>
      </c>
      <c r="C14" s="8" t="n">
        <f aca="false">'Student Headcount'!C14*'Tuition Fee Rates'!B6/12</f>
        <v>6822645.83333333</v>
      </c>
      <c r="D14" s="8" t="n">
        <f aca="false">'Student Headcount'!E14*'Tuition Fee Rates'!B7/12</f>
        <v>3215750</v>
      </c>
      <c r="E14" s="8" t="n">
        <f aca="false">'Student Headcount'!G14*'Tuition Fee Rates'!B8/12</f>
        <v>1091187.5</v>
      </c>
      <c r="F14" s="8" t="n">
        <f aca="false">'Student Headcount'!I14*'Tuition Fee Rates'!B9/12</f>
        <v>1891500</v>
      </c>
      <c r="G14" s="8" t="n">
        <f aca="false">'Student Headcount'!K14*'Tuition Fee Rates'!B10/12</f>
        <v>573625</v>
      </c>
      <c r="H14" s="8" t="n">
        <v>2533333</v>
      </c>
      <c r="I14" s="8" t="n">
        <v>3653846</v>
      </c>
      <c r="J14" s="8" t="n">
        <v>2000000</v>
      </c>
      <c r="K14" s="8" t="n">
        <v>675000</v>
      </c>
      <c r="L14" s="8" t="n">
        <v>500000</v>
      </c>
      <c r="M14" s="9" t="n">
        <f aca="false">SUM(C14:L14)</f>
        <v>22956887.3333333</v>
      </c>
    </row>
    <row r="15" customFormat="false" ht="15" hidden="false" customHeight="true" outlineLevel="0" collapsed="false">
      <c r="A15" s="6" t="n">
        <v>45444</v>
      </c>
      <c r="B15" s="7" t="s">
        <v>10</v>
      </c>
      <c r="C15" s="8" t="n">
        <f aca="false">'Student Headcount'!C15*'Tuition Fee Rates'!B6/12</f>
        <v>6857333.33333333</v>
      </c>
      <c r="D15" s="8" t="n">
        <f aca="false">'Student Headcount'!E15*'Tuition Fee Rates'!B7/12</f>
        <v>3252166.66666667</v>
      </c>
      <c r="E15" s="8" t="n">
        <f aca="false">'Student Headcount'!G15*'Tuition Fee Rates'!B8/12</f>
        <v>882375</v>
      </c>
      <c r="F15" s="8" t="n">
        <f aca="false">'Student Headcount'!I15*'Tuition Fee Rates'!B9/12</f>
        <v>1499875</v>
      </c>
      <c r="G15" s="8" t="n">
        <f aca="false">'Student Headcount'!K15*'Tuition Fee Rates'!B10/12</f>
        <v>575250</v>
      </c>
      <c r="H15" s="8" t="n">
        <v>2533333</v>
      </c>
      <c r="I15" s="8" t="n">
        <v>548077</v>
      </c>
      <c r="J15" s="8" t="n">
        <v>1000000</v>
      </c>
      <c r="K15" s="8" t="n">
        <v>675000</v>
      </c>
      <c r="L15" s="8" t="n">
        <v>500000</v>
      </c>
      <c r="M15" s="9" t="n">
        <f aca="false">SUM(C15:L15)</f>
        <v>18323410</v>
      </c>
    </row>
    <row r="16" customFormat="false" ht="15" hidden="false" customHeight="true" outlineLevel="0" collapsed="false">
      <c r="A16" s="6" t="n">
        <v>45474</v>
      </c>
      <c r="B16" s="7" t="s">
        <v>10</v>
      </c>
      <c r="C16" s="8" t="n">
        <f aca="false">'Student Headcount'!C16*'Tuition Fee Rates'!B6/12</f>
        <v>4704395.83333333</v>
      </c>
      <c r="D16" s="8" t="n">
        <f aca="false">'Student Headcount'!E16*'Tuition Fee Rates'!B7/12</f>
        <v>2240416.66666667</v>
      </c>
      <c r="E16" s="8" t="n">
        <f aca="false">'Student Headcount'!G16*'Tuition Fee Rates'!B8/12</f>
        <v>702812.5</v>
      </c>
      <c r="F16" s="8" t="n">
        <f aca="false">'Student Headcount'!I16*'Tuition Fee Rates'!B9/12</f>
        <v>1192750</v>
      </c>
      <c r="G16" s="8" t="n">
        <f aca="false">'Student Headcount'!K16*'Tuition Fee Rates'!B10/12</f>
        <v>443083.333333333</v>
      </c>
      <c r="H16" s="8" t="n">
        <v>2933333</v>
      </c>
      <c r="I16" s="8" t="n">
        <v>548077</v>
      </c>
      <c r="J16" s="8" t="n">
        <v>1000000</v>
      </c>
      <c r="K16" s="8" t="n">
        <v>750000</v>
      </c>
      <c r="L16" s="8" t="n">
        <v>500000</v>
      </c>
      <c r="M16" s="9" t="n">
        <f aca="false">SUM(C16:L16)</f>
        <v>15014868.3333333</v>
      </c>
    </row>
    <row r="17" customFormat="false" ht="15" hidden="false" customHeight="true" outlineLevel="0" collapsed="false">
      <c r="A17" s="6" t="n">
        <v>45505</v>
      </c>
      <c r="B17" s="7" t="s">
        <v>11</v>
      </c>
      <c r="C17" s="8" t="n">
        <f aca="false">'Student Headcount'!C17*'Tuition Fee Rates'!C6/12</f>
        <v>4690520.83333333</v>
      </c>
      <c r="D17" s="8" t="n">
        <f aca="false">'Student Headcount'!E17*'Tuition Fee Rates'!C7/12</f>
        <v>2335812.5</v>
      </c>
      <c r="E17" s="8" t="n">
        <f aca="false">'Student Headcount'!G17*'Tuition Fee Rates'!C8/12</f>
        <v>579550</v>
      </c>
      <c r="F17" s="8" t="n">
        <f aca="false">'Student Headcount'!I17*'Tuition Fee Rates'!C9/12</f>
        <v>990833.333333333</v>
      </c>
      <c r="G17" s="8" t="n">
        <f aca="false">'Student Headcount'!K17*'Tuition Fee Rates'!C10/12</f>
        <v>456158.333333333</v>
      </c>
      <c r="H17" s="8" t="n">
        <v>2512500</v>
      </c>
      <c r="I17" s="8" t="n">
        <v>3692308</v>
      </c>
      <c r="J17" s="8" t="n">
        <v>1255000</v>
      </c>
      <c r="K17" s="8" t="n">
        <v>712500</v>
      </c>
      <c r="L17" s="8" t="n">
        <v>516667</v>
      </c>
      <c r="M17" s="9" t="n">
        <f aca="false">SUM(C17:L17)</f>
        <v>17741850</v>
      </c>
    </row>
    <row r="18" customFormat="false" ht="15" hidden="false" customHeight="true" outlineLevel="0" collapsed="false">
      <c r="A18" s="6" t="n">
        <v>45536</v>
      </c>
      <c r="B18" s="7" t="s">
        <v>11</v>
      </c>
      <c r="C18" s="8" t="n">
        <f aca="false">'Student Headcount'!C18*'Tuition Fee Rates'!C6/12</f>
        <v>6992229.16666667</v>
      </c>
      <c r="D18" s="8" t="n">
        <f aca="false">'Student Headcount'!E18*'Tuition Fee Rates'!C7/12</f>
        <v>3619262.5</v>
      </c>
      <c r="E18" s="8" t="n">
        <f aca="false">'Student Headcount'!G18*'Tuition Fee Rates'!C8/12</f>
        <v>6215925</v>
      </c>
      <c r="F18" s="8" t="n">
        <f aca="false">'Student Headcount'!I18*'Tuition Fee Rates'!C9/12</f>
        <v>11758458.3333333</v>
      </c>
      <c r="G18" s="8" t="n">
        <f aca="false">'Student Headcount'!K18*'Tuition Fee Rates'!C10/12</f>
        <v>596300</v>
      </c>
      <c r="H18" s="8" t="n">
        <v>2652083</v>
      </c>
      <c r="I18" s="8" t="n">
        <v>553846</v>
      </c>
      <c r="J18" s="8" t="n">
        <v>2719167</v>
      </c>
      <c r="K18" s="8" t="n">
        <v>870833</v>
      </c>
      <c r="L18" s="8" t="n">
        <v>516667</v>
      </c>
      <c r="M18" s="9" t="n">
        <f aca="false">SUM(C18:L18)</f>
        <v>36494771</v>
      </c>
    </row>
    <row r="19" customFormat="false" ht="15" hidden="false" customHeight="true" outlineLevel="0" collapsed="false">
      <c r="A19" s="6" t="n">
        <v>45566</v>
      </c>
      <c r="B19" s="7" t="s">
        <v>11</v>
      </c>
      <c r="C19" s="8" t="n">
        <f aca="false">'Student Headcount'!C19*'Tuition Fee Rates'!C6/12</f>
        <v>7019208.33333333</v>
      </c>
      <c r="D19" s="8" t="n">
        <f aca="false">'Student Headcount'!E19*'Tuition Fee Rates'!C7/12</f>
        <v>3582687.5</v>
      </c>
      <c r="E19" s="8" t="n">
        <f aca="false">'Student Headcount'!G19*'Tuition Fee Rates'!C8/12</f>
        <v>4986475</v>
      </c>
      <c r="F19" s="8" t="n">
        <f aca="false">'Student Headcount'!I19*'Tuition Fee Rates'!C9/12</f>
        <v>9486375</v>
      </c>
      <c r="G19" s="8" t="n">
        <f aca="false">'Student Headcount'!K19*'Tuition Fee Rates'!C10/12</f>
        <v>599650</v>
      </c>
      <c r="H19" s="8" t="n">
        <v>2791667</v>
      </c>
      <c r="I19" s="8" t="n">
        <v>553846</v>
      </c>
      <c r="J19" s="8" t="n">
        <v>2719167</v>
      </c>
      <c r="K19" s="8" t="n">
        <v>870833</v>
      </c>
      <c r="L19" s="8" t="n">
        <v>516667</v>
      </c>
      <c r="M19" s="9" t="n">
        <f aca="false">SUM(C19:L19)</f>
        <v>33126575.8333333</v>
      </c>
    </row>
    <row r="20" customFormat="false" ht="15" hidden="false" customHeight="true" outlineLevel="0" collapsed="false">
      <c r="A20" s="6" t="n">
        <v>45597</v>
      </c>
      <c r="B20" s="7" t="s">
        <v>11</v>
      </c>
      <c r="C20" s="8" t="n">
        <f aca="false">'Student Headcount'!C20*'Tuition Fee Rates'!C6/12</f>
        <v>7039250</v>
      </c>
      <c r="D20" s="8" t="n">
        <f aca="false">'Student Headcount'!E20*'Tuition Fee Rates'!C7/12</f>
        <v>3531150</v>
      </c>
      <c r="E20" s="8" t="n">
        <f aca="false">'Student Headcount'!G20*'Tuition Fee Rates'!C8/12</f>
        <v>3944625</v>
      </c>
      <c r="F20" s="8" t="n">
        <f aca="false">'Student Headcount'!I20*'Tuition Fee Rates'!C9/12</f>
        <v>7438083.33333333</v>
      </c>
      <c r="G20" s="8" t="n">
        <f aca="false">'Student Headcount'!K20*'Tuition Fee Rates'!C10/12</f>
        <v>597416.666666667</v>
      </c>
      <c r="H20" s="8" t="n">
        <v>2791667</v>
      </c>
      <c r="I20" s="8" t="n">
        <v>3692308</v>
      </c>
      <c r="J20" s="8" t="n">
        <v>2614583</v>
      </c>
      <c r="K20" s="8" t="n">
        <v>791667</v>
      </c>
      <c r="L20" s="8" t="n">
        <v>516667</v>
      </c>
      <c r="M20" s="9" t="n">
        <f aca="false">SUM(C20:L20)</f>
        <v>32957417</v>
      </c>
    </row>
    <row r="21" customFormat="false" ht="15" hidden="false" customHeight="true" outlineLevel="0" collapsed="false">
      <c r="A21" s="6" t="n">
        <v>45627</v>
      </c>
      <c r="B21" s="7" t="s">
        <v>11</v>
      </c>
      <c r="C21" s="8" t="n">
        <f aca="false">'Student Headcount'!C21*'Tuition Fee Rates'!C6/12</f>
        <v>6943666.66666667</v>
      </c>
      <c r="D21" s="8" t="n">
        <f aca="false">'Student Headcount'!E21*'Tuition Fee Rates'!C7/12</f>
        <v>3547775</v>
      </c>
      <c r="E21" s="8" t="n">
        <f aca="false">'Student Headcount'!G21*'Tuition Fee Rates'!C8/12</f>
        <v>3172450</v>
      </c>
      <c r="F21" s="8" t="n">
        <f aca="false">'Student Headcount'!I21*'Tuition Fee Rates'!C9/12</f>
        <v>5898875</v>
      </c>
      <c r="G21" s="8" t="n">
        <f aca="false">'Student Headcount'!K21*'Tuition Fee Rates'!C10/12</f>
        <v>602441.666666667</v>
      </c>
      <c r="H21" s="8" t="n">
        <v>2931250</v>
      </c>
      <c r="I21" s="8" t="n">
        <v>553846</v>
      </c>
      <c r="J21" s="8" t="n">
        <v>2405417</v>
      </c>
      <c r="K21" s="8" t="n">
        <v>712500</v>
      </c>
      <c r="L21" s="8" t="n">
        <v>516667</v>
      </c>
      <c r="M21" s="9" t="n">
        <f aca="false">SUM(C21:L21)</f>
        <v>27284888.3333333</v>
      </c>
    </row>
    <row r="22" customFormat="false" ht="15" hidden="false" customHeight="true" outlineLevel="0" collapsed="false">
      <c r="A22" s="6" t="n">
        <v>45658</v>
      </c>
      <c r="B22" s="7" t="s">
        <v>11</v>
      </c>
      <c r="C22" s="8" t="n">
        <f aca="false">'Student Headcount'!C22*'Tuition Fee Rates'!C6/12</f>
        <v>6969875</v>
      </c>
      <c r="D22" s="8" t="n">
        <f aca="false">'Student Headcount'!E22*'Tuition Fee Rates'!C7/12</f>
        <v>3547775</v>
      </c>
      <c r="E22" s="8" t="n">
        <f aca="false">'Student Headcount'!G22*'Tuition Fee Rates'!C8/12</f>
        <v>2963075</v>
      </c>
      <c r="F22" s="8" t="n">
        <f aca="false">'Student Headcount'!I22*'Tuition Fee Rates'!C9/12</f>
        <v>5430791.66666667</v>
      </c>
      <c r="G22" s="8" t="n">
        <f aca="false">'Student Headcount'!K22*'Tuition Fee Rates'!C10/12</f>
        <v>640408.333333333</v>
      </c>
      <c r="H22" s="8" t="n">
        <v>2931250</v>
      </c>
      <c r="I22" s="8" t="n">
        <v>553846</v>
      </c>
      <c r="J22" s="8" t="n">
        <v>2300833</v>
      </c>
      <c r="K22" s="8" t="n">
        <v>791667</v>
      </c>
      <c r="L22" s="8" t="n">
        <v>516667</v>
      </c>
      <c r="M22" s="9" t="n">
        <f aca="false">SUM(C22:L22)</f>
        <v>26646188</v>
      </c>
    </row>
    <row r="23" customFormat="false" ht="15" hidden="false" customHeight="true" outlineLevel="0" collapsed="false">
      <c r="A23" s="6" t="n">
        <v>45689</v>
      </c>
      <c r="B23" s="7" t="s">
        <v>11</v>
      </c>
      <c r="C23" s="8" t="n">
        <f aca="false">'Student Headcount'!C23*'Tuition Fee Rates'!C6/12</f>
        <v>6898958.33333333</v>
      </c>
      <c r="D23" s="8" t="n">
        <f aca="false">'Student Headcount'!E23*'Tuition Fee Rates'!C7/12</f>
        <v>3522837.5</v>
      </c>
      <c r="E23" s="8" t="n">
        <f aca="false">'Student Headcount'!G23*'Tuition Fee Rates'!C8/12</f>
        <v>2334950</v>
      </c>
      <c r="F23" s="8" t="n">
        <f aca="false">'Student Headcount'!I23*'Tuition Fee Rates'!C9/12</f>
        <v>4344291.66666667</v>
      </c>
      <c r="G23" s="8" t="n">
        <f aca="false">'Student Headcount'!K23*'Tuition Fee Rates'!C10/12</f>
        <v>637616.666666667</v>
      </c>
      <c r="H23" s="8" t="n">
        <v>2931250</v>
      </c>
      <c r="I23" s="8" t="n">
        <v>3692308</v>
      </c>
      <c r="J23" s="8" t="n">
        <v>2300833</v>
      </c>
      <c r="K23" s="8" t="n">
        <v>870833</v>
      </c>
      <c r="L23" s="8" t="n">
        <v>516667</v>
      </c>
      <c r="M23" s="9" t="n">
        <f aca="false">SUM(C23:L23)</f>
        <v>28050545.1666667</v>
      </c>
    </row>
    <row r="24" customFormat="false" ht="15" hidden="false" customHeight="true" outlineLevel="0" collapsed="false">
      <c r="A24" s="6" t="n">
        <v>45717</v>
      </c>
      <c r="B24" s="7" t="s">
        <v>11</v>
      </c>
      <c r="C24" s="8" t="n">
        <f aca="false">'Student Headcount'!C24*'Tuition Fee Rates'!C6/12</f>
        <v>6914375</v>
      </c>
      <c r="D24" s="8" t="n">
        <f aca="false">'Student Headcount'!E24*'Tuition Fee Rates'!C7/12</f>
        <v>3531150</v>
      </c>
      <c r="E24" s="8" t="n">
        <f aca="false">'Student Headcount'!G24*'Tuition Fee Rates'!C8/12</f>
        <v>1901962.5</v>
      </c>
      <c r="F24" s="8" t="n">
        <f aca="false">'Student Headcount'!I24*'Tuition Fee Rates'!C9/12</f>
        <v>3396166.66666667</v>
      </c>
      <c r="G24" s="8" t="n">
        <f aca="false">'Student Headcount'!K24*'Tuition Fee Rates'!C10/12</f>
        <v>639291.666666667</v>
      </c>
      <c r="H24" s="8" t="n">
        <v>2791667</v>
      </c>
      <c r="I24" s="8" t="n">
        <v>553846</v>
      </c>
      <c r="J24" s="8" t="n">
        <v>2300833</v>
      </c>
      <c r="K24" s="8" t="n">
        <v>870833</v>
      </c>
      <c r="L24" s="8" t="n">
        <v>516667</v>
      </c>
      <c r="M24" s="9" t="n">
        <f aca="false">SUM(C24:L24)</f>
        <v>23416791.8333333</v>
      </c>
    </row>
    <row r="25" customFormat="false" ht="15" hidden="false" customHeight="true" outlineLevel="0" collapsed="false">
      <c r="A25" s="6" t="n">
        <v>45748</v>
      </c>
      <c r="B25" s="7" t="s">
        <v>11</v>
      </c>
      <c r="C25" s="8" t="n">
        <f aca="false">'Student Headcount'!C25*'Tuition Fee Rates'!C6/12</f>
        <v>6881229.16666667</v>
      </c>
      <c r="D25" s="8" t="n">
        <f aca="false">'Student Headcount'!E25*'Tuition Fee Rates'!C7/12</f>
        <v>3504550</v>
      </c>
      <c r="E25" s="8" t="n">
        <f aca="false">'Student Headcount'!G25*'Tuition Fee Rates'!C8/12</f>
        <v>1497450</v>
      </c>
      <c r="F25" s="8" t="n">
        <f aca="false">'Student Headcount'!I25*'Tuition Fee Rates'!C9/12</f>
        <v>2719666.66666667</v>
      </c>
      <c r="G25" s="8" t="n">
        <f aca="false">'Student Headcount'!K25*'Tuition Fee Rates'!C10/12</f>
        <v>634825</v>
      </c>
      <c r="H25" s="8" t="n">
        <v>2791667</v>
      </c>
      <c r="I25" s="8" t="n">
        <v>553846</v>
      </c>
      <c r="J25" s="8" t="n">
        <v>2300833</v>
      </c>
      <c r="K25" s="8" t="n">
        <v>791667</v>
      </c>
      <c r="L25" s="8" t="n">
        <v>516667</v>
      </c>
      <c r="M25" s="9" t="n">
        <f aca="false">SUM(C25:L25)</f>
        <v>22192400.8333333</v>
      </c>
    </row>
    <row r="26" customFormat="false" ht="15" hidden="false" customHeight="true" outlineLevel="0" collapsed="false">
      <c r="A26" s="6" t="n">
        <v>45778</v>
      </c>
      <c r="B26" s="7" t="s">
        <v>11</v>
      </c>
      <c r="C26" s="8" t="n">
        <f aca="false">'Student Headcount'!C26*'Tuition Fee Rates'!C6/12</f>
        <v>6937500</v>
      </c>
      <c r="D26" s="8" t="n">
        <f aca="false">'Student Headcount'!E26*'Tuition Fee Rates'!C7/12</f>
        <v>3511200</v>
      </c>
      <c r="E26" s="8" t="n">
        <f aca="false">'Student Headcount'!G26*'Tuition Fee Rates'!C8/12</f>
        <v>1216050</v>
      </c>
      <c r="F26" s="8" t="n">
        <f aca="false">'Student Headcount'!I26*'Tuition Fee Rates'!C9/12</f>
        <v>2155916.66666667</v>
      </c>
      <c r="G26" s="8" t="n">
        <f aca="false">'Student Headcount'!K26*'Tuition Fee Rates'!C10/12</f>
        <v>639291.666666667</v>
      </c>
      <c r="H26" s="8" t="n">
        <v>2652083</v>
      </c>
      <c r="I26" s="8" t="n">
        <v>3692308</v>
      </c>
      <c r="J26" s="8" t="n">
        <v>2091667</v>
      </c>
      <c r="K26" s="8" t="n">
        <v>712500</v>
      </c>
      <c r="L26" s="8" t="n">
        <v>516667</v>
      </c>
      <c r="M26" s="9" t="n">
        <f aca="false">SUM(C26:L26)</f>
        <v>24125183.3333333</v>
      </c>
    </row>
    <row r="27" customFormat="false" ht="15" hidden="false" customHeight="true" outlineLevel="0" collapsed="false">
      <c r="A27" s="6" t="n">
        <v>45809</v>
      </c>
      <c r="B27" s="7" t="s">
        <v>11</v>
      </c>
      <c r="C27" s="8" t="n">
        <f aca="false">'Student Headcount'!C27*'Tuition Fee Rates'!C6/12</f>
        <v>6884312.5</v>
      </c>
      <c r="D27" s="8" t="n">
        <f aca="false">'Student Headcount'!E27*'Tuition Fee Rates'!C7/12</f>
        <v>3517850</v>
      </c>
      <c r="E27" s="8" t="n">
        <f aca="false">'Student Headcount'!G27*'Tuition Fee Rates'!C8/12</f>
        <v>963962.5</v>
      </c>
      <c r="F27" s="8" t="n">
        <f aca="false">'Student Headcount'!I27*'Tuition Fee Rates'!C9/12</f>
        <v>1703208.33333333</v>
      </c>
      <c r="G27" s="8" t="n">
        <f aca="false">'Student Headcount'!K27*'Tuition Fee Rates'!C10/12</f>
        <v>634825</v>
      </c>
      <c r="H27" s="8" t="n">
        <v>2652083</v>
      </c>
      <c r="I27" s="8" t="n">
        <v>553846</v>
      </c>
      <c r="J27" s="8" t="n">
        <v>1045833</v>
      </c>
      <c r="K27" s="8" t="n">
        <v>712500</v>
      </c>
      <c r="L27" s="8" t="n">
        <v>516667</v>
      </c>
      <c r="M27" s="9" t="n">
        <f aca="false">SUM(C27:L27)</f>
        <v>19185087.3333333</v>
      </c>
    </row>
    <row r="28" customFormat="false" ht="15" hidden="false" customHeight="true" outlineLevel="0" collapsed="false">
      <c r="A28" s="6" t="n">
        <v>45839</v>
      </c>
      <c r="B28" s="7" t="s">
        <v>11</v>
      </c>
      <c r="C28" s="8" t="n">
        <f aca="false">'Student Headcount'!C28*'Tuition Fee Rates'!C6/12</f>
        <v>4770687.5</v>
      </c>
      <c r="D28" s="8" t="n">
        <f aca="false">'Student Headcount'!E28*'Tuition Fee Rates'!C7/12</f>
        <v>2402312.5</v>
      </c>
      <c r="E28" s="8" t="n">
        <f aca="false">'Student Headcount'!G28*'Tuition Fee Rates'!C8/12</f>
        <v>778875</v>
      </c>
      <c r="F28" s="8" t="n">
        <f aca="false">'Student Headcount'!I28*'Tuition Fee Rates'!C9/12</f>
        <v>1373500</v>
      </c>
      <c r="G28" s="8" t="n">
        <f aca="false">'Student Headcount'!K28*'Tuition Fee Rates'!C10/12</f>
        <v>492450</v>
      </c>
      <c r="H28" s="8" t="n">
        <v>3070833</v>
      </c>
      <c r="I28" s="8" t="n">
        <v>553846</v>
      </c>
      <c r="J28" s="8" t="n">
        <v>1045833</v>
      </c>
      <c r="K28" s="8" t="n">
        <v>791667</v>
      </c>
      <c r="L28" s="8" t="n">
        <v>516667</v>
      </c>
      <c r="M28" s="9" t="n">
        <f aca="false">SUM(C28:L28)</f>
        <v>15796671</v>
      </c>
    </row>
    <row r="29" customFormat="false" ht="15" hidden="false" customHeight="true" outlineLevel="0" collapsed="false">
      <c r="A29" s="6" t="n">
        <v>45870</v>
      </c>
      <c r="B29" s="7" t="s">
        <v>12</v>
      </c>
      <c r="C29" s="8" t="n">
        <f aca="false">'Student Headcount'!C29*'Tuition Fee Rates'!D6/12</f>
        <v>4906552.08333333</v>
      </c>
      <c r="D29" s="8" t="n">
        <f aca="false">'Student Headcount'!E29*'Tuition Fee Rates'!D7/12</f>
        <v>2529712.5</v>
      </c>
      <c r="E29" s="8" t="n">
        <f aca="false">'Student Headcount'!G29*'Tuition Fee Rates'!D8/12</f>
        <v>639112.5</v>
      </c>
      <c r="F29" s="8" t="n">
        <f aca="false">'Student Headcount'!I29*'Tuition Fee Rates'!D9/12</f>
        <v>1141291.66666667</v>
      </c>
      <c r="G29" s="8" t="n">
        <f aca="false">'Student Headcount'!K29*'Tuition Fee Rates'!D10/12</f>
        <v>504454.166666667</v>
      </c>
      <c r="H29" s="8" t="n">
        <v>2610000</v>
      </c>
      <c r="I29" s="8" t="n">
        <v>3653846</v>
      </c>
      <c r="J29" s="8" t="n">
        <v>1310000</v>
      </c>
      <c r="K29" s="8" t="n">
        <v>750000</v>
      </c>
      <c r="L29" s="8" t="n">
        <v>541667</v>
      </c>
      <c r="M29" s="9" t="n">
        <f aca="false">SUM(C29:L29)</f>
        <v>18586635.9166667</v>
      </c>
    </row>
    <row r="30" customFormat="false" ht="15" hidden="false" customHeight="true" outlineLevel="0" collapsed="false">
      <c r="A30" s="6" t="n">
        <v>45901</v>
      </c>
      <c r="B30" s="7" t="s">
        <v>12</v>
      </c>
      <c r="C30" s="8" t="n">
        <f aca="false">'Student Headcount'!C30*'Tuition Fee Rates'!D6/12</f>
        <v>7349895.83333333</v>
      </c>
      <c r="D30" s="8" t="n">
        <f aca="false">'Student Headcount'!E30*'Tuition Fee Rates'!D7/12</f>
        <v>3634825</v>
      </c>
      <c r="E30" s="8" t="n">
        <f aca="false">'Student Headcount'!G30*'Tuition Fee Rates'!D8/12</f>
        <v>6513600</v>
      </c>
      <c r="F30" s="8" t="n">
        <f aca="false">'Student Headcount'!I30*'Tuition Fee Rates'!D9/12</f>
        <v>10624583.3333333</v>
      </c>
      <c r="G30" s="8" t="n">
        <f aca="false">'Student Headcount'!K30*'Tuition Fee Rates'!D10/12</f>
        <v>662566.666666667</v>
      </c>
      <c r="H30" s="8" t="n">
        <v>2755000</v>
      </c>
      <c r="I30" s="8" t="n">
        <v>548077</v>
      </c>
      <c r="J30" s="8" t="n">
        <v>2838333</v>
      </c>
      <c r="K30" s="8" t="n">
        <v>916667</v>
      </c>
      <c r="L30" s="8" t="n">
        <v>541667</v>
      </c>
      <c r="M30" s="9" t="n">
        <f aca="false">SUM(C30:L30)</f>
        <v>36385214.8333333</v>
      </c>
    </row>
    <row r="31" customFormat="false" ht="15" hidden="false" customHeight="true" outlineLevel="0" collapsed="false">
      <c r="A31" s="6" t="n">
        <v>45931</v>
      </c>
      <c r="B31" s="7" t="s">
        <v>12</v>
      </c>
      <c r="C31" s="8" t="n">
        <f aca="false">'Student Headcount'!C31*'Tuition Fee Rates'!D6/12</f>
        <v>7236270.41666667</v>
      </c>
      <c r="D31" s="8" t="n">
        <f aca="false">'Student Headcount'!E31*'Tuition Fee Rates'!D7/12</f>
        <v>3638316.66666667</v>
      </c>
      <c r="E31" s="8" t="n">
        <f aca="false">'Student Headcount'!G31*'Tuition Fee Rates'!D8/12</f>
        <v>5299200</v>
      </c>
      <c r="F31" s="8" t="n">
        <f aca="false">'Student Headcount'!I31*'Tuition Fee Rates'!D9/12</f>
        <v>8404708.33333333</v>
      </c>
      <c r="G31" s="8" t="n">
        <f aca="false">'Student Headcount'!K31*'Tuition Fee Rates'!D10/12</f>
        <v>653879.166666667</v>
      </c>
      <c r="H31" s="8" t="n">
        <v>2900000</v>
      </c>
      <c r="I31" s="8" t="n">
        <v>548077</v>
      </c>
      <c r="J31" s="8" t="n">
        <v>2838333</v>
      </c>
      <c r="K31" s="8" t="n">
        <v>916667</v>
      </c>
      <c r="L31" s="8" t="n">
        <v>541667</v>
      </c>
      <c r="M31" s="9" t="n">
        <f aca="false">SUM(C31:L31)</f>
        <v>32977118.5833333</v>
      </c>
    </row>
    <row r="32" customFormat="false" ht="15" hidden="false" customHeight="true" outlineLevel="0" collapsed="false">
      <c r="A32" s="6" t="n">
        <v>45962</v>
      </c>
      <c r="B32" s="7" t="s">
        <v>12</v>
      </c>
      <c r="C32" s="8" t="n">
        <f aca="false">'Student Headcount'!C32*'Tuition Fee Rates'!D6/12</f>
        <v>7311755.83333333</v>
      </c>
      <c r="D32" s="8" t="n">
        <f aca="false">'Student Headcount'!E32*'Tuition Fee Rates'!D7/12</f>
        <v>3599908.33333333</v>
      </c>
      <c r="E32" s="8" t="n">
        <f aca="false">'Student Headcount'!G32*'Tuition Fee Rates'!D8/12</f>
        <v>4244362.5</v>
      </c>
      <c r="F32" s="8" t="n">
        <f aca="false">'Student Headcount'!I32*'Tuition Fee Rates'!D9/12</f>
        <v>6731291.66666667</v>
      </c>
      <c r="G32" s="8" t="n">
        <f aca="false">'Student Headcount'!K32*'Tuition Fee Rates'!D10/12</f>
        <v>652141.666666667</v>
      </c>
      <c r="H32" s="8" t="n">
        <v>2900000</v>
      </c>
      <c r="I32" s="8" t="n">
        <v>3653846</v>
      </c>
      <c r="J32" s="8" t="n">
        <v>2729167</v>
      </c>
      <c r="K32" s="8" t="n">
        <v>833333</v>
      </c>
      <c r="L32" s="8" t="n">
        <v>541667</v>
      </c>
      <c r="M32" s="9" t="n">
        <f aca="false">SUM(C32:L32)</f>
        <v>33197473</v>
      </c>
    </row>
    <row r="33" customFormat="false" ht="15" hidden="false" customHeight="true" outlineLevel="0" collapsed="false">
      <c r="A33" s="6" t="n">
        <v>45992</v>
      </c>
      <c r="B33" s="7" t="s">
        <v>12</v>
      </c>
      <c r="C33" s="8" t="n">
        <f aca="false">'Student Headcount'!C33*'Tuition Fee Rates'!D6/12</f>
        <v>7322880</v>
      </c>
      <c r="D33" s="8" t="n">
        <f aca="false">'Student Headcount'!E33*'Tuition Fee Rates'!D7/12</f>
        <v>3601654.16666667</v>
      </c>
      <c r="E33" s="8" t="n">
        <f aca="false">'Student Headcount'!G33*'Tuition Fee Rates'!D8/12</f>
        <v>3364612.5</v>
      </c>
      <c r="F33" s="8" t="n">
        <f aca="false">'Student Headcount'!I33*'Tuition Fee Rates'!D9/12</f>
        <v>5319458.33333333</v>
      </c>
      <c r="G33" s="8" t="n">
        <f aca="false">'Student Headcount'!K33*'Tuition Fee Rates'!D10/12</f>
        <v>657933.333333333</v>
      </c>
      <c r="H33" s="8" t="n">
        <v>3045000</v>
      </c>
      <c r="I33" s="8" t="n">
        <v>548077</v>
      </c>
      <c r="J33" s="8" t="n">
        <v>2510833</v>
      </c>
      <c r="K33" s="8" t="n">
        <v>750000</v>
      </c>
      <c r="L33" s="8" t="n">
        <v>541667</v>
      </c>
      <c r="M33" s="9" t="n">
        <f aca="false">SUM(C33:L33)</f>
        <v>27662115.3333333</v>
      </c>
    </row>
    <row r="34" customFormat="false" ht="15" hidden="false" customHeight="true" outlineLevel="0" collapsed="false">
      <c r="A34" s="6" t="n">
        <v>46023</v>
      </c>
      <c r="B34" s="7" t="s">
        <v>12</v>
      </c>
      <c r="C34" s="8" t="n">
        <f aca="false">'Student Headcount'!C34*'Tuition Fee Rates'!D6/12</f>
        <v>7318907.08333333</v>
      </c>
      <c r="D34" s="8" t="n">
        <f aca="false">'Student Headcount'!E34*'Tuition Fee Rates'!D7/12</f>
        <v>3599908.33333333</v>
      </c>
      <c r="E34" s="8" t="n">
        <f aca="false">'Student Headcount'!G34*'Tuition Fee Rates'!D8/12</f>
        <v>3111900</v>
      </c>
      <c r="F34" s="8" t="n">
        <f aca="false">'Student Headcount'!I34*'Tuition Fee Rates'!D9/12</f>
        <v>4885875</v>
      </c>
      <c r="G34" s="8" t="n">
        <f aca="false">'Student Headcount'!K34*'Tuition Fee Rates'!D10/12</f>
        <v>697895.833333333</v>
      </c>
      <c r="H34" s="8" t="n">
        <v>3045000</v>
      </c>
      <c r="I34" s="8" t="n">
        <v>548077</v>
      </c>
      <c r="J34" s="8" t="n">
        <v>2401667</v>
      </c>
      <c r="K34" s="8" t="n">
        <v>833333</v>
      </c>
      <c r="L34" s="8" t="n">
        <v>541667</v>
      </c>
      <c r="M34" s="9" t="n">
        <f aca="false">SUM(C34:L34)</f>
        <v>26984230.25</v>
      </c>
    </row>
    <row r="35" customFormat="false" ht="15" hidden="false" customHeight="true" outlineLevel="0" collapsed="false">
      <c r="A35" s="6" t="n">
        <v>46054</v>
      </c>
      <c r="B35" s="7" t="s">
        <v>12</v>
      </c>
      <c r="C35" s="8" t="n">
        <f aca="false">'Student Headcount'!C35*'Tuition Fee Rates'!D6/12</f>
        <v>7235475.83333333</v>
      </c>
      <c r="D35" s="8" t="n">
        <f aca="false">'Student Headcount'!E35*'Tuition Fee Rates'!D7/12</f>
        <v>3613875</v>
      </c>
      <c r="E35" s="8" t="n">
        <f aca="false">'Student Headcount'!G35*'Tuition Fee Rates'!D8/12</f>
        <v>2490900</v>
      </c>
      <c r="F35" s="8" t="n">
        <f aca="false">'Student Headcount'!I35*'Tuition Fee Rates'!D9/12</f>
        <v>3861041.66666667</v>
      </c>
      <c r="G35" s="8" t="n">
        <f aca="false">'Student Headcount'!K35*'Tuition Fee Rates'!D10/12</f>
        <v>701370.833333333</v>
      </c>
      <c r="H35" s="8" t="n">
        <v>3045000</v>
      </c>
      <c r="I35" s="8" t="n">
        <v>3653846</v>
      </c>
      <c r="J35" s="8" t="n">
        <v>2401667</v>
      </c>
      <c r="K35" s="8" t="n">
        <v>916667</v>
      </c>
      <c r="L35" s="8" t="n">
        <v>541667</v>
      </c>
      <c r="M35" s="9" t="n">
        <f aca="false">SUM(C35:L35)</f>
        <v>28461510.3333333</v>
      </c>
    </row>
    <row r="36" customFormat="false" ht="15" hidden="false" customHeight="true" outlineLevel="0" collapsed="false">
      <c r="A36" s="6" t="n">
        <v>46082</v>
      </c>
      <c r="B36" s="7" t="s">
        <v>12</v>
      </c>
      <c r="C36" s="8" t="n">
        <f aca="false">'Student Headcount'!C36*'Tuition Fee Rates'!D6/12</f>
        <v>7271232.08333333</v>
      </c>
      <c r="D36" s="8" t="n">
        <f aca="false">'Student Headcount'!E36*'Tuition Fee Rates'!D7/12</f>
        <v>3608637.5</v>
      </c>
      <c r="E36" s="8" t="n">
        <f aca="false">'Student Headcount'!G36*'Tuition Fee Rates'!D8/12</f>
        <v>1982887.5</v>
      </c>
      <c r="F36" s="8" t="n">
        <f aca="false">'Student Headcount'!I36*'Tuition Fee Rates'!D9/12</f>
        <v>3067333.33333333</v>
      </c>
      <c r="G36" s="8" t="n">
        <f aca="false">'Student Headcount'!K36*'Tuition Fee Rates'!D10/12</f>
        <v>709479.166666667</v>
      </c>
      <c r="H36" s="8" t="n">
        <v>2900000</v>
      </c>
      <c r="I36" s="8" t="n">
        <v>548077</v>
      </c>
      <c r="J36" s="8" t="n">
        <v>2401667</v>
      </c>
      <c r="K36" s="8" t="n">
        <v>916667</v>
      </c>
      <c r="L36" s="8" t="n">
        <v>541667</v>
      </c>
      <c r="M36" s="9" t="n">
        <f aca="false">SUM(C36:L36)</f>
        <v>23947647.5833333</v>
      </c>
    </row>
    <row r="37" customFormat="false" ht="15" hidden="false" customHeight="true" outlineLevel="0" collapsed="false">
      <c r="A37" s="6" t="n">
        <v>46113</v>
      </c>
      <c r="B37" s="7" t="s">
        <v>12</v>
      </c>
      <c r="C37" s="8" t="n">
        <f aca="false">'Student Headcount'!C37*'Tuition Fee Rates'!D6/12</f>
        <v>7237859.58333333</v>
      </c>
      <c r="D37" s="8" t="n">
        <f aca="false">'Student Headcount'!E37*'Tuition Fee Rates'!D7/12</f>
        <v>3545787.5</v>
      </c>
      <c r="E37" s="8" t="n">
        <f aca="false">'Student Headcount'!G37*'Tuition Fee Rates'!D8/12</f>
        <v>1605975</v>
      </c>
      <c r="F37" s="8" t="n">
        <f aca="false">'Student Headcount'!I37*'Tuition Fee Rates'!D9/12</f>
        <v>2476083.33333333</v>
      </c>
      <c r="G37" s="8" t="n">
        <f aca="false">'Student Headcount'!K37*'Tuition Fee Rates'!D10/12</f>
        <v>695579.166666667</v>
      </c>
      <c r="H37" s="8" t="n">
        <v>2900000</v>
      </c>
      <c r="I37" s="8" t="n">
        <v>548077</v>
      </c>
      <c r="J37" s="8" t="n">
        <v>2401667</v>
      </c>
      <c r="K37" s="8" t="n">
        <v>833333</v>
      </c>
      <c r="L37" s="8" t="n">
        <v>541667</v>
      </c>
      <c r="M37" s="9" t="n">
        <f aca="false">SUM(C37:L37)</f>
        <v>22786028.5833333</v>
      </c>
    </row>
    <row r="38" customFormat="false" ht="15" hidden="false" customHeight="true" outlineLevel="0" collapsed="false">
      <c r="A38" s="6" t="n">
        <v>46143</v>
      </c>
      <c r="B38" s="7" t="s">
        <v>12</v>
      </c>
      <c r="C38" s="8" t="n">
        <f aca="false">'Student Headcount'!C38*'Tuition Fee Rates'!D6/12</f>
        <v>7234681.25</v>
      </c>
      <c r="D38" s="8" t="n">
        <f aca="false">'Student Headcount'!E38*'Tuition Fee Rates'!D7/12</f>
        <v>3547533.33333333</v>
      </c>
      <c r="E38" s="8" t="n">
        <f aca="false">'Student Headcount'!G38*'Tuition Fee Rates'!D8/12</f>
        <v>1272187.5</v>
      </c>
      <c r="F38" s="8" t="n">
        <f aca="false">'Student Headcount'!I38*'Tuition Fee Rates'!D9/12</f>
        <v>1947541.66666667</v>
      </c>
      <c r="G38" s="8" t="n">
        <f aca="false">'Student Headcount'!K38*'Tuition Fee Rates'!D10/12</f>
        <v>696158.333333333</v>
      </c>
      <c r="H38" s="8" t="n">
        <v>2755000</v>
      </c>
      <c r="I38" s="8" t="n">
        <v>3653846</v>
      </c>
      <c r="J38" s="8" t="n">
        <v>2183333</v>
      </c>
      <c r="K38" s="8" t="n">
        <v>750000</v>
      </c>
      <c r="L38" s="8" t="n">
        <v>541667</v>
      </c>
      <c r="M38" s="9" t="n">
        <f aca="false">SUM(C38:L38)</f>
        <v>24581948.0833333</v>
      </c>
    </row>
    <row r="39" customFormat="false" ht="15" hidden="false" customHeight="true" outlineLevel="0" collapsed="false">
      <c r="A39" s="6" t="n">
        <v>46174</v>
      </c>
      <c r="B39" s="7" t="s">
        <v>12</v>
      </c>
      <c r="C39" s="8" t="n">
        <f aca="false">'Student Headcount'!C39*'Tuition Fee Rates'!D6/12</f>
        <v>7305399.16666667</v>
      </c>
      <c r="D39" s="8" t="n">
        <f aca="false">'Student Headcount'!E39*'Tuition Fee Rates'!D7/12</f>
        <v>3568483.33333333</v>
      </c>
      <c r="E39" s="8" t="n">
        <f aca="false">'Student Headcount'!G39*'Tuition Fee Rates'!D8/12</f>
        <v>1021200</v>
      </c>
      <c r="F39" s="8" t="n">
        <f aca="false">'Student Headcount'!I39*'Tuition Fee Rates'!D9/12</f>
        <v>1555166.66666667</v>
      </c>
      <c r="G39" s="8" t="n">
        <f aca="false">'Student Headcount'!K39*'Tuition Fee Rates'!D10/12</f>
        <v>699054.166666667</v>
      </c>
      <c r="H39" s="8" t="n">
        <v>2755000</v>
      </c>
      <c r="I39" s="8" t="n">
        <v>548077</v>
      </c>
      <c r="J39" s="8" t="n">
        <v>1091667</v>
      </c>
      <c r="K39" s="8" t="n">
        <v>750000</v>
      </c>
      <c r="L39" s="8" t="n">
        <v>541667</v>
      </c>
      <c r="M39" s="9" t="n">
        <f aca="false">SUM(C39:L39)</f>
        <v>19835714.3333333</v>
      </c>
    </row>
    <row r="40" customFormat="false" ht="15" hidden="false" customHeight="true" outlineLevel="0" collapsed="false">
      <c r="A40" s="6" t="n">
        <v>46204</v>
      </c>
      <c r="B40" s="7" t="s">
        <v>12</v>
      </c>
      <c r="C40" s="8" t="n">
        <f aca="false">'Student Headcount'!C40*'Tuition Fee Rates'!D6/12</f>
        <v>4959789.16666667</v>
      </c>
      <c r="D40" s="8" t="n">
        <f aca="false">'Student Headcount'!E40*'Tuition Fee Rates'!D7/12</f>
        <v>2430200</v>
      </c>
      <c r="E40" s="8" t="n">
        <f aca="false">'Student Headcount'!G40*'Tuition Fee Rates'!D8/12</f>
        <v>813337.5</v>
      </c>
      <c r="F40" s="8" t="n">
        <f aca="false">'Student Headcount'!I40*'Tuition Fee Rates'!D9/12</f>
        <v>1234458.33333333</v>
      </c>
      <c r="G40" s="8" t="n">
        <f aca="false">'Student Headcount'!K40*'Tuition Fee Rates'!D10/12</f>
        <v>540941.666666667</v>
      </c>
      <c r="H40" s="8" t="n">
        <v>3190000</v>
      </c>
      <c r="I40" s="8" t="n">
        <v>548077</v>
      </c>
      <c r="J40" s="8" t="n">
        <v>1091667</v>
      </c>
      <c r="K40" s="8" t="n">
        <v>833333</v>
      </c>
      <c r="L40" s="8" t="n">
        <v>541667</v>
      </c>
      <c r="M40" s="9" t="n">
        <f aca="false">SUM(C40:L40)</f>
        <v>16183470.6666667</v>
      </c>
    </row>
    <row r="42" customFormat="false" ht="15" hidden="false" customHeight="true" outlineLevel="0" collapsed="false">
      <c r="B42" s="14" t="s">
        <v>37</v>
      </c>
      <c r="C42" s="15" t="n">
        <f aca="false">SUM(C5:C40)</f>
        <v>239737969.166667</v>
      </c>
      <c r="D42" s="15" t="n">
        <f aca="false">SUM(D5:D40)</f>
        <v>118300537.5</v>
      </c>
      <c r="E42" s="15" t="n">
        <f aca="false">SUM(E5:E40)</f>
        <v>90210562.5</v>
      </c>
      <c r="F42" s="15" t="n">
        <f aca="false">SUM(F5:F40)</f>
        <v>156665750</v>
      </c>
      <c r="G42" s="15" t="n">
        <f aca="false">SUM(G5:G40)</f>
        <v>21512337.5</v>
      </c>
      <c r="H42" s="15" t="n">
        <f aca="false">SUM(H5:H40)</f>
        <v>100300000</v>
      </c>
      <c r="I42" s="15" t="n">
        <f aca="false">SUM(I5:I40)</f>
        <v>57200000</v>
      </c>
      <c r="J42" s="15" t="n">
        <f aca="false">SUM(J5:J40)</f>
        <v>75300000</v>
      </c>
      <c r="K42" s="15" t="n">
        <f aca="false">SUM(K5:K40)</f>
        <v>28500000</v>
      </c>
      <c r="L42" s="15" t="n">
        <f aca="false">SUM(L5:L40)</f>
        <v>18700008</v>
      </c>
      <c r="M42" s="15" t="n">
        <f aca="false">SUM(M5:M40)</f>
        <v>906427164.666667</v>
      </c>
    </row>
    <row r="46" customFormat="false" ht="15" hidden="false" customHeight="true" outlineLevel="0" collapsed="false">
      <c r="A46" s="22" t="s">
        <v>38</v>
      </c>
    </row>
    <row r="47" customFormat="false" ht="15" hidden="false" customHeight="true" outlineLevel="0" collapsed="false">
      <c r="A47" s="20" t="s">
        <v>39</v>
      </c>
      <c r="B47" s="20"/>
      <c r="C47" s="20"/>
      <c r="D47" s="20"/>
      <c r="E47" s="20"/>
      <c r="F47" s="20"/>
      <c r="G47" s="20"/>
      <c r="H47" s="20"/>
      <c r="I47" s="20"/>
      <c r="J47" s="20"/>
      <c r="K47" s="20"/>
      <c r="L47" s="20"/>
      <c r="M47" s="20"/>
    </row>
  </sheetData>
  <mergeCells count="2">
    <mergeCell ref="A1:M1"/>
    <mergeCell ref="A47:M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36" activePane="bottomRight" state="frozen"/>
      <selection pane="topLeft" activeCell="A1" activeCellId="0" sqref="A1"/>
      <selection pane="topRight" activeCell="C1" activeCellId="0" sqref="C1"/>
      <selection pane="bottomLeft" activeCell="A36" activeCellId="0" sqref="A36"/>
      <selection pane="bottomRight" activeCell="B43" activeCellId="0" sqref="B43"/>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20"/>
    <col collapsed="false" customWidth="true" hidden="false" outlineLevel="0" max="4" min="4" style="1" width="24"/>
    <col collapsed="false" customWidth="true" hidden="false" outlineLevel="0" max="5" min="5" style="1" width="17"/>
    <col collapsed="false" customWidth="true" hidden="false" outlineLevel="0" max="6" min="6" style="1" width="13"/>
    <col collapsed="false" customWidth="true" hidden="false" outlineLevel="0" max="7" min="7" style="1" width="20"/>
  </cols>
  <sheetData>
    <row r="1" customFormat="false" ht="21.75" hidden="false" customHeight="true" outlineLevel="0" collapsed="false">
      <c r="A1" s="16" t="s">
        <v>40</v>
      </c>
      <c r="B1" s="16"/>
      <c r="C1" s="16"/>
      <c r="D1" s="16"/>
      <c r="E1" s="16"/>
      <c r="F1" s="16"/>
      <c r="G1" s="16"/>
    </row>
    <row r="2" customFormat="false" ht="15.75" hidden="false" customHeight="true" outlineLevel="0" collapsed="false">
      <c r="A2" s="17"/>
      <c r="B2" s="17"/>
      <c r="C2" s="17"/>
      <c r="D2" s="17"/>
      <c r="E2" s="17"/>
      <c r="F2" s="17"/>
      <c r="G2" s="17"/>
    </row>
    <row r="4" customFormat="false" ht="30" hidden="false" customHeight="true" outlineLevel="0" collapsed="false">
      <c r="A4" s="4" t="s">
        <v>1</v>
      </c>
      <c r="B4" s="4" t="s">
        <v>2</v>
      </c>
      <c r="C4" s="4" t="s">
        <v>41</v>
      </c>
      <c r="D4" s="4" t="s">
        <v>42</v>
      </c>
      <c r="E4" s="4" t="s">
        <v>43</v>
      </c>
      <c r="F4" s="4" t="s">
        <v>44</v>
      </c>
      <c r="G4" s="4" t="s">
        <v>45</v>
      </c>
    </row>
    <row r="5" customFormat="false" ht="15" hidden="false" customHeight="true" outlineLevel="0" collapsed="false">
      <c r="A5" s="6" t="n">
        <v>45139</v>
      </c>
      <c r="B5" s="7" t="s">
        <v>10</v>
      </c>
      <c r="C5" s="8" t="n">
        <v>9833333</v>
      </c>
      <c r="D5" s="8" t="n">
        <v>5166667</v>
      </c>
      <c r="E5" s="9" t="n">
        <f aca="false">SUM(C5:D5)</f>
        <v>15000000</v>
      </c>
      <c r="F5" s="8" t="n">
        <v>1150</v>
      </c>
      <c r="G5" s="8" t="n">
        <v>980</v>
      </c>
    </row>
    <row r="6" customFormat="false" ht="15" hidden="false" customHeight="true" outlineLevel="0" collapsed="false">
      <c r="A6" s="6" t="n">
        <v>45170</v>
      </c>
      <c r="B6" s="7" t="s">
        <v>10</v>
      </c>
      <c r="C6" s="8" t="n">
        <v>9833333</v>
      </c>
      <c r="D6" s="8" t="n">
        <v>5166667</v>
      </c>
      <c r="E6" s="9" t="n">
        <f aca="false">SUM(C6:D6)</f>
        <v>15000000</v>
      </c>
      <c r="F6" s="8" t="n">
        <v>1150</v>
      </c>
      <c r="G6" s="8" t="n">
        <v>980</v>
      </c>
    </row>
    <row r="7" customFormat="false" ht="15" hidden="false" customHeight="true" outlineLevel="0" collapsed="false">
      <c r="A7" s="6" t="n">
        <v>45200</v>
      </c>
      <c r="B7" s="7" t="s">
        <v>10</v>
      </c>
      <c r="C7" s="8" t="n">
        <v>9833333</v>
      </c>
      <c r="D7" s="8" t="n">
        <v>5166667</v>
      </c>
      <c r="E7" s="9" t="n">
        <f aca="false">SUM(C7:D7)</f>
        <v>15000000</v>
      </c>
      <c r="F7" s="8" t="n">
        <v>1150</v>
      </c>
      <c r="G7" s="8" t="n">
        <v>980</v>
      </c>
    </row>
    <row r="8" customFormat="false" ht="15" hidden="false" customHeight="true" outlineLevel="0" collapsed="false">
      <c r="A8" s="6" t="n">
        <v>45231</v>
      </c>
      <c r="B8" s="7" t="s">
        <v>10</v>
      </c>
      <c r="C8" s="8" t="n">
        <v>9833333</v>
      </c>
      <c r="D8" s="8" t="n">
        <v>5166667</v>
      </c>
      <c r="E8" s="9" t="n">
        <f aca="false">SUM(C8:D8)</f>
        <v>15000000</v>
      </c>
      <c r="F8" s="8" t="n">
        <v>1150</v>
      </c>
      <c r="G8" s="8" t="n">
        <v>980</v>
      </c>
    </row>
    <row r="9" customFormat="false" ht="15" hidden="false" customHeight="true" outlineLevel="0" collapsed="false">
      <c r="A9" s="6" t="n">
        <v>45261</v>
      </c>
      <c r="B9" s="7" t="s">
        <v>10</v>
      </c>
      <c r="C9" s="8" t="n">
        <v>9833333</v>
      </c>
      <c r="D9" s="8" t="n">
        <v>5166667</v>
      </c>
      <c r="E9" s="9" t="n">
        <f aca="false">SUM(C9:D9)</f>
        <v>15000000</v>
      </c>
      <c r="F9" s="8" t="n">
        <v>1150</v>
      </c>
      <c r="G9" s="8" t="n">
        <v>980</v>
      </c>
    </row>
    <row r="10" customFormat="false" ht="15" hidden="false" customHeight="true" outlineLevel="0" collapsed="false">
      <c r="A10" s="6" t="n">
        <v>45292</v>
      </c>
      <c r="B10" s="7" t="s">
        <v>10</v>
      </c>
      <c r="C10" s="8" t="n">
        <v>9833333</v>
      </c>
      <c r="D10" s="8" t="n">
        <v>5166667</v>
      </c>
      <c r="E10" s="9" t="n">
        <f aca="false">SUM(C10:D10)</f>
        <v>15000000</v>
      </c>
      <c r="F10" s="8" t="n">
        <v>1150</v>
      </c>
      <c r="G10" s="8" t="n">
        <v>980</v>
      </c>
    </row>
    <row r="11" customFormat="false" ht="15" hidden="false" customHeight="true" outlineLevel="0" collapsed="false">
      <c r="A11" s="6" t="n">
        <v>45323</v>
      </c>
      <c r="B11" s="7" t="s">
        <v>10</v>
      </c>
      <c r="C11" s="8" t="n">
        <v>9833333</v>
      </c>
      <c r="D11" s="8" t="n">
        <v>5166667</v>
      </c>
      <c r="E11" s="9" t="n">
        <f aca="false">SUM(C11:D11)</f>
        <v>15000000</v>
      </c>
      <c r="F11" s="8" t="n">
        <v>1150</v>
      </c>
      <c r="G11" s="8" t="n">
        <v>980</v>
      </c>
    </row>
    <row r="12" customFormat="false" ht="15" hidden="false" customHeight="true" outlineLevel="0" collapsed="false">
      <c r="A12" s="6" t="n">
        <v>45352</v>
      </c>
      <c r="B12" s="7" t="s">
        <v>10</v>
      </c>
      <c r="C12" s="8" t="n">
        <v>9833333</v>
      </c>
      <c r="D12" s="8" t="n">
        <v>5166667</v>
      </c>
      <c r="E12" s="9" t="n">
        <f aca="false">SUM(C12:D12)</f>
        <v>15000000</v>
      </c>
      <c r="F12" s="8" t="n">
        <v>1150</v>
      </c>
      <c r="G12" s="8" t="n">
        <v>980</v>
      </c>
    </row>
    <row r="13" customFormat="false" ht="15" hidden="false" customHeight="true" outlineLevel="0" collapsed="false">
      <c r="A13" s="6" t="n">
        <v>45383</v>
      </c>
      <c r="B13" s="7" t="s">
        <v>10</v>
      </c>
      <c r="C13" s="8" t="n">
        <v>9833333</v>
      </c>
      <c r="D13" s="8" t="n">
        <v>5166667</v>
      </c>
      <c r="E13" s="9" t="n">
        <f aca="false">SUM(C13:D13)</f>
        <v>15000000</v>
      </c>
      <c r="F13" s="8" t="n">
        <v>1150</v>
      </c>
      <c r="G13" s="8" t="n">
        <v>980</v>
      </c>
    </row>
    <row r="14" customFormat="false" ht="15" hidden="false" customHeight="true" outlineLevel="0" collapsed="false">
      <c r="A14" s="6" t="n">
        <v>45413</v>
      </c>
      <c r="B14" s="7" t="s">
        <v>10</v>
      </c>
      <c r="C14" s="8" t="n">
        <v>9833333</v>
      </c>
      <c r="D14" s="8" t="n">
        <v>5166667</v>
      </c>
      <c r="E14" s="9" t="n">
        <f aca="false">SUM(C14:D14)</f>
        <v>15000000</v>
      </c>
      <c r="F14" s="8" t="n">
        <v>1150</v>
      </c>
      <c r="G14" s="8" t="n">
        <v>980</v>
      </c>
    </row>
    <row r="15" customFormat="false" ht="15" hidden="false" customHeight="true" outlineLevel="0" collapsed="false">
      <c r="A15" s="6" t="n">
        <v>45444</v>
      </c>
      <c r="B15" s="7" t="s">
        <v>10</v>
      </c>
      <c r="C15" s="8" t="n">
        <v>9833333</v>
      </c>
      <c r="D15" s="8" t="n">
        <v>5166667</v>
      </c>
      <c r="E15" s="9" t="n">
        <f aca="false">SUM(C15:D15)</f>
        <v>15000000</v>
      </c>
      <c r="F15" s="8" t="n">
        <v>1150</v>
      </c>
      <c r="G15" s="8" t="n">
        <v>980</v>
      </c>
    </row>
    <row r="16" customFormat="false" ht="15" hidden="false" customHeight="true" outlineLevel="0" collapsed="false">
      <c r="A16" s="6" t="n">
        <v>45474</v>
      </c>
      <c r="B16" s="7" t="s">
        <v>10</v>
      </c>
      <c r="C16" s="8" t="n">
        <v>9833333</v>
      </c>
      <c r="D16" s="8" t="n">
        <v>5166667</v>
      </c>
      <c r="E16" s="9" t="n">
        <f aca="false">SUM(C16:D16)</f>
        <v>15000000</v>
      </c>
      <c r="F16" s="8" t="n">
        <v>1150</v>
      </c>
      <c r="G16" s="8" t="n">
        <v>980</v>
      </c>
    </row>
    <row r="17" customFormat="false" ht="15" hidden="false" customHeight="true" outlineLevel="0" collapsed="false">
      <c r="A17" s="6" t="n">
        <v>45505</v>
      </c>
      <c r="B17" s="7" t="s">
        <v>11</v>
      </c>
      <c r="C17" s="8" t="n">
        <v>10375000</v>
      </c>
      <c r="D17" s="8" t="n">
        <v>5416667</v>
      </c>
      <c r="E17" s="9" t="n">
        <f aca="false">SUM(C17:D17)</f>
        <v>15791667</v>
      </c>
      <c r="F17" s="8" t="n">
        <v>1190</v>
      </c>
      <c r="G17" s="8" t="n">
        <v>1010</v>
      </c>
    </row>
    <row r="18" customFormat="false" ht="15" hidden="false" customHeight="true" outlineLevel="0" collapsed="false">
      <c r="A18" s="6" t="n">
        <v>45536</v>
      </c>
      <c r="B18" s="7" t="s">
        <v>11</v>
      </c>
      <c r="C18" s="8" t="n">
        <v>10375000</v>
      </c>
      <c r="D18" s="8" t="n">
        <v>5416667</v>
      </c>
      <c r="E18" s="9" t="n">
        <f aca="false">SUM(C18:D18)</f>
        <v>15791667</v>
      </c>
      <c r="F18" s="8" t="n">
        <v>1190</v>
      </c>
      <c r="G18" s="8" t="n">
        <v>1010</v>
      </c>
    </row>
    <row r="19" customFormat="false" ht="15" hidden="false" customHeight="true" outlineLevel="0" collapsed="false">
      <c r="A19" s="6" t="n">
        <v>45566</v>
      </c>
      <c r="B19" s="7" t="s">
        <v>11</v>
      </c>
      <c r="C19" s="8" t="n">
        <v>10375000</v>
      </c>
      <c r="D19" s="8" t="n">
        <v>5416667</v>
      </c>
      <c r="E19" s="9" t="n">
        <f aca="false">SUM(C19:D19)</f>
        <v>15791667</v>
      </c>
      <c r="F19" s="8" t="n">
        <v>1190</v>
      </c>
      <c r="G19" s="8" t="n">
        <v>1010</v>
      </c>
    </row>
    <row r="20" customFormat="false" ht="15" hidden="false" customHeight="true" outlineLevel="0" collapsed="false">
      <c r="A20" s="6" t="n">
        <v>45597</v>
      </c>
      <c r="B20" s="7" t="s">
        <v>11</v>
      </c>
      <c r="C20" s="8" t="n">
        <v>10375000</v>
      </c>
      <c r="D20" s="8" t="n">
        <v>5416667</v>
      </c>
      <c r="E20" s="9" t="n">
        <f aca="false">SUM(C20:D20)</f>
        <v>15791667</v>
      </c>
      <c r="F20" s="8" t="n">
        <v>1190</v>
      </c>
      <c r="G20" s="8" t="n">
        <v>1010</v>
      </c>
    </row>
    <row r="21" customFormat="false" ht="15" hidden="false" customHeight="true" outlineLevel="0" collapsed="false">
      <c r="A21" s="6" t="n">
        <v>45627</v>
      </c>
      <c r="B21" s="7" t="s">
        <v>11</v>
      </c>
      <c r="C21" s="8" t="n">
        <v>10375000</v>
      </c>
      <c r="D21" s="8" t="n">
        <v>5416667</v>
      </c>
      <c r="E21" s="9" t="n">
        <f aca="false">SUM(C21:D21)</f>
        <v>15791667</v>
      </c>
      <c r="F21" s="8" t="n">
        <v>1190</v>
      </c>
      <c r="G21" s="8" t="n">
        <v>1010</v>
      </c>
    </row>
    <row r="22" customFormat="false" ht="15" hidden="false" customHeight="true" outlineLevel="0" collapsed="false">
      <c r="A22" s="6" t="n">
        <v>45658</v>
      </c>
      <c r="B22" s="7" t="s">
        <v>11</v>
      </c>
      <c r="C22" s="8" t="n">
        <v>10375000</v>
      </c>
      <c r="D22" s="8" t="n">
        <v>5416667</v>
      </c>
      <c r="E22" s="9" t="n">
        <f aca="false">SUM(C22:D22)</f>
        <v>15791667</v>
      </c>
      <c r="F22" s="8" t="n">
        <v>1190</v>
      </c>
      <c r="G22" s="8" t="n">
        <v>1010</v>
      </c>
    </row>
    <row r="23" customFormat="false" ht="15" hidden="false" customHeight="true" outlineLevel="0" collapsed="false">
      <c r="A23" s="6" t="n">
        <v>45689</v>
      </c>
      <c r="B23" s="7" t="s">
        <v>11</v>
      </c>
      <c r="C23" s="8" t="n">
        <v>10375000</v>
      </c>
      <c r="D23" s="8" t="n">
        <v>5416667</v>
      </c>
      <c r="E23" s="9" t="n">
        <f aca="false">SUM(C23:D23)</f>
        <v>15791667</v>
      </c>
      <c r="F23" s="8" t="n">
        <v>1190</v>
      </c>
      <c r="G23" s="8" t="n">
        <v>1010</v>
      </c>
    </row>
    <row r="24" customFormat="false" ht="15" hidden="false" customHeight="true" outlineLevel="0" collapsed="false">
      <c r="A24" s="6" t="n">
        <v>45717</v>
      </c>
      <c r="B24" s="7" t="s">
        <v>11</v>
      </c>
      <c r="C24" s="8" t="n">
        <v>10375000</v>
      </c>
      <c r="D24" s="8" t="n">
        <v>5416667</v>
      </c>
      <c r="E24" s="9" t="n">
        <f aca="false">SUM(C24:D24)</f>
        <v>15791667</v>
      </c>
      <c r="F24" s="8" t="n">
        <v>1190</v>
      </c>
      <c r="G24" s="8" t="n">
        <v>1010</v>
      </c>
    </row>
    <row r="25" customFormat="false" ht="15" hidden="false" customHeight="true" outlineLevel="0" collapsed="false">
      <c r="A25" s="6" t="n">
        <v>45748</v>
      </c>
      <c r="B25" s="7" t="s">
        <v>11</v>
      </c>
      <c r="C25" s="8" t="n">
        <v>10375000</v>
      </c>
      <c r="D25" s="8" t="n">
        <v>5416667</v>
      </c>
      <c r="E25" s="9" t="n">
        <f aca="false">SUM(C25:D25)</f>
        <v>15791667</v>
      </c>
      <c r="F25" s="8" t="n">
        <v>1190</v>
      </c>
      <c r="G25" s="8" t="n">
        <v>1010</v>
      </c>
    </row>
    <row r="26" customFormat="false" ht="15" hidden="false" customHeight="true" outlineLevel="0" collapsed="false">
      <c r="A26" s="6" t="n">
        <v>45778</v>
      </c>
      <c r="B26" s="7" t="s">
        <v>11</v>
      </c>
      <c r="C26" s="8" t="n">
        <v>10375000</v>
      </c>
      <c r="D26" s="8" t="n">
        <v>5416667</v>
      </c>
      <c r="E26" s="9" t="n">
        <f aca="false">SUM(C26:D26)</f>
        <v>15791667</v>
      </c>
      <c r="F26" s="8" t="n">
        <v>1190</v>
      </c>
      <c r="G26" s="8" t="n">
        <v>1010</v>
      </c>
    </row>
    <row r="27" customFormat="false" ht="15" hidden="false" customHeight="true" outlineLevel="0" collapsed="false">
      <c r="A27" s="6" t="n">
        <v>45809</v>
      </c>
      <c r="B27" s="7" t="s">
        <v>11</v>
      </c>
      <c r="C27" s="8" t="n">
        <v>10375000</v>
      </c>
      <c r="D27" s="8" t="n">
        <v>5416667</v>
      </c>
      <c r="E27" s="9" t="n">
        <f aca="false">SUM(C27:D27)</f>
        <v>15791667</v>
      </c>
      <c r="F27" s="8" t="n">
        <v>1190</v>
      </c>
      <c r="G27" s="8" t="n">
        <v>1010</v>
      </c>
    </row>
    <row r="28" customFormat="false" ht="15" hidden="false" customHeight="true" outlineLevel="0" collapsed="false">
      <c r="A28" s="6" t="n">
        <v>45839</v>
      </c>
      <c r="B28" s="7" t="s">
        <v>11</v>
      </c>
      <c r="C28" s="8" t="n">
        <v>10375000</v>
      </c>
      <c r="D28" s="8" t="n">
        <v>5416667</v>
      </c>
      <c r="E28" s="9" t="n">
        <f aca="false">SUM(C28:D28)</f>
        <v>15791667</v>
      </c>
      <c r="F28" s="8" t="n">
        <v>1190</v>
      </c>
      <c r="G28" s="8" t="n">
        <v>1010</v>
      </c>
    </row>
    <row r="29" customFormat="false" ht="15" hidden="false" customHeight="true" outlineLevel="0" collapsed="false">
      <c r="A29" s="6" t="n">
        <v>45870</v>
      </c>
      <c r="B29" s="7" t="s">
        <v>12</v>
      </c>
      <c r="C29" s="8" t="n">
        <v>10875000</v>
      </c>
      <c r="D29" s="8" t="n">
        <v>5683333</v>
      </c>
      <c r="E29" s="9" t="n">
        <f aca="false">SUM(C29:D29)</f>
        <v>16558333</v>
      </c>
      <c r="F29" s="8" t="n">
        <v>1230</v>
      </c>
      <c r="G29" s="8" t="n">
        <v>1040</v>
      </c>
    </row>
    <row r="30" customFormat="false" ht="15" hidden="false" customHeight="true" outlineLevel="0" collapsed="false">
      <c r="A30" s="6" t="n">
        <v>45901</v>
      </c>
      <c r="B30" s="7" t="s">
        <v>12</v>
      </c>
      <c r="C30" s="8" t="n">
        <v>10875000</v>
      </c>
      <c r="D30" s="8" t="n">
        <v>5683333</v>
      </c>
      <c r="E30" s="9" t="n">
        <f aca="false">SUM(C30:D30)</f>
        <v>16558333</v>
      </c>
      <c r="F30" s="8" t="n">
        <v>1230</v>
      </c>
      <c r="G30" s="8" t="n">
        <v>1040</v>
      </c>
    </row>
    <row r="31" customFormat="false" ht="15" hidden="false" customHeight="true" outlineLevel="0" collapsed="false">
      <c r="A31" s="6" t="n">
        <v>45931</v>
      </c>
      <c r="B31" s="7" t="s">
        <v>12</v>
      </c>
      <c r="C31" s="8" t="n">
        <v>10875000</v>
      </c>
      <c r="D31" s="8" t="n">
        <v>5683333</v>
      </c>
      <c r="E31" s="9" t="n">
        <f aca="false">SUM(C31:D31)</f>
        <v>16558333</v>
      </c>
      <c r="F31" s="8" t="n">
        <v>1230</v>
      </c>
      <c r="G31" s="8" t="n">
        <v>1040</v>
      </c>
    </row>
    <row r="32" customFormat="false" ht="15" hidden="false" customHeight="true" outlineLevel="0" collapsed="false">
      <c r="A32" s="6" t="n">
        <v>45962</v>
      </c>
      <c r="B32" s="7" t="s">
        <v>12</v>
      </c>
      <c r="C32" s="8" t="n">
        <v>10875000</v>
      </c>
      <c r="D32" s="8" t="n">
        <v>5683333</v>
      </c>
      <c r="E32" s="9" t="n">
        <f aca="false">SUM(C32:D32)</f>
        <v>16558333</v>
      </c>
      <c r="F32" s="8" t="n">
        <v>1230</v>
      </c>
      <c r="G32" s="8" t="n">
        <v>1040</v>
      </c>
    </row>
    <row r="33" customFormat="false" ht="15" hidden="false" customHeight="true" outlineLevel="0" collapsed="false">
      <c r="A33" s="6" t="n">
        <v>45992</v>
      </c>
      <c r="B33" s="7" t="s">
        <v>12</v>
      </c>
      <c r="C33" s="8" t="n">
        <v>10875000</v>
      </c>
      <c r="D33" s="8" t="n">
        <v>5683333</v>
      </c>
      <c r="E33" s="9" t="n">
        <f aca="false">SUM(C33:D33)</f>
        <v>16558333</v>
      </c>
      <c r="F33" s="8" t="n">
        <v>1230</v>
      </c>
      <c r="G33" s="8" t="n">
        <v>1040</v>
      </c>
    </row>
    <row r="34" customFormat="false" ht="15" hidden="false" customHeight="true" outlineLevel="0" collapsed="false">
      <c r="A34" s="6" t="n">
        <v>46023</v>
      </c>
      <c r="B34" s="7" t="s">
        <v>12</v>
      </c>
      <c r="C34" s="8" t="n">
        <v>10875000</v>
      </c>
      <c r="D34" s="8" t="n">
        <v>5683333</v>
      </c>
      <c r="E34" s="9" t="n">
        <f aca="false">SUM(C34:D34)</f>
        <v>16558333</v>
      </c>
      <c r="F34" s="8" t="n">
        <v>1230</v>
      </c>
      <c r="G34" s="8" t="n">
        <v>1040</v>
      </c>
    </row>
    <row r="35" customFormat="false" ht="15" hidden="false" customHeight="true" outlineLevel="0" collapsed="false">
      <c r="A35" s="6" t="n">
        <v>46054</v>
      </c>
      <c r="B35" s="7" t="s">
        <v>12</v>
      </c>
      <c r="C35" s="8" t="n">
        <v>10875000</v>
      </c>
      <c r="D35" s="8" t="n">
        <v>5683333</v>
      </c>
      <c r="E35" s="9" t="n">
        <f aca="false">SUM(C35:D35)</f>
        <v>16558333</v>
      </c>
      <c r="F35" s="8" t="n">
        <v>1230</v>
      </c>
      <c r="G35" s="8" t="n">
        <v>1040</v>
      </c>
    </row>
    <row r="36" customFormat="false" ht="15" hidden="false" customHeight="true" outlineLevel="0" collapsed="false">
      <c r="A36" s="6" t="n">
        <v>46082</v>
      </c>
      <c r="B36" s="7" t="s">
        <v>12</v>
      </c>
      <c r="C36" s="8" t="n">
        <v>10875000</v>
      </c>
      <c r="D36" s="8" t="n">
        <v>5683333</v>
      </c>
      <c r="E36" s="9" t="n">
        <f aca="false">SUM(C36:D36)</f>
        <v>16558333</v>
      </c>
      <c r="F36" s="8" t="n">
        <v>1230</v>
      </c>
      <c r="G36" s="8" t="n">
        <v>1040</v>
      </c>
    </row>
    <row r="37" customFormat="false" ht="15" hidden="false" customHeight="true" outlineLevel="0" collapsed="false">
      <c r="A37" s="6" t="n">
        <v>46113</v>
      </c>
      <c r="B37" s="7" t="s">
        <v>12</v>
      </c>
      <c r="C37" s="8" t="n">
        <v>10875000</v>
      </c>
      <c r="D37" s="8" t="n">
        <v>5683333</v>
      </c>
      <c r="E37" s="9" t="n">
        <f aca="false">SUM(C37:D37)</f>
        <v>16558333</v>
      </c>
      <c r="F37" s="8" t="n">
        <v>1230</v>
      </c>
      <c r="G37" s="8" t="n">
        <v>1040</v>
      </c>
    </row>
    <row r="38" customFormat="false" ht="15" hidden="false" customHeight="true" outlineLevel="0" collapsed="false">
      <c r="A38" s="6" t="n">
        <v>46143</v>
      </c>
      <c r="B38" s="7" t="s">
        <v>12</v>
      </c>
      <c r="C38" s="8" t="n">
        <v>10875000</v>
      </c>
      <c r="D38" s="8" t="n">
        <v>5683333</v>
      </c>
      <c r="E38" s="9" t="n">
        <f aca="false">SUM(C38:D38)</f>
        <v>16558333</v>
      </c>
      <c r="F38" s="8" t="n">
        <v>1230</v>
      </c>
      <c r="G38" s="8" t="n">
        <v>1040</v>
      </c>
    </row>
    <row r="39" customFormat="false" ht="15" hidden="false" customHeight="true" outlineLevel="0" collapsed="false">
      <c r="A39" s="6" t="n">
        <v>46174</v>
      </c>
      <c r="B39" s="7" t="s">
        <v>12</v>
      </c>
      <c r="C39" s="8" t="n">
        <v>10875000</v>
      </c>
      <c r="D39" s="8" t="n">
        <v>5683333</v>
      </c>
      <c r="E39" s="9" t="n">
        <f aca="false">SUM(C39:D39)</f>
        <v>16558333</v>
      </c>
      <c r="F39" s="8" t="n">
        <v>1230</v>
      </c>
      <c r="G39" s="8" t="n">
        <v>1040</v>
      </c>
    </row>
    <row r="40" customFormat="false" ht="15" hidden="false" customHeight="true" outlineLevel="0" collapsed="false">
      <c r="A40" s="6" t="n">
        <v>46204</v>
      </c>
      <c r="B40" s="7" t="s">
        <v>12</v>
      </c>
      <c r="C40" s="8" t="n">
        <v>10875000</v>
      </c>
      <c r="D40" s="8" t="n">
        <v>5683333</v>
      </c>
      <c r="E40" s="9" t="n">
        <f aca="false">SUM(C40:D40)</f>
        <v>16558333</v>
      </c>
      <c r="F40" s="8" t="n">
        <v>1230</v>
      </c>
      <c r="G40" s="8" t="n">
        <v>1040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J28" activePane="bottomRight" state="frozen"/>
      <selection pane="topLeft" activeCell="A1" activeCellId="0" sqref="A1"/>
      <selection pane="topRight" activeCell="J1" activeCellId="0" sqref="J1"/>
      <selection pane="bottomLeft" activeCell="A28" activeCellId="0" sqref="A28"/>
      <selection pane="bottomRight" activeCell="R5" activeCellId="0" sqref="R5"/>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18" min="3" style="1" width="16"/>
    <col collapsed="false" customWidth="true" hidden="false" outlineLevel="0" max="19" min="19" style="1" width="20"/>
  </cols>
  <sheetData>
    <row r="1" customFormat="false" ht="21.75" hidden="false" customHeight="true" outlineLevel="0" collapsed="false">
      <c r="A1" s="16" t="s">
        <v>46</v>
      </c>
      <c r="B1" s="16"/>
      <c r="C1" s="16"/>
      <c r="D1" s="16"/>
      <c r="E1" s="16"/>
      <c r="F1" s="16"/>
      <c r="G1" s="16"/>
      <c r="H1" s="16"/>
      <c r="I1" s="16"/>
      <c r="J1" s="16"/>
      <c r="K1" s="16"/>
      <c r="L1" s="16"/>
      <c r="M1" s="16"/>
      <c r="N1" s="16"/>
      <c r="O1" s="16"/>
      <c r="P1" s="16"/>
      <c r="Q1" s="16"/>
      <c r="R1" s="16"/>
      <c r="S1" s="16"/>
    </row>
    <row r="2" customFormat="false" ht="15.75" hidden="false" customHeight="true" outlineLevel="0" collapsed="false">
      <c r="A2" s="17"/>
      <c r="B2" s="17"/>
      <c r="C2" s="17"/>
      <c r="D2" s="17"/>
      <c r="E2" s="17"/>
      <c r="F2" s="17"/>
      <c r="G2" s="17"/>
      <c r="H2" s="17"/>
      <c r="I2" s="17"/>
      <c r="J2" s="17"/>
      <c r="K2" s="17"/>
      <c r="L2" s="17"/>
      <c r="M2" s="17"/>
      <c r="N2" s="17"/>
      <c r="O2" s="17"/>
      <c r="P2" s="17"/>
      <c r="Q2" s="17"/>
      <c r="R2" s="17"/>
      <c r="S2" s="17"/>
    </row>
    <row r="4" customFormat="false" ht="30" hidden="false" customHeight="true" outlineLevel="0" collapsed="false">
      <c r="A4" s="4" t="s">
        <v>1</v>
      </c>
      <c r="B4" s="4" t="s">
        <v>2</v>
      </c>
      <c r="C4" s="4" t="s">
        <v>47</v>
      </c>
      <c r="D4" s="4" t="s">
        <v>48</v>
      </c>
      <c r="E4" s="4" t="s">
        <v>49</v>
      </c>
      <c r="F4" s="4" t="s">
        <v>50</v>
      </c>
      <c r="G4" s="4" t="s">
        <v>51</v>
      </c>
      <c r="H4" s="4" t="s">
        <v>52</v>
      </c>
      <c r="I4" s="4" t="s">
        <v>53</v>
      </c>
      <c r="J4" s="4" t="s">
        <v>54</v>
      </c>
      <c r="K4" s="4" t="s">
        <v>55</v>
      </c>
      <c r="L4" s="4" t="s">
        <v>56</v>
      </c>
      <c r="M4" s="4" t="s">
        <v>57</v>
      </c>
      <c r="N4" s="4" t="s">
        <v>58</v>
      </c>
      <c r="O4" s="4" t="s">
        <v>59</v>
      </c>
      <c r="P4" s="4" t="s">
        <v>60</v>
      </c>
      <c r="Q4" s="4" t="s">
        <v>61</v>
      </c>
      <c r="R4" s="4" t="s">
        <v>62</v>
      </c>
      <c r="S4" s="4" t="s">
        <v>63</v>
      </c>
    </row>
    <row r="5" customFormat="false" ht="15" hidden="false" customHeight="true" outlineLevel="0" collapsed="false">
      <c r="A5" s="6" t="n">
        <v>45139</v>
      </c>
      <c r="B5" s="7" t="s">
        <v>10</v>
      </c>
      <c r="C5" s="8" t="n">
        <v>954545</v>
      </c>
      <c r="D5" s="23" t="n">
        <f aca="false">(C5-C6)/C5</f>
        <v>-0.142857591836949</v>
      </c>
      <c r="E5" s="8" t="n">
        <v>1333333</v>
      </c>
      <c r="F5" s="23" t="n">
        <f aca="false">(E6-E5)/E5</f>
        <v>0</v>
      </c>
      <c r="G5" s="8" t="n">
        <v>2325203</v>
      </c>
      <c r="H5" s="23" t="n">
        <f aca="false">(G6-G5)/G5</f>
        <v>0</v>
      </c>
      <c r="I5" s="8" t="n">
        <v>1504132</v>
      </c>
      <c r="J5" s="23" t="n">
        <f aca="false">(I5-I6)/I5</f>
        <v>0.285714285714286</v>
      </c>
      <c r="K5" s="8" t="n">
        <v>1200000</v>
      </c>
      <c r="L5" s="23" t="n">
        <f aca="false">(K6-K5)/K5</f>
        <v>-0.5</v>
      </c>
      <c r="M5" s="8" t="n">
        <v>333333</v>
      </c>
      <c r="N5" s="23" t="n">
        <f aca="false">(M5-M6)/M5</f>
        <v>0</v>
      </c>
      <c r="O5" s="8" t="n">
        <v>750000</v>
      </c>
      <c r="P5" s="23" t="n">
        <f aca="false">(O5-O6)/O5</f>
        <v>0</v>
      </c>
      <c r="Q5" s="8" t="n">
        <v>666667</v>
      </c>
      <c r="R5" s="23" t="n">
        <f aca="false">(Q6-Q5)/Q5</f>
        <v>0</v>
      </c>
      <c r="S5" s="9" t="n">
        <f aca="false">SUM(C5:Q5)</f>
        <v>9067212.6428567</v>
      </c>
    </row>
    <row r="6" customFormat="false" ht="15" hidden="false" customHeight="true" outlineLevel="0" collapsed="false">
      <c r="A6" s="6" t="n">
        <v>45170</v>
      </c>
      <c r="B6" s="7" t="s">
        <v>10</v>
      </c>
      <c r="C6" s="8" t="n">
        <v>1090909</v>
      </c>
      <c r="D6" s="23" t="n">
        <f aca="false">(C6-C7)/C6</f>
        <v>-0.249999770833314</v>
      </c>
      <c r="E6" s="8" t="n">
        <v>1333333</v>
      </c>
      <c r="F6" s="23" t="n">
        <f aca="false">(E7-E6)/E6</f>
        <v>0</v>
      </c>
      <c r="G6" s="8" t="n">
        <v>2325203</v>
      </c>
      <c r="H6" s="23" t="n">
        <f aca="false">(G7-G6)/G6</f>
        <v>-0.384615450779996</v>
      </c>
      <c r="I6" s="8" t="n">
        <v>1074380</v>
      </c>
      <c r="J6" s="23" t="n">
        <f aca="false">(I6-I7)/I6</f>
        <v>0.1</v>
      </c>
      <c r="K6" s="8" t="n">
        <v>600000</v>
      </c>
      <c r="L6" s="23" t="n">
        <f aca="false">(K7-K6)/K6</f>
        <v>-0.125</v>
      </c>
      <c r="M6" s="8" t="n">
        <v>333333</v>
      </c>
      <c r="N6" s="23" t="n">
        <f aca="false">(M6-M7)/M6</f>
        <v>0</v>
      </c>
      <c r="O6" s="8" t="n">
        <v>750000</v>
      </c>
      <c r="P6" s="23" t="n">
        <f aca="false">(O6-O7)/O6</f>
        <v>0</v>
      </c>
      <c r="Q6" s="8" t="n">
        <v>666667</v>
      </c>
      <c r="R6" s="23" t="n">
        <f aca="false">(Q7-Q6)/Q6</f>
        <v>0</v>
      </c>
      <c r="S6" s="9" t="n">
        <f aca="false">SUM(C6:Q6)</f>
        <v>8173824.34038478</v>
      </c>
    </row>
    <row r="7" customFormat="false" ht="15" hidden="false" customHeight="true" outlineLevel="0" collapsed="false">
      <c r="A7" s="6" t="n">
        <v>45200</v>
      </c>
      <c r="B7" s="7" t="s">
        <v>10</v>
      </c>
      <c r="C7" s="8" t="n">
        <v>1363636</v>
      </c>
      <c r="D7" s="23" t="n">
        <f aca="false">(C7-C8)/C7</f>
        <v>-0.300000146666706</v>
      </c>
      <c r="E7" s="8" t="n">
        <v>1333333</v>
      </c>
      <c r="F7" s="23" t="n">
        <f aca="false">(E8-E7)/E7</f>
        <v>0</v>
      </c>
      <c r="G7" s="8" t="n">
        <v>1430894</v>
      </c>
      <c r="H7" s="23" t="n">
        <f aca="false">(G8-G7)/G7</f>
        <v>0</v>
      </c>
      <c r="I7" s="8" t="n">
        <v>966942</v>
      </c>
      <c r="J7" s="23" t="n">
        <f aca="false">(I7-I8)/I7</f>
        <v>0</v>
      </c>
      <c r="K7" s="8" t="n">
        <v>525000</v>
      </c>
      <c r="L7" s="23" t="n">
        <f aca="false">(K8-K7)/K7</f>
        <v>0</v>
      </c>
      <c r="M7" s="8" t="n">
        <v>333333</v>
      </c>
      <c r="N7" s="23" t="n">
        <f aca="false">(M7-M8)/M7</f>
        <v>0</v>
      </c>
      <c r="O7" s="8" t="n">
        <v>750000</v>
      </c>
      <c r="P7" s="23" t="n">
        <f aca="false">(O7-O8)/O7</f>
        <v>0</v>
      </c>
      <c r="Q7" s="8" t="n">
        <v>666667</v>
      </c>
      <c r="R7" s="23" t="n">
        <f aca="false">(Q8-Q7)/Q7</f>
        <v>0</v>
      </c>
      <c r="S7" s="9" t="n">
        <f aca="false">SUM(C7:Q7)</f>
        <v>7369804.69999985</v>
      </c>
    </row>
    <row r="8" customFormat="false" ht="15" hidden="false" customHeight="true" outlineLevel="0" collapsed="false">
      <c r="A8" s="6" t="n">
        <v>45231</v>
      </c>
      <c r="B8" s="7" t="s">
        <v>10</v>
      </c>
      <c r="C8" s="8" t="n">
        <v>1772727</v>
      </c>
      <c r="D8" s="23" t="n">
        <f aca="false">(C8-C9)/C8</f>
        <v>-0.076923293885635</v>
      </c>
      <c r="E8" s="8" t="n">
        <v>1333333</v>
      </c>
      <c r="F8" s="23" t="n">
        <f aca="false">(E9-E8)/E8</f>
        <v>0</v>
      </c>
      <c r="G8" s="8" t="n">
        <v>1430894</v>
      </c>
      <c r="H8" s="23" t="n">
        <f aca="false">(G9-G8)/G8</f>
        <v>0</v>
      </c>
      <c r="I8" s="8" t="n">
        <v>966942</v>
      </c>
      <c r="J8" s="23" t="n">
        <f aca="false">(I8-I9)/I8</f>
        <v>-0.444444444444444</v>
      </c>
      <c r="K8" s="8" t="n">
        <v>525000</v>
      </c>
      <c r="L8" s="23" t="n">
        <f aca="false">(K9-K8)/K8</f>
        <v>0.857142857142857</v>
      </c>
      <c r="M8" s="8" t="n">
        <v>333333</v>
      </c>
      <c r="N8" s="23" t="n">
        <f aca="false">(M8-M9)/M8</f>
        <v>0</v>
      </c>
      <c r="O8" s="8" t="n">
        <v>750000</v>
      </c>
      <c r="P8" s="23" t="n">
        <f aca="false">(O8-O9)/O8</f>
        <v>0</v>
      </c>
      <c r="Q8" s="8" t="n">
        <v>666667</v>
      </c>
      <c r="R8" s="23" t="n">
        <f aca="false">(Q9-Q8)/Q8</f>
        <v>0</v>
      </c>
      <c r="S8" s="9" t="n">
        <f aca="false">SUM(C8:Q8)</f>
        <v>7778896.33577512</v>
      </c>
    </row>
    <row r="9" customFormat="false" ht="15" hidden="false" customHeight="true" outlineLevel="0" collapsed="false">
      <c r="A9" s="6" t="n">
        <v>45261</v>
      </c>
      <c r="B9" s="7" t="s">
        <v>10</v>
      </c>
      <c r="C9" s="8" t="n">
        <v>1909091</v>
      </c>
      <c r="D9" s="23" t="n">
        <f aca="false">(C9-C10)/C9</f>
        <v>0.0714287585033925</v>
      </c>
      <c r="E9" s="8" t="n">
        <v>1333333</v>
      </c>
      <c r="F9" s="23" t="n">
        <f aca="false">(E10-E9)/E9</f>
        <v>0</v>
      </c>
      <c r="G9" s="8" t="n">
        <v>1430894</v>
      </c>
      <c r="H9" s="23" t="n">
        <f aca="false">(G10-G9)/G9</f>
        <v>0</v>
      </c>
      <c r="I9" s="8" t="n">
        <v>1396694</v>
      </c>
      <c r="J9" s="23" t="n">
        <f aca="false">(I9-I10)/I9</f>
        <v>0.230769230769231</v>
      </c>
      <c r="K9" s="8" t="n">
        <v>975000</v>
      </c>
      <c r="L9" s="23" t="n">
        <f aca="false">(K10-K9)/K9</f>
        <v>0.0769230769230769</v>
      </c>
      <c r="M9" s="8" t="n">
        <v>333333</v>
      </c>
      <c r="N9" s="23" t="n">
        <f aca="false">(M9-M10)/M9</f>
        <v>0</v>
      </c>
      <c r="O9" s="8" t="n">
        <v>750000</v>
      </c>
      <c r="P9" s="23" t="n">
        <f aca="false">(O9-O10)/O9</f>
        <v>0</v>
      </c>
      <c r="Q9" s="8" t="n">
        <v>666667</v>
      </c>
      <c r="R9" s="23" t="n">
        <f aca="false">(Q10-Q9)/Q9</f>
        <v>0</v>
      </c>
      <c r="S9" s="9" t="n">
        <f aca="false">SUM(C9:Q9)</f>
        <v>8795012.37912107</v>
      </c>
    </row>
    <row r="10" customFormat="false" ht="15" hidden="false" customHeight="true" outlineLevel="0" collapsed="false">
      <c r="A10" s="6" t="n">
        <v>45292</v>
      </c>
      <c r="B10" s="7" t="s">
        <v>10</v>
      </c>
      <c r="C10" s="8" t="n">
        <v>1772727</v>
      </c>
      <c r="D10" s="23" t="n">
        <f aca="false">(C10-C11)/C10</f>
        <v>0.153846023668619</v>
      </c>
      <c r="E10" s="8" t="n">
        <v>1333333</v>
      </c>
      <c r="F10" s="23" t="n">
        <f aca="false">(E11-E10)/E10</f>
        <v>0</v>
      </c>
      <c r="G10" s="8" t="n">
        <v>1430894</v>
      </c>
      <c r="H10" s="23" t="n">
        <f aca="false">(G11-G10)/G10</f>
        <v>0</v>
      </c>
      <c r="I10" s="8" t="n">
        <v>1074380</v>
      </c>
      <c r="J10" s="23" t="n">
        <f aca="false">(I10-I11)/I10</f>
        <v>0.1</v>
      </c>
      <c r="K10" s="8" t="n">
        <v>1050000</v>
      </c>
      <c r="L10" s="23" t="n">
        <f aca="false">(K11-K10)/K10</f>
        <v>-0.0714285714285714</v>
      </c>
      <c r="M10" s="8" t="n">
        <v>333333</v>
      </c>
      <c r="N10" s="23" t="n">
        <f aca="false">(M10-M11)/M10</f>
        <v>-2.75000375000375</v>
      </c>
      <c r="O10" s="8" t="n">
        <v>750000</v>
      </c>
      <c r="P10" s="23" t="n">
        <f aca="false">(O10-O11)/O10</f>
        <v>0</v>
      </c>
      <c r="Q10" s="8" t="n">
        <v>666667</v>
      </c>
      <c r="R10" s="23" t="n">
        <f aca="false">(Q11-Q10)/Q10</f>
        <v>0</v>
      </c>
      <c r="S10" s="9" t="n">
        <f aca="false">SUM(C10:Q10)</f>
        <v>8411331.4324137</v>
      </c>
    </row>
    <row r="11" customFormat="false" ht="15" hidden="false" customHeight="true" outlineLevel="0" collapsed="false">
      <c r="A11" s="6" t="n">
        <v>45323</v>
      </c>
      <c r="B11" s="7" t="s">
        <v>10</v>
      </c>
      <c r="C11" s="8" t="n">
        <v>1500000</v>
      </c>
      <c r="D11" s="23" t="n">
        <f aca="false">(C11-C12)/C11</f>
        <v>0.181818</v>
      </c>
      <c r="E11" s="8" t="n">
        <v>1333333</v>
      </c>
      <c r="F11" s="23" t="n">
        <f aca="false">(E12-E11)/E11</f>
        <v>0</v>
      </c>
      <c r="G11" s="8" t="n">
        <v>1430894</v>
      </c>
      <c r="H11" s="23" t="n">
        <f aca="false">(G12-G11)/G11</f>
        <v>0.125000174715947</v>
      </c>
      <c r="I11" s="8" t="n">
        <v>966942</v>
      </c>
      <c r="J11" s="23" t="n">
        <f aca="false">(I11-I12)/I11</f>
        <v>0</v>
      </c>
      <c r="K11" s="8" t="n">
        <v>975000</v>
      </c>
      <c r="L11" s="23" t="n">
        <f aca="false">(K12-K11)/K11</f>
        <v>-0.307692307692308</v>
      </c>
      <c r="M11" s="8" t="n">
        <v>1250000</v>
      </c>
      <c r="N11" s="23" t="n">
        <f aca="false">(M11-M12)/M11</f>
        <v>0.7333336</v>
      </c>
      <c r="O11" s="8" t="n">
        <v>750000</v>
      </c>
      <c r="P11" s="23" t="n">
        <f aca="false">(O11-O12)/O11</f>
        <v>0</v>
      </c>
      <c r="Q11" s="8" t="n">
        <v>666667</v>
      </c>
      <c r="R11" s="23" t="n">
        <f aca="false">(Q12-Q11)/Q11</f>
        <v>0</v>
      </c>
      <c r="S11" s="9" t="n">
        <f aca="false">SUM(C11:Q11)</f>
        <v>8872836.73245947</v>
      </c>
    </row>
    <row r="12" customFormat="false" ht="15" hidden="false" customHeight="true" outlineLevel="0" collapsed="false">
      <c r="A12" s="6" t="n">
        <v>45352</v>
      </c>
      <c r="B12" s="7" t="s">
        <v>10</v>
      </c>
      <c r="C12" s="8" t="n">
        <v>1227273</v>
      </c>
      <c r="D12" s="23" t="n">
        <f aca="false">(C12-C13)/C12</f>
        <v>0.222222765431978</v>
      </c>
      <c r="E12" s="8" t="n">
        <v>1333333</v>
      </c>
      <c r="F12" s="23" t="n">
        <f aca="false">(E13-E12)/E12</f>
        <v>0</v>
      </c>
      <c r="G12" s="8" t="n">
        <v>1609756</v>
      </c>
      <c r="H12" s="23" t="n">
        <f aca="false">(G13-G12)/G12</f>
        <v>0</v>
      </c>
      <c r="I12" s="8" t="n">
        <v>966942</v>
      </c>
      <c r="J12" s="23" t="n">
        <f aca="false">(I12-I13)/I12</f>
        <v>0</v>
      </c>
      <c r="K12" s="8" t="n">
        <v>675000</v>
      </c>
      <c r="L12" s="23" t="n">
        <f aca="false">(K13-K12)/K12</f>
        <v>-0.222222222222222</v>
      </c>
      <c r="M12" s="8" t="n">
        <v>333333</v>
      </c>
      <c r="N12" s="23" t="n">
        <f aca="false">(M12-M13)/M12</f>
        <v>0</v>
      </c>
      <c r="O12" s="8" t="n">
        <v>750000</v>
      </c>
      <c r="P12" s="23" t="n">
        <f aca="false">(O12-O13)/O12</f>
        <v>0</v>
      </c>
      <c r="Q12" s="8" t="n">
        <v>666667</v>
      </c>
      <c r="R12" s="23" t="n">
        <f aca="false">(Q13-Q12)/Q12</f>
        <v>0</v>
      </c>
      <c r="S12" s="9" t="n">
        <f aca="false">SUM(C12:Q12)</f>
        <v>7562304.00000054</v>
      </c>
    </row>
    <row r="13" customFormat="false" ht="15" hidden="false" customHeight="true" outlineLevel="0" collapsed="false">
      <c r="A13" s="6" t="n">
        <v>45383</v>
      </c>
      <c r="B13" s="7" t="s">
        <v>10</v>
      </c>
      <c r="C13" s="8" t="n">
        <v>954545</v>
      </c>
      <c r="D13" s="23" t="n">
        <f aca="false">(C13-C14)/C13</f>
        <v>0.142856544217402</v>
      </c>
      <c r="E13" s="8" t="n">
        <v>1333333</v>
      </c>
      <c r="F13" s="23" t="n">
        <f aca="false">(E14-E13)/E13</f>
        <v>0</v>
      </c>
      <c r="G13" s="8" t="n">
        <v>1609756</v>
      </c>
      <c r="H13" s="23" t="n">
        <f aca="false">(G14-G13)/G13</f>
        <v>0.222222498316515</v>
      </c>
      <c r="I13" s="8" t="n">
        <v>966942</v>
      </c>
      <c r="J13" s="23" t="n">
        <f aca="false">(I13-I14)/I13</f>
        <v>0</v>
      </c>
      <c r="K13" s="8" t="n">
        <v>525000</v>
      </c>
      <c r="L13" s="23" t="n">
        <f aca="false">(K14-K13)/K13</f>
        <v>-0.142857142857143</v>
      </c>
      <c r="M13" s="8" t="n">
        <v>333333</v>
      </c>
      <c r="N13" s="23" t="n">
        <f aca="false">(M13-M14)/M13</f>
        <v>0</v>
      </c>
      <c r="O13" s="8" t="n">
        <v>750000</v>
      </c>
      <c r="P13" s="23" t="n">
        <f aca="false">(O13-O14)/O13</f>
        <v>0</v>
      </c>
      <c r="Q13" s="8" t="n">
        <v>666667</v>
      </c>
      <c r="R13" s="23" t="n">
        <f aca="false">(Q14-Q13)/Q13</f>
        <v>0</v>
      </c>
      <c r="S13" s="9" t="n">
        <f aca="false">SUM(C13:Q13)</f>
        <v>7139576.2222219</v>
      </c>
    </row>
    <row r="14" customFormat="false" ht="15" hidden="false" customHeight="true" outlineLevel="0" collapsed="false">
      <c r="A14" s="6" t="n">
        <v>45413</v>
      </c>
      <c r="B14" s="7" t="s">
        <v>10</v>
      </c>
      <c r="C14" s="8" t="n">
        <v>818182</v>
      </c>
      <c r="D14" s="23" t="n">
        <f aca="false">(C14-C15)/C14</f>
        <v>0</v>
      </c>
      <c r="E14" s="8" t="n">
        <v>1333333</v>
      </c>
      <c r="F14" s="23" t="n">
        <f aca="false">(E15-E14)/E14</f>
        <v>0</v>
      </c>
      <c r="G14" s="8" t="n">
        <v>1967480</v>
      </c>
      <c r="H14" s="23" t="n">
        <f aca="false">(G15-G14)/G14</f>
        <v>0.27272704169801</v>
      </c>
      <c r="I14" s="8" t="n">
        <v>966942</v>
      </c>
      <c r="J14" s="23" t="n">
        <f aca="false">(I14-I15)/I14</f>
        <v>-0.111111111111111</v>
      </c>
      <c r="K14" s="8" t="n">
        <v>450000</v>
      </c>
      <c r="L14" s="23" t="n">
        <f aca="false">(K15-K14)/K14</f>
        <v>0</v>
      </c>
      <c r="M14" s="8" t="n">
        <v>333333</v>
      </c>
      <c r="N14" s="23" t="n">
        <f aca="false">(M14-M15)/M14</f>
        <v>0</v>
      </c>
      <c r="O14" s="8" t="n">
        <v>750000</v>
      </c>
      <c r="P14" s="23" t="n">
        <f aca="false">(O14-O15)/O14</f>
        <v>0</v>
      </c>
      <c r="Q14" s="8" t="n">
        <v>666667</v>
      </c>
      <c r="R14" s="23" t="n">
        <f aca="false">(Q15-Q14)/Q14</f>
        <v>0</v>
      </c>
      <c r="S14" s="9" t="n">
        <f aca="false">SUM(C14:Q14)</f>
        <v>7285937.16161593</v>
      </c>
    </row>
    <row r="15" customFormat="false" ht="15" hidden="false" customHeight="true" outlineLevel="0" collapsed="false">
      <c r="A15" s="6" t="n">
        <v>45444</v>
      </c>
      <c r="B15" s="7" t="s">
        <v>10</v>
      </c>
      <c r="C15" s="8" t="n">
        <v>818182</v>
      </c>
      <c r="D15" s="23" t="n">
        <f aca="false">(C15-C16)/C15</f>
        <v>0</v>
      </c>
      <c r="E15" s="8" t="n">
        <v>1333333</v>
      </c>
      <c r="F15" s="23" t="n">
        <f aca="false">(E16-E15)/E15</f>
        <v>0</v>
      </c>
      <c r="G15" s="8" t="n">
        <v>2504065</v>
      </c>
      <c r="H15" s="23" t="n">
        <f aca="false">(G16-G15)/G15</f>
        <v>0</v>
      </c>
      <c r="I15" s="8" t="n">
        <v>1074380</v>
      </c>
      <c r="J15" s="23" t="n">
        <f aca="false">(I15-I16)/I15</f>
        <v>0</v>
      </c>
      <c r="K15" s="8" t="n">
        <v>450000</v>
      </c>
      <c r="L15" s="23" t="n">
        <f aca="false">(K16-K15)/K15</f>
        <v>1.33333333333333</v>
      </c>
      <c r="M15" s="8" t="n">
        <v>333333</v>
      </c>
      <c r="N15" s="23" t="n">
        <f aca="false">(M15-M16)/M15</f>
        <v>-0.25000225000225</v>
      </c>
      <c r="O15" s="8" t="n">
        <v>750000</v>
      </c>
      <c r="P15" s="23" t="n">
        <f aca="false">(O15-O16)/O15</f>
        <v>0</v>
      </c>
      <c r="Q15" s="8" t="n">
        <v>666667</v>
      </c>
      <c r="R15" s="23" t="n">
        <f aca="false">(Q16-Q15)/Q15</f>
        <v>0</v>
      </c>
      <c r="S15" s="9" t="n">
        <f aca="false">SUM(C15:Q15)</f>
        <v>7929961.08333108</v>
      </c>
    </row>
    <row r="16" customFormat="false" ht="15" hidden="false" customHeight="true" outlineLevel="0" collapsed="false">
      <c r="A16" s="6" t="n">
        <v>45474</v>
      </c>
      <c r="B16" s="7" t="s">
        <v>10</v>
      </c>
      <c r="C16" s="8" t="n">
        <v>818182</v>
      </c>
      <c r="D16" s="23" t="n">
        <f aca="false">(C16-C17)/C16</f>
        <v>-0.259999608888976</v>
      </c>
      <c r="E16" s="8" t="n">
        <v>1333333</v>
      </c>
      <c r="F16" s="23" t="n">
        <f aca="false">(E17-E16)/E16</f>
        <v>0.0500002625000656</v>
      </c>
      <c r="G16" s="8" t="n">
        <v>2504065</v>
      </c>
      <c r="H16" s="23" t="n">
        <f aca="false">(G17-G16)/G16</f>
        <v>-0.0334416239195069</v>
      </c>
      <c r="I16" s="8" t="n">
        <v>1074380</v>
      </c>
      <c r="J16" s="23" t="n">
        <f aca="false">(I16-I17)/I16</f>
        <v>-0.443076937396452</v>
      </c>
      <c r="K16" s="8" t="n">
        <v>1050000</v>
      </c>
      <c r="L16" s="23" t="n">
        <f aca="false">(K17-K16)/K16</f>
        <v>0.180952380952381</v>
      </c>
      <c r="M16" s="8" t="n">
        <v>416667</v>
      </c>
      <c r="N16" s="23" t="n">
        <f aca="false">(M16-M17)/M16</f>
        <v>0.184000652799478</v>
      </c>
      <c r="O16" s="8" t="n">
        <v>750000</v>
      </c>
      <c r="P16" s="23" t="n">
        <f aca="false">(O16-O17)/O16</f>
        <v>-0.0333333333333333</v>
      </c>
      <c r="Q16" s="8" t="n">
        <v>666667</v>
      </c>
      <c r="R16" s="23" t="n">
        <f aca="false">(Q17-Q16)/Q16</f>
        <v>0.0249989875005063</v>
      </c>
      <c r="S16" s="9" t="n">
        <f aca="false">SUM(C16:Q16)</f>
        <v>8613293.64510179</v>
      </c>
    </row>
    <row r="17" customFormat="false" ht="15" hidden="false" customHeight="true" outlineLevel="0" collapsed="false">
      <c r="A17" s="6" t="n">
        <v>45505</v>
      </c>
      <c r="B17" s="7" t="s">
        <v>11</v>
      </c>
      <c r="C17" s="8" t="n">
        <v>1030909</v>
      </c>
      <c r="D17" s="23" t="n">
        <f aca="false">(C17-C18)/C17</f>
        <v>-0.142857420005064</v>
      </c>
      <c r="E17" s="8" t="n">
        <v>1400000</v>
      </c>
      <c r="F17" s="23" t="n">
        <f aca="false">(E18-E17)/E17</f>
        <v>0</v>
      </c>
      <c r="G17" s="8" t="n">
        <v>2420325</v>
      </c>
      <c r="H17" s="23" t="n">
        <f aca="false">(G18-G17)/G17</f>
        <v>0</v>
      </c>
      <c r="I17" s="8" t="n">
        <v>1550413</v>
      </c>
      <c r="J17" s="23" t="n">
        <f aca="false">(I17-I18)/I17</f>
        <v>0.285714193572938</v>
      </c>
      <c r="K17" s="8" t="n">
        <v>1240000</v>
      </c>
      <c r="L17" s="23" t="n">
        <f aca="false">(K18-K17)/K17</f>
        <v>-0.5</v>
      </c>
      <c r="M17" s="8" t="n">
        <v>340000</v>
      </c>
      <c r="N17" s="23" t="n">
        <f aca="false">(M17-M18)/M17</f>
        <v>0</v>
      </c>
      <c r="O17" s="8" t="n">
        <v>775000</v>
      </c>
      <c r="P17" s="23" t="n">
        <f aca="false">(O17-O18)/O17</f>
        <v>0</v>
      </c>
      <c r="Q17" s="8" t="n">
        <v>683333</v>
      </c>
      <c r="R17" s="23" t="n">
        <f aca="false">(Q18-Q17)/Q17</f>
        <v>0</v>
      </c>
      <c r="S17" s="9" t="n">
        <f aca="false">SUM(C17:Q17)</f>
        <v>9439979.64285677</v>
      </c>
    </row>
    <row r="18" customFormat="false" ht="15" hidden="false" customHeight="true" outlineLevel="0" collapsed="false">
      <c r="A18" s="6" t="n">
        <v>45536</v>
      </c>
      <c r="B18" s="7" t="s">
        <v>11</v>
      </c>
      <c r="C18" s="8" t="n">
        <v>1178182</v>
      </c>
      <c r="D18" s="23" t="n">
        <f aca="false">(C18-C19)/C18</f>
        <v>-0.249999575617349</v>
      </c>
      <c r="E18" s="8" t="n">
        <v>1400000</v>
      </c>
      <c r="F18" s="23" t="n">
        <f aca="false">(E19-E18)/E18</f>
        <v>0</v>
      </c>
      <c r="G18" s="8" t="n">
        <v>2420325</v>
      </c>
      <c r="H18" s="23" t="n">
        <f aca="false">(G19-G18)/G18</f>
        <v>-0.384615289269003</v>
      </c>
      <c r="I18" s="8" t="n">
        <v>1107438</v>
      </c>
      <c r="J18" s="23" t="n">
        <f aca="false">(I18-I19)/I18</f>
        <v>0.100000180597018</v>
      </c>
      <c r="K18" s="8" t="n">
        <v>620000</v>
      </c>
      <c r="L18" s="23" t="n">
        <f aca="false">(K19-K18)/K18</f>
        <v>-0.125</v>
      </c>
      <c r="M18" s="8" t="n">
        <v>340000</v>
      </c>
      <c r="N18" s="23" t="n">
        <f aca="false">(M18-M19)/M18</f>
        <v>0</v>
      </c>
      <c r="O18" s="8" t="n">
        <v>775000</v>
      </c>
      <c r="P18" s="23" t="n">
        <f aca="false">(O18-O19)/O18</f>
        <v>0</v>
      </c>
      <c r="Q18" s="8" t="n">
        <v>683333</v>
      </c>
      <c r="R18" s="23" t="n">
        <f aca="false">(Q19-Q18)/Q18</f>
        <v>0</v>
      </c>
      <c r="S18" s="9" t="n">
        <f aca="false">SUM(C18:Q18)</f>
        <v>8524277.34038532</v>
      </c>
    </row>
    <row r="19" customFormat="false" ht="15" hidden="false" customHeight="true" outlineLevel="0" collapsed="false">
      <c r="A19" s="6" t="n">
        <v>45566</v>
      </c>
      <c r="B19" s="7" t="s">
        <v>11</v>
      </c>
      <c r="C19" s="8" t="n">
        <v>1472727</v>
      </c>
      <c r="D19" s="23" t="n">
        <f aca="false">(C19-C20)/C19</f>
        <v>-0.299999932098753</v>
      </c>
      <c r="E19" s="8" t="n">
        <v>1400000</v>
      </c>
      <c r="F19" s="23" t="n">
        <f aca="false">(E20-E19)/E19</f>
        <v>0</v>
      </c>
      <c r="G19" s="8" t="n">
        <v>1489431</v>
      </c>
      <c r="H19" s="23" t="n">
        <f aca="false">(G20-G19)/G19</f>
        <v>0</v>
      </c>
      <c r="I19" s="8" t="n">
        <v>996694</v>
      </c>
      <c r="J19" s="23" t="n">
        <f aca="false">(I19-I20)/I19</f>
        <v>0</v>
      </c>
      <c r="K19" s="8" t="n">
        <v>542500</v>
      </c>
      <c r="L19" s="23" t="n">
        <f aca="false">(K20-K19)/K19</f>
        <v>0</v>
      </c>
      <c r="M19" s="8" t="n">
        <v>340000</v>
      </c>
      <c r="N19" s="23" t="n">
        <f aca="false">(M19-M20)/M19</f>
        <v>0</v>
      </c>
      <c r="O19" s="8" t="n">
        <v>775000</v>
      </c>
      <c r="P19" s="23" t="n">
        <f aca="false">(O19-O20)/O19</f>
        <v>0</v>
      </c>
      <c r="Q19" s="8" t="n">
        <v>683333</v>
      </c>
      <c r="R19" s="23" t="n">
        <f aca="false">(Q20-Q19)/Q19</f>
        <v>0</v>
      </c>
      <c r="S19" s="9" t="n">
        <f aca="false">SUM(C19:Q19)</f>
        <v>7699684.70000007</v>
      </c>
    </row>
    <row r="20" customFormat="false" ht="15" hidden="false" customHeight="true" outlineLevel="0" collapsed="false">
      <c r="A20" s="6" t="n">
        <v>45597</v>
      </c>
      <c r="B20" s="7" t="s">
        <v>11</v>
      </c>
      <c r="C20" s="8" t="n">
        <v>1914545</v>
      </c>
      <c r="D20" s="23" t="n">
        <f aca="false">(C20-C21)/C20</f>
        <v>-0.0769232376360963</v>
      </c>
      <c r="E20" s="8" t="n">
        <v>1400000</v>
      </c>
      <c r="F20" s="23" t="n">
        <f aca="false">(E21-E20)/E20</f>
        <v>0</v>
      </c>
      <c r="G20" s="8" t="n">
        <v>1489431</v>
      </c>
      <c r="H20" s="23" t="n">
        <f aca="false">(G21-G20)/G20</f>
        <v>0</v>
      </c>
      <c r="I20" s="8" t="n">
        <v>996694</v>
      </c>
      <c r="J20" s="23" t="n">
        <f aca="false">(I20-I21)/I20</f>
        <v>-0.444444332964782</v>
      </c>
      <c r="K20" s="8" t="n">
        <v>542500</v>
      </c>
      <c r="L20" s="23" t="n">
        <f aca="false">(K21-K20)/K20</f>
        <v>0.857142857142857</v>
      </c>
      <c r="M20" s="8" t="n">
        <v>340000</v>
      </c>
      <c r="N20" s="23" t="n">
        <f aca="false">(M20-M21)/M20</f>
        <v>0</v>
      </c>
      <c r="O20" s="8" t="n">
        <v>775000</v>
      </c>
      <c r="P20" s="23" t="n">
        <f aca="false">(O20-O21)/O20</f>
        <v>0</v>
      </c>
      <c r="Q20" s="8" t="n">
        <v>683333</v>
      </c>
      <c r="R20" s="23" t="n">
        <f aca="false">(Q21-Q20)/Q20</f>
        <v>0</v>
      </c>
      <c r="S20" s="9" t="n">
        <f aca="false">SUM(C20:Q20)</f>
        <v>8141503.33577529</v>
      </c>
    </row>
    <row r="21" customFormat="false" ht="15" hidden="false" customHeight="true" outlineLevel="0" collapsed="false">
      <c r="A21" s="6" t="n">
        <v>45627</v>
      </c>
      <c r="B21" s="7" t="s">
        <v>11</v>
      </c>
      <c r="C21" s="8" t="n">
        <v>2061818</v>
      </c>
      <c r="D21" s="23" t="n">
        <f aca="false">(C21-C22)/C21</f>
        <v>0.0714287100025318</v>
      </c>
      <c r="E21" s="8" t="n">
        <v>1400000</v>
      </c>
      <c r="F21" s="23" t="n">
        <f aca="false">(E22-E21)/E21</f>
        <v>0</v>
      </c>
      <c r="G21" s="8" t="n">
        <v>1489431</v>
      </c>
      <c r="H21" s="23" t="n">
        <f aca="false">(G22-G21)/G21</f>
        <v>0</v>
      </c>
      <c r="I21" s="8" t="n">
        <v>1439669</v>
      </c>
      <c r="J21" s="23" t="n">
        <f aca="false">(I21-I22)/I21</f>
        <v>0.23076901704489</v>
      </c>
      <c r="K21" s="8" t="n">
        <v>1007500</v>
      </c>
      <c r="L21" s="23" t="n">
        <f aca="false">(K22-K21)/K21</f>
        <v>0.0769230769230769</v>
      </c>
      <c r="M21" s="8" t="n">
        <v>340000</v>
      </c>
      <c r="N21" s="23" t="n">
        <f aca="false">(M21-M22)/M21</f>
        <v>0</v>
      </c>
      <c r="O21" s="8" t="n">
        <v>775000</v>
      </c>
      <c r="P21" s="23" t="n">
        <f aca="false">(O21-O22)/O21</f>
        <v>0</v>
      </c>
      <c r="Q21" s="8" t="n">
        <v>683333</v>
      </c>
      <c r="R21" s="23" t="n">
        <f aca="false">(Q22-Q21)/Q21</f>
        <v>0</v>
      </c>
      <c r="S21" s="9" t="n">
        <f aca="false">SUM(C21:Q21)</f>
        <v>9196751.3791208</v>
      </c>
    </row>
    <row r="22" customFormat="false" ht="15" hidden="false" customHeight="true" outlineLevel="0" collapsed="false">
      <c r="A22" s="6" t="n">
        <v>45658</v>
      </c>
      <c r="B22" s="7" t="s">
        <v>11</v>
      </c>
      <c r="C22" s="8" t="n">
        <v>1914545</v>
      </c>
      <c r="D22" s="23" t="n">
        <f aca="false">(C22-C23)/C22</f>
        <v>0.15384595295488</v>
      </c>
      <c r="E22" s="8" t="n">
        <v>1400000</v>
      </c>
      <c r="F22" s="23" t="n">
        <f aca="false">(E23-E22)/E22</f>
        <v>0</v>
      </c>
      <c r="G22" s="8" t="n">
        <v>1489431</v>
      </c>
      <c r="H22" s="23" t="n">
        <f aca="false">(G23-G22)/G22</f>
        <v>0</v>
      </c>
      <c r="I22" s="8" t="n">
        <v>1107438</v>
      </c>
      <c r="J22" s="23" t="n">
        <f aca="false">(I22-I23)/I22</f>
        <v>0.100000180597018</v>
      </c>
      <c r="K22" s="8" t="n">
        <v>1085000</v>
      </c>
      <c r="L22" s="23" t="n">
        <f aca="false">(K23-K22)/K22</f>
        <v>-0.0714285714285714</v>
      </c>
      <c r="M22" s="8" t="n">
        <v>340000</v>
      </c>
      <c r="N22" s="23" t="n">
        <f aca="false">(M22-M23)/M22</f>
        <v>-2.75</v>
      </c>
      <c r="O22" s="8" t="n">
        <v>775000</v>
      </c>
      <c r="P22" s="23" t="n">
        <f aca="false">(O22-O23)/O22</f>
        <v>0</v>
      </c>
      <c r="Q22" s="8" t="n">
        <v>683333</v>
      </c>
      <c r="R22" s="23" t="n">
        <f aca="false">(Q23-Q22)/Q22</f>
        <v>0</v>
      </c>
      <c r="S22" s="9" t="n">
        <f aca="false">SUM(C22:Q22)</f>
        <v>8794744.43241756</v>
      </c>
    </row>
    <row r="23" customFormat="false" ht="15" hidden="false" customHeight="true" outlineLevel="0" collapsed="false">
      <c r="A23" s="6" t="n">
        <v>45689</v>
      </c>
      <c r="B23" s="7" t="s">
        <v>11</v>
      </c>
      <c r="C23" s="8" t="n">
        <v>1620000</v>
      </c>
      <c r="D23" s="23" t="n">
        <f aca="false">(C23-C24)/C23</f>
        <v>0.181817901234568</v>
      </c>
      <c r="E23" s="8" t="n">
        <v>1400000</v>
      </c>
      <c r="F23" s="23" t="n">
        <f aca="false">(E24-E23)/E23</f>
        <v>0</v>
      </c>
      <c r="G23" s="8" t="n">
        <v>1489431</v>
      </c>
      <c r="H23" s="23" t="n">
        <f aca="false">(G24-G23)/G23</f>
        <v>0.125000083924667</v>
      </c>
      <c r="I23" s="8" t="n">
        <v>996694</v>
      </c>
      <c r="J23" s="23" t="n">
        <f aca="false">(I23-I24)/I23</f>
        <v>0</v>
      </c>
      <c r="K23" s="8" t="n">
        <v>1007500</v>
      </c>
      <c r="L23" s="23" t="n">
        <f aca="false">(K24-K23)/K23</f>
        <v>-0.307692307692308</v>
      </c>
      <c r="M23" s="8" t="n">
        <v>1275000</v>
      </c>
      <c r="N23" s="23" t="n">
        <f aca="false">(M23-M24)/M23</f>
        <v>0.733333333333333</v>
      </c>
      <c r="O23" s="8" t="n">
        <v>775000</v>
      </c>
      <c r="P23" s="23" t="n">
        <f aca="false">(O23-O24)/O23</f>
        <v>0</v>
      </c>
      <c r="Q23" s="8" t="n">
        <v>683333</v>
      </c>
      <c r="R23" s="23" t="n">
        <f aca="false">(Q24-Q23)/Q23</f>
        <v>0</v>
      </c>
      <c r="S23" s="9" t="n">
        <f aca="false">SUM(C23:Q23)</f>
        <v>9246958.73245901</v>
      </c>
    </row>
    <row r="24" customFormat="false" ht="15" hidden="false" customHeight="true" outlineLevel="0" collapsed="false">
      <c r="A24" s="6" t="n">
        <v>45717</v>
      </c>
      <c r="B24" s="7" t="s">
        <v>11</v>
      </c>
      <c r="C24" s="8" t="n">
        <v>1325455</v>
      </c>
      <c r="D24" s="23" t="n">
        <f aca="false">(C24-C25)/C24</f>
        <v>0.222222557536846</v>
      </c>
      <c r="E24" s="8" t="n">
        <v>1400000</v>
      </c>
      <c r="F24" s="23" t="n">
        <f aca="false">(E25-E24)/E24</f>
        <v>0</v>
      </c>
      <c r="G24" s="8" t="n">
        <v>1675610</v>
      </c>
      <c r="H24" s="23" t="n">
        <f aca="false">(G25-G24)/G24</f>
        <v>0</v>
      </c>
      <c r="I24" s="8" t="n">
        <v>996694</v>
      </c>
      <c r="J24" s="23" t="n">
        <f aca="false">(I24-I25)/I24</f>
        <v>0</v>
      </c>
      <c r="K24" s="8" t="n">
        <v>697500</v>
      </c>
      <c r="L24" s="23" t="n">
        <f aca="false">(K25-K24)/K24</f>
        <v>-0.222222222222222</v>
      </c>
      <c r="M24" s="8" t="n">
        <v>340000</v>
      </c>
      <c r="N24" s="23" t="n">
        <f aca="false">(M24-M25)/M24</f>
        <v>0</v>
      </c>
      <c r="O24" s="8" t="n">
        <v>775000</v>
      </c>
      <c r="P24" s="23" t="n">
        <f aca="false">(O24-O25)/O24</f>
        <v>0</v>
      </c>
      <c r="Q24" s="8" t="n">
        <v>683333</v>
      </c>
      <c r="R24" s="23" t="n">
        <f aca="false">(Q25-Q24)/Q24</f>
        <v>0</v>
      </c>
      <c r="S24" s="9" t="n">
        <f aca="false">SUM(C24:Q24)</f>
        <v>7893592.00000034</v>
      </c>
    </row>
    <row r="25" customFormat="false" ht="15" hidden="false" customHeight="true" outlineLevel="0" collapsed="false">
      <c r="A25" s="6" t="n">
        <v>45748</v>
      </c>
      <c r="B25" s="7" t="s">
        <v>11</v>
      </c>
      <c r="C25" s="8" t="n">
        <v>1030909</v>
      </c>
      <c r="D25" s="23" t="n">
        <f aca="false">(C25-C26)/C25</f>
        <v>0.142857420005064</v>
      </c>
      <c r="E25" s="8" t="n">
        <v>1400000</v>
      </c>
      <c r="F25" s="23" t="n">
        <f aca="false">(E26-E25)/E25</f>
        <v>0</v>
      </c>
      <c r="G25" s="8" t="n">
        <v>1675610</v>
      </c>
      <c r="H25" s="23" t="n">
        <f aca="false">(G26-G25)/G25</f>
        <v>0.222221758046323</v>
      </c>
      <c r="I25" s="8" t="n">
        <v>996694</v>
      </c>
      <c r="J25" s="23" t="n">
        <f aca="false">(I25-I26)/I25</f>
        <v>0</v>
      </c>
      <c r="K25" s="8" t="n">
        <v>542500</v>
      </c>
      <c r="L25" s="23" t="n">
        <f aca="false">(K26-K25)/K25</f>
        <v>-0.142857142857143</v>
      </c>
      <c r="M25" s="8" t="n">
        <v>340000</v>
      </c>
      <c r="N25" s="23" t="n">
        <f aca="false">(M25-M26)/M25</f>
        <v>0</v>
      </c>
      <c r="O25" s="8" t="n">
        <v>775000</v>
      </c>
      <c r="P25" s="23" t="n">
        <f aca="false">(O25-O26)/O25</f>
        <v>0</v>
      </c>
      <c r="Q25" s="8" t="n">
        <v>683333</v>
      </c>
      <c r="R25" s="23" t="n">
        <f aca="false">(Q26-Q25)/Q25</f>
        <v>0</v>
      </c>
      <c r="S25" s="9" t="n">
        <f aca="false">SUM(C25:Q25)</f>
        <v>7444046.22222204</v>
      </c>
    </row>
    <row r="26" customFormat="false" ht="15" hidden="false" customHeight="true" outlineLevel="0" collapsed="false">
      <c r="A26" s="6" t="n">
        <v>45778</v>
      </c>
      <c r="B26" s="7" t="s">
        <v>11</v>
      </c>
      <c r="C26" s="8" t="n">
        <v>883636</v>
      </c>
      <c r="D26" s="23" t="n">
        <f aca="false">(C26-C27)/C26</f>
        <v>0</v>
      </c>
      <c r="E26" s="8" t="n">
        <v>1400000</v>
      </c>
      <c r="F26" s="23" t="n">
        <f aca="false">(E27-E26)/E26</f>
        <v>0</v>
      </c>
      <c r="G26" s="8" t="n">
        <v>2047967</v>
      </c>
      <c r="H26" s="23" t="n">
        <f aca="false">(G27-G26)/G26</f>
        <v>0.272727539066792</v>
      </c>
      <c r="I26" s="8" t="n">
        <v>996694</v>
      </c>
      <c r="J26" s="23" t="n">
        <f aca="false">(I26-I27)/I26</f>
        <v>-0.111111334070437</v>
      </c>
      <c r="K26" s="8" t="n">
        <v>465000</v>
      </c>
      <c r="L26" s="23" t="n">
        <f aca="false">(K27-K26)/K26</f>
        <v>0</v>
      </c>
      <c r="M26" s="8" t="n">
        <v>340000</v>
      </c>
      <c r="N26" s="23" t="n">
        <f aca="false">(M26-M27)/M26</f>
        <v>0</v>
      </c>
      <c r="O26" s="8" t="n">
        <v>775000</v>
      </c>
      <c r="P26" s="23" t="n">
        <f aca="false">(O26-O27)/O26</f>
        <v>0</v>
      </c>
      <c r="Q26" s="8" t="n">
        <v>683333</v>
      </c>
      <c r="R26" s="23" t="n">
        <f aca="false">(Q27-Q26)/Q26</f>
        <v>0</v>
      </c>
      <c r="S26" s="9" t="n">
        <f aca="false">SUM(C26:Q26)</f>
        <v>7591630.16161621</v>
      </c>
    </row>
    <row r="27" customFormat="false" ht="15" hidden="false" customHeight="true" outlineLevel="0" collapsed="false">
      <c r="A27" s="6" t="n">
        <v>45809</v>
      </c>
      <c r="B27" s="7" t="s">
        <v>11</v>
      </c>
      <c r="C27" s="8" t="n">
        <v>883636</v>
      </c>
      <c r="D27" s="23" t="n">
        <f aca="false">(C27-C28)/C27</f>
        <v>0</v>
      </c>
      <c r="E27" s="8" t="n">
        <v>1400000</v>
      </c>
      <c r="F27" s="23" t="n">
        <f aca="false">(E28-E27)/E27</f>
        <v>0</v>
      </c>
      <c r="G27" s="8" t="n">
        <v>2606504</v>
      </c>
      <c r="H27" s="23" t="n">
        <f aca="false">(G28-G27)/G27</f>
        <v>0</v>
      </c>
      <c r="I27" s="8" t="n">
        <v>1107438</v>
      </c>
      <c r="J27" s="23" t="n">
        <f aca="false">(I27-I28)/I27</f>
        <v>0</v>
      </c>
      <c r="K27" s="8" t="n">
        <v>465000</v>
      </c>
      <c r="L27" s="23" t="n">
        <f aca="false">(K28-K27)/K27</f>
        <v>1.33333333333333</v>
      </c>
      <c r="M27" s="8" t="n">
        <v>340000</v>
      </c>
      <c r="N27" s="23" t="n">
        <f aca="false">(M27-M28)/M27</f>
        <v>-0.25</v>
      </c>
      <c r="O27" s="8" t="n">
        <v>775000</v>
      </c>
      <c r="P27" s="23" t="n">
        <f aca="false">(O27-O28)/O27</f>
        <v>0</v>
      </c>
      <c r="Q27" s="8" t="n">
        <v>683333</v>
      </c>
      <c r="R27" s="23" t="n">
        <f aca="false">(Q28-Q27)/Q27</f>
        <v>0</v>
      </c>
      <c r="S27" s="9" t="n">
        <f aca="false">SUM(C27:Q27)</f>
        <v>8260912.08333333</v>
      </c>
    </row>
    <row r="28" customFormat="false" ht="15" hidden="false" customHeight="true" outlineLevel="0" collapsed="false">
      <c r="A28" s="6" t="n">
        <v>45839</v>
      </c>
      <c r="B28" s="7" t="s">
        <v>11</v>
      </c>
      <c r="C28" s="8" t="n">
        <v>883636</v>
      </c>
      <c r="D28" s="23" t="n">
        <f aca="false">(C28-C29)/C28</f>
        <v>-0.260288172958096</v>
      </c>
      <c r="E28" s="8" t="n">
        <v>1400000</v>
      </c>
      <c r="F28" s="23" t="n">
        <f aca="false">(E29-E28)/E28</f>
        <v>0.0476192857142857</v>
      </c>
      <c r="G28" s="8" t="n">
        <v>2606504</v>
      </c>
      <c r="H28" s="23" t="n">
        <f aca="false">(G29-G28)/G28</f>
        <v>-0.0349345329989902</v>
      </c>
      <c r="I28" s="8" t="n">
        <v>1107438</v>
      </c>
      <c r="J28" s="23" t="n">
        <f aca="false">(I28-I29)/I28</f>
        <v>-0.441790872265535</v>
      </c>
      <c r="K28" s="8" t="n">
        <v>1085000</v>
      </c>
      <c r="L28" s="23" t="n">
        <f aca="false">(K29-K28)/K28</f>
        <v>0.179723502304147</v>
      </c>
      <c r="M28" s="8" t="n">
        <v>425000</v>
      </c>
      <c r="N28" s="23" t="n">
        <f aca="false">(M28-M29)/M28</f>
        <v>0.184312941176471</v>
      </c>
      <c r="O28" s="8" t="n">
        <v>775000</v>
      </c>
      <c r="P28" s="23" t="n">
        <f aca="false">(O28-O29)/O28</f>
        <v>-0.032258064516129</v>
      </c>
      <c r="Q28" s="8" t="n">
        <v>683333</v>
      </c>
      <c r="R28" s="23" t="n">
        <f aca="false">(Q29-Q28)/Q28</f>
        <v>0.0243907436052408</v>
      </c>
      <c r="S28" s="9" t="n">
        <f aca="false">SUM(C28:Q28)</f>
        <v>8965910.64238409</v>
      </c>
    </row>
    <row r="29" customFormat="false" ht="15" hidden="false" customHeight="true" outlineLevel="0" collapsed="false">
      <c r="A29" s="6" t="n">
        <v>45870</v>
      </c>
      <c r="B29" s="7" t="s">
        <v>12</v>
      </c>
      <c r="C29" s="8" t="n">
        <v>1113636</v>
      </c>
      <c r="D29" s="23" t="n">
        <f aca="false">(C29-C30)/C29</f>
        <v>-0.142857271137068</v>
      </c>
      <c r="E29" s="8" t="n">
        <v>1466667</v>
      </c>
      <c r="F29" s="23" t="n">
        <f aca="false">(E30-E29)/E29</f>
        <v>0</v>
      </c>
      <c r="G29" s="8" t="n">
        <v>2515447</v>
      </c>
      <c r="H29" s="23" t="n">
        <f aca="false">(G30-G29)/G29</f>
        <v>0</v>
      </c>
      <c r="I29" s="8" t="n">
        <v>1596694</v>
      </c>
      <c r="J29" s="23" t="n">
        <f aca="false">(I29-I30)/I29</f>
        <v>0.28571410677312</v>
      </c>
      <c r="K29" s="8" t="n">
        <v>1280000</v>
      </c>
      <c r="L29" s="23" t="n">
        <f aca="false">(K30-K29)/K29</f>
        <v>-0.5</v>
      </c>
      <c r="M29" s="8" t="n">
        <v>346667</v>
      </c>
      <c r="N29" s="23" t="n">
        <f aca="false">(M29-M30)/M29</f>
        <v>0</v>
      </c>
      <c r="O29" s="8" t="n">
        <v>800000</v>
      </c>
      <c r="P29" s="23" t="n">
        <f aca="false">(O29-O30)/O29</f>
        <v>0</v>
      </c>
      <c r="Q29" s="8" t="n">
        <v>700000</v>
      </c>
      <c r="R29" s="23" t="n">
        <f aca="false">(Q30-Q29)/Q29</f>
        <v>0</v>
      </c>
      <c r="S29" s="9" t="n">
        <f aca="false">SUM(C29:Q29)</f>
        <v>9819110.64285684</v>
      </c>
    </row>
    <row r="30" customFormat="false" ht="15" hidden="false" customHeight="true" outlineLevel="0" collapsed="false">
      <c r="A30" s="6" t="n">
        <v>45901</v>
      </c>
      <c r="B30" s="7" t="s">
        <v>12</v>
      </c>
      <c r="C30" s="8" t="n">
        <v>1272727</v>
      </c>
      <c r="D30" s="23" t="n">
        <f aca="false">(C30-C31)/C30</f>
        <v>-0.250000196428614</v>
      </c>
      <c r="E30" s="8" t="n">
        <v>1466667</v>
      </c>
      <c r="F30" s="23" t="n">
        <f aca="false">(E31-E30)/E30</f>
        <v>0</v>
      </c>
      <c r="G30" s="8" t="n">
        <v>2515447</v>
      </c>
      <c r="H30" s="23" t="n">
        <f aca="false">(G31-G30)/G30</f>
        <v>-0.384615537516791</v>
      </c>
      <c r="I30" s="8" t="n">
        <v>1140496</v>
      </c>
      <c r="J30" s="23" t="n">
        <f aca="false">(I30-I31)/I30</f>
        <v>0.100000350724597</v>
      </c>
      <c r="K30" s="8" t="n">
        <v>640000</v>
      </c>
      <c r="L30" s="23" t="n">
        <f aca="false">(K31-K30)/K30</f>
        <v>-0.125</v>
      </c>
      <c r="M30" s="8" t="n">
        <v>346667</v>
      </c>
      <c r="N30" s="23" t="n">
        <f aca="false">(M30-M31)/M30</f>
        <v>0</v>
      </c>
      <c r="O30" s="8" t="n">
        <v>800000</v>
      </c>
      <c r="P30" s="23" t="n">
        <f aca="false">(O30-O31)/O30</f>
        <v>0</v>
      </c>
      <c r="Q30" s="8" t="n">
        <v>700000</v>
      </c>
      <c r="R30" s="23" t="n">
        <f aca="false">(Q31-Q30)/Q30</f>
        <v>0</v>
      </c>
      <c r="S30" s="9" t="n">
        <f aca="false">SUM(C30:Q30)</f>
        <v>8882003.34038462</v>
      </c>
    </row>
    <row r="31" customFormat="false" ht="15" hidden="false" customHeight="true" outlineLevel="0" collapsed="false">
      <c r="A31" s="6" t="n">
        <v>45931</v>
      </c>
      <c r="B31" s="7" t="s">
        <v>12</v>
      </c>
      <c r="C31" s="8" t="n">
        <v>1590909</v>
      </c>
      <c r="D31" s="23" t="n">
        <f aca="false">(C31-C32)/C31</f>
        <v>-0.300000188571439</v>
      </c>
      <c r="E31" s="8" t="n">
        <v>1466667</v>
      </c>
      <c r="F31" s="23" t="n">
        <f aca="false">(E32-E31)/E31</f>
        <v>0</v>
      </c>
      <c r="G31" s="8" t="n">
        <v>1547967</v>
      </c>
      <c r="H31" s="23" t="n">
        <f aca="false">(G32-G31)/G31</f>
        <v>0</v>
      </c>
      <c r="I31" s="8" t="n">
        <v>1026446</v>
      </c>
      <c r="J31" s="23" t="n">
        <f aca="false">(I31-I32)/I31</f>
        <v>0</v>
      </c>
      <c r="K31" s="8" t="n">
        <v>560000</v>
      </c>
      <c r="L31" s="23" t="n">
        <f aca="false">(K32-K31)/K31</f>
        <v>0</v>
      </c>
      <c r="M31" s="8" t="n">
        <v>346667</v>
      </c>
      <c r="N31" s="23" t="n">
        <f aca="false">(M31-M32)/M31</f>
        <v>0</v>
      </c>
      <c r="O31" s="8" t="n">
        <v>800000</v>
      </c>
      <c r="P31" s="23" t="n">
        <f aca="false">(O31-O32)/O31</f>
        <v>0</v>
      </c>
      <c r="Q31" s="8" t="n">
        <v>700000</v>
      </c>
      <c r="R31" s="23" t="n">
        <f aca="false">(Q32-Q31)/Q31</f>
        <v>0</v>
      </c>
      <c r="S31" s="9" t="n">
        <f aca="false">SUM(C31:Q31)</f>
        <v>8038655.69999981</v>
      </c>
    </row>
    <row r="32" customFormat="false" ht="15" hidden="false" customHeight="true" outlineLevel="0" collapsed="false">
      <c r="A32" s="6" t="n">
        <v>45962</v>
      </c>
      <c r="B32" s="7" t="s">
        <v>12</v>
      </c>
      <c r="C32" s="8" t="n">
        <v>2068182</v>
      </c>
      <c r="D32" s="23" t="n">
        <f aca="false">(C32-C33)/C32</f>
        <v>-0.0769231141166493</v>
      </c>
      <c r="E32" s="8" t="n">
        <v>1466667</v>
      </c>
      <c r="F32" s="23" t="n">
        <f aca="false">(E33-E32)/E32</f>
        <v>0</v>
      </c>
      <c r="G32" s="8" t="n">
        <v>1547967</v>
      </c>
      <c r="H32" s="23" t="n">
        <f aca="false">(G33-G32)/G32</f>
        <v>0</v>
      </c>
      <c r="I32" s="8" t="n">
        <v>1026446</v>
      </c>
      <c r="J32" s="23" t="n">
        <f aca="false">(I32-I33)/I32</f>
        <v>-0.444445202183067</v>
      </c>
      <c r="K32" s="8" t="n">
        <v>560000</v>
      </c>
      <c r="L32" s="23" t="n">
        <f aca="false">(K33-K32)/K32</f>
        <v>0.857142857142857</v>
      </c>
      <c r="M32" s="8" t="n">
        <v>346667</v>
      </c>
      <c r="N32" s="23" t="n">
        <f aca="false">(M32-M33)/M32</f>
        <v>0</v>
      </c>
      <c r="O32" s="8" t="n">
        <v>800000</v>
      </c>
      <c r="P32" s="23" t="n">
        <f aca="false">(O32-O33)/O32</f>
        <v>0</v>
      </c>
      <c r="Q32" s="8" t="n">
        <v>700000</v>
      </c>
      <c r="R32" s="23" t="n">
        <f aca="false">(Q33-Q32)/Q32</f>
        <v>0</v>
      </c>
      <c r="S32" s="9" t="n">
        <f aca="false">SUM(C32:Q32)</f>
        <v>8515929.33577454</v>
      </c>
    </row>
    <row r="33" customFormat="false" ht="15" hidden="false" customHeight="true" outlineLevel="0" collapsed="false">
      <c r="A33" s="6" t="n">
        <v>45992</v>
      </c>
      <c r="B33" s="7" t="s">
        <v>12</v>
      </c>
      <c r="C33" s="8" t="n">
        <v>2227273</v>
      </c>
      <c r="D33" s="23" t="n">
        <f aca="false">(C33-C34)/C33</f>
        <v>0.0714286034985383</v>
      </c>
      <c r="E33" s="8" t="n">
        <v>1466667</v>
      </c>
      <c r="F33" s="23" t="n">
        <f aca="false">(E34-E33)/E33</f>
        <v>0</v>
      </c>
      <c r="G33" s="8" t="n">
        <v>1547967</v>
      </c>
      <c r="H33" s="23" t="n">
        <f aca="false">(G34-G33)/G33</f>
        <v>0</v>
      </c>
      <c r="I33" s="8" t="n">
        <v>1482645</v>
      </c>
      <c r="J33" s="23" t="n">
        <f aca="false">(I33-I34)/I33</f>
        <v>0.23076933453389</v>
      </c>
      <c r="K33" s="8" t="n">
        <v>1040000</v>
      </c>
      <c r="L33" s="23" t="n">
        <f aca="false">(K34-K33)/K33</f>
        <v>0.0769230769230769</v>
      </c>
      <c r="M33" s="8" t="n">
        <v>346667</v>
      </c>
      <c r="N33" s="23" t="n">
        <f aca="false">(M33-M34)/M33</f>
        <v>0</v>
      </c>
      <c r="O33" s="8" t="n">
        <v>800000</v>
      </c>
      <c r="P33" s="23" t="n">
        <f aca="false">(O33-O34)/O33</f>
        <v>0</v>
      </c>
      <c r="Q33" s="8" t="n">
        <v>700000</v>
      </c>
      <c r="R33" s="23" t="n">
        <f aca="false">(Q34-Q33)/Q33</f>
        <v>0</v>
      </c>
      <c r="S33" s="9" t="n">
        <f aca="false">SUM(C33:Q33)</f>
        <v>9611219.37912102</v>
      </c>
    </row>
    <row r="34" customFormat="false" ht="15" hidden="false" customHeight="true" outlineLevel="0" collapsed="false">
      <c r="A34" s="6" t="n">
        <v>46023</v>
      </c>
      <c r="B34" s="7" t="s">
        <v>12</v>
      </c>
      <c r="C34" s="8" t="n">
        <v>2068182</v>
      </c>
      <c r="D34" s="23" t="n">
        <f aca="false">(C34-C35)/C34</f>
        <v>0.153846228233299</v>
      </c>
      <c r="E34" s="8" t="n">
        <v>1466667</v>
      </c>
      <c r="F34" s="23" t="n">
        <f aca="false">(E35-E34)/E34</f>
        <v>0</v>
      </c>
      <c r="G34" s="8" t="n">
        <v>1547967</v>
      </c>
      <c r="H34" s="23" t="n">
        <f aca="false">(G35-G34)/G34</f>
        <v>0</v>
      </c>
      <c r="I34" s="8" t="n">
        <v>1140496</v>
      </c>
      <c r="J34" s="23" t="n">
        <f aca="false">(I34-I35)/I34</f>
        <v>0.100000350724597</v>
      </c>
      <c r="K34" s="8" t="n">
        <v>1120000</v>
      </c>
      <c r="L34" s="23" t="n">
        <f aca="false">(K35-K34)/K34</f>
        <v>-0.0714285714285714</v>
      </c>
      <c r="M34" s="8" t="n">
        <v>346667</v>
      </c>
      <c r="N34" s="23" t="n">
        <f aca="false">(M34-M35)/M34</f>
        <v>-2.74999639423424</v>
      </c>
      <c r="O34" s="8" t="n">
        <v>800000</v>
      </c>
      <c r="P34" s="23" t="n">
        <f aca="false">(O34-O35)/O34</f>
        <v>0</v>
      </c>
      <c r="Q34" s="8" t="n">
        <v>700000</v>
      </c>
      <c r="R34" s="23" t="n">
        <f aca="false">(Q35-Q34)/Q34</f>
        <v>0</v>
      </c>
      <c r="S34" s="9" t="n">
        <f aca="false">SUM(C34:Q34)</f>
        <v>9189976.43242161</v>
      </c>
    </row>
    <row r="35" customFormat="false" ht="15" hidden="false" customHeight="true" outlineLevel="0" collapsed="false">
      <c r="A35" s="6" t="n">
        <v>46054</v>
      </c>
      <c r="B35" s="7" t="s">
        <v>12</v>
      </c>
      <c r="C35" s="8" t="n">
        <v>1750000</v>
      </c>
      <c r="D35" s="23" t="n">
        <f aca="false">(C35-C36)/C35</f>
        <v>0.181818285714286</v>
      </c>
      <c r="E35" s="8" t="n">
        <v>1466667</v>
      </c>
      <c r="F35" s="23" t="n">
        <f aca="false">(E36-E35)/E35</f>
        <v>0</v>
      </c>
      <c r="G35" s="8" t="n">
        <v>1547967</v>
      </c>
      <c r="H35" s="23" t="n">
        <f aca="false">(G36-G35)/G35</f>
        <v>0.125000080751075</v>
      </c>
      <c r="I35" s="8" t="n">
        <v>1026446</v>
      </c>
      <c r="J35" s="23" t="n">
        <f aca="false">(I35-I36)/I35</f>
        <v>0</v>
      </c>
      <c r="K35" s="8" t="n">
        <v>1040000</v>
      </c>
      <c r="L35" s="23" t="n">
        <f aca="false">(K36-K35)/K35</f>
        <v>-0.307692307692308</v>
      </c>
      <c r="M35" s="8" t="n">
        <v>1300000</v>
      </c>
      <c r="N35" s="23" t="n">
        <f aca="false">(M35-M36)/M35</f>
        <v>0.733333076923077</v>
      </c>
      <c r="O35" s="8" t="n">
        <v>800000</v>
      </c>
      <c r="P35" s="23" t="n">
        <f aca="false">(O35-O36)/O35</f>
        <v>0</v>
      </c>
      <c r="Q35" s="8" t="n">
        <v>700000</v>
      </c>
      <c r="R35" s="23" t="n">
        <f aca="false">(Q36-Q35)/Q35</f>
        <v>0</v>
      </c>
      <c r="S35" s="9" t="n">
        <f aca="false">SUM(C35:Q35)</f>
        <v>9631080.73245914</v>
      </c>
    </row>
    <row r="36" customFormat="false" ht="15" hidden="false" customHeight="true" outlineLevel="0" collapsed="false">
      <c r="A36" s="6" t="n">
        <v>46082</v>
      </c>
      <c r="B36" s="7" t="s">
        <v>12</v>
      </c>
      <c r="C36" s="8" t="n">
        <v>1431818</v>
      </c>
      <c r="D36" s="23" t="n">
        <f aca="false">(C36-C37)/C36</f>
        <v>0.222222377425064</v>
      </c>
      <c r="E36" s="8" t="n">
        <v>1466667</v>
      </c>
      <c r="F36" s="23" t="n">
        <f aca="false">(E37-E36)/E36</f>
        <v>0</v>
      </c>
      <c r="G36" s="8" t="n">
        <v>1741463</v>
      </c>
      <c r="H36" s="23" t="n">
        <f aca="false">(G37-G36)/G36</f>
        <v>0</v>
      </c>
      <c r="I36" s="8" t="n">
        <v>1026446</v>
      </c>
      <c r="J36" s="23" t="n">
        <f aca="false">(I36-I37)/I36</f>
        <v>0</v>
      </c>
      <c r="K36" s="8" t="n">
        <v>720000</v>
      </c>
      <c r="L36" s="23" t="n">
        <f aca="false">(K37-K36)/K36</f>
        <v>-0.222222222222222</v>
      </c>
      <c r="M36" s="8" t="n">
        <v>346667</v>
      </c>
      <c r="N36" s="23" t="n">
        <f aca="false">(M36-M37)/M36</f>
        <v>0</v>
      </c>
      <c r="O36" s="8" t="n">
        <v>800000</v>
      </c>
      <c r="P36" s="23" t="n">
        <f aca="false">(O36-O37)/O36</f>
        <v>0</v>
      </c>
      <c r="Q36" s="8" t="n">
        <v>700000</v>
      </c>
      <c r="R36" s="23" t="n">
        <f aca="false">(Q37-Q36)/Q36</f>
        <v>0</v>
      </c>
      <c r="S36" s="9" t="n">
        <f aca="false">SUM(C36:Q36)</f>
        <v>8233061.00000016</v>
      </c>
    </row>
    <row r="37" customFormat="false" ht="15" hidden="false" customHeight="true" outlineLevel="0" collapsed="false">
      <c r="A37" s="6" t="n">
        <v>46113</v>
      </c>
      <c r="B37" s="7" t="s">
        <v>12</v>
      </c>
      <c r="C37" s="8" t="n">
        <v>1113636</v>
      </c>
      <c r="D37" s="23" t="n">
        <f aca="false">(C37-C38)/C37</f>
        <v>0.142857271137068</v>
      </c>
      <c r="E37" s="8" t="n">
        <v>1466667</v>
      </c>
      <c r="F37" s="23" t="n">
        <f aca="false">(E38-E37)/E37</f>
        <v>0</v>
      </c>
      <c r="G37" s="8" t="n">
        <v>1741463</v>
      </c>
      <c r="H37" s="23" t="n">
        <f aca="false">(G38-G37)/G37</f>
        <v>0.222222349828851</v>
      </c>
      <c r="I37" s="8" t="n">
        <v>1026446</v>
      </c>
      <c r="J37" s="23" t="n">
        <f aca="false">(I37-I38)/I37</f>
        <v>0</v>
      </c>
      <c r="K37" s="8" t="n">
        <v>560000</v>
      </c>
      <c r="L37" s="23" t="n">
        <f aca="false">(K38-K37)/K37</f>
        <v>-0.142857142857143</v>
      </c>
      <c r="M37" s="8" t="n">
        <v>346667</v>
      </c>
      <c r="N37" s="23" t="n">
        <f aca="false">(M37-M38)/M37</f>
        <v>0</v>
      </c>
      <c r="O37" s="8" t="n">
        <v>800000</v>
      </c>
      <c r="P37" s="23" t="n">
        <f aca="false">(O37-O38)/O37</f>
        <v>0</v>
      </c>
      <c r="Q37" s="8" t="n">
        <v>700000</v>
      </c>
      <c r="R37" s="23" t="n">
        <f aca="false">(Q38-Q37)/Q37</f>
        <v>0</v>
      </c>
      <c r="S37" s="9" t="n">
        <f aca="false">SUM(C37:Q37)</f>
        <v>7754879.22222248</v>
      </c>
    </row>
    <row r="38" customFormat="false" ht="15" hidden="false" customHeight="true" outlineLevel="0" collapsed="false">
      <c r="A38" s="6" t="n">
        <v>46143</v>
      </c>
      <c r="B38" s="7" t="s">
        <v>12</v>
      </c>
      <c r="C38" s="8" t="n">
        <v>954545</v>
      </c>
      <c r="D38" s="23" t="n">
        <f aca="false">(C38-C39)/C38</f>
        <v>0</v>
      </c>
      <c r="E38" s="8" t="n">
        <v>1466667</v>
      </c>
      <c r="F38" s="23" t="n">
        <f aca="false">(E39-E38)/E38</f>
        <v>0</v>
      </c>
      <c r="G38" s="8" t="n">
        <v>2128455</v>
      </c>
      <c r="H38" s="23" t="n">
        <f aca="false">(G39-G38)/G38</f>
        <v>0.272727400861188</v>
      </c>
      <c r="I38" s="8" t="n">
        <v>1026446</v>
      </c>
      <c r="J38" s="23" t="n">
        <f aca="false">(I38-I39)/I38</f>
        <v>-0.11111154410461</v>
      </c>
      <c r="K38" s="8" t="n">
        <v>480000</v>
      </c>
      <c r="L38" s="23" t="n">
        <f aca="false">(K39-K38)/K38</f>
        <v>0</v>
      </c>
      <c r="M38" s="8" t="n">
        <v>346667</v>
      </c>
      <c r="N38" s="23" t="n">
        <f aca="false">(M38-M39)/M38</f>
        <v>0</v>
      </c>
      <c r="O38" s="8" t="n">
        <v>800000</v>
      </c>
      <c r="P38" s="23" t="n">
        <f aca="false">(O38-O39)/O38</f>
        <v>0</v>
      </c>
      <c r="Q38" s="8" t="n">
        <v>700000</v>
      </c>
      <c r="R38" s="23" t="n">
        <f aca="false">(Q39-Q38)/Q38</f>
        <v>0</v>
      </c>
      <c r="S38" s="9" t="n">
        <f aca="false">SUM(C38:Q38)</f>
        <v>7902780.16161586</v>
      </c>
    </row>
    <row r="39" customFormat="false" ht="15" hidden="false" customHeight="true" outlineLevel="0" collapsed="false">
      <c r="A39" s="6" t="n">
        <v>46174</v>
      </c>
      <c r="B39" s="7" t="s">
        <v>12</v>
      </c>
      <c r="C39" s="8" t="n">
        <v>954545</v>
      </c>
      <c r="D39" s="23" t="n">
        <f aca="false">(C39-C40)/C39</f>
        <v>0</v>
      </c>
      <c r="E39" s="8" t="n">
        <v>1466667</v>
      </c>
      <c r="F39" s="23" t="n">
        <f aca="false">(E40-E39)/E39</f>
        <v>0</v>
      </c>
      <c r="G39" s="8" t="n">
        <v>2708943</v>
      </c>
      <c r="H39" s="23" t="n">
        <f aca="false">(G40-G39)/G39</f>
        <v>0</v>
      </c>
      <c r="I39" s="8" t="n">
        <v>1140496</v>
      </c>
      <c r="J39" s="23" t="n">
        <f aca="false">(I39-I40)/I39</f>
        <v>0</v>
      </c>
      <c r="K39" s="8" t="n">
        <v>480000</v>
      </c>
      <c r="L39" s="23" t="n">
        <f aca="false">(K40-K39)/K39</f>
        <v>1.33333333333333</v>
      </c>
      <c r="M39" s="8" t="n">
        <v>346667</v>
      </c>
      <c r="N39" s="23" t="n">
        <f aca="false">(M39-M40)/M39</f>
        <v>-0.249997836540542</v>
      </c>
      <c r="O39" s="8" t="n">
        <v>800000</v>
      </c>
      <c r="P39" s="23" t="n">
        <f aca="false">(O39-O40)/O39</f>
        <v>0</v>
      </c>
      <c r="Q39" s="8" t="n">
        <v>700000</v>
      </c>
      <c r="R39" s="23" t="n">
        <f aca="false">(Q40-Q39)/Q39</f>
        <v>0</v>
      </c>
      <c r="S39" s="9" t="n">
        <f aca="false">SUM(C39:Q39)</f>
        <v>8597319.0833355</v>
      </c>
    </row>
    <row r="40" customFormat="false" ht="15" hidden="false" customHeight="true" outlineLevel="0" collapsed="false">
      <c r="A40" s="6" t="n">
        <v>46204</v>
      </c>
      <c r="B40" s="7" t="s">
        <v>12</v>
      </c>
      <c r="C40" s="8" t="n">
        <v>954545</v>
      </c>
      <c r="D40" s="23" t="n">
        <f aca="false">(C40-C41)/C40</f>
        <v>1</v>
      </c>
      <c r="E40" s="8" t="n">
        <v>1466667</v>
      </c>
      <c r="F40" s="23" t="n">
        <f aca="false">(E41-E40)/E40</f>
        <v>-1</v>
      </c>
      <c r="G40" s="8" t="n">
        <v>2708943</v>
      </c>
      <c r="H40" s="23" t="n">
        <f aca="false">(G41-G40)/G40</f>
        <v>-1</v>
      </c>
      <c r="I40" s="8" t="n">
        <v>1140496</v>
      </c>
      <c r="J40" s="23" t="n">
        <f aca="false">(I40-I41)/I40</f>
        <v>1</v>
      </c>
      <c r="K40" s="8" t="n">
        <v>1120000</v>
      </c>
      <c r="L40" s="23" t="n">
        <f aca="false">(K41-K40)/K40</f>
        <v>-1</v>
      </c>
      <c r="M40" s="8" t="n">
        <v>433333</v>
      </c>
      <c r="N40" s="23" t="n">
        <f aca="false">(M40-M41)/M40</f>
        <v>1</v>
      </c>
      <c r="O40" s="8" t="n">
        <v>800000</v>
      </c>
      <c r="P40" s="23" t="n">
        <f aca="false">(O40-O41)/O40</f>
        <v>1</v>
      </c>
      <c r="Q40" s="8" t="n">
        <v>700000</v>
      </c>
      <c r="R40" s="23" t="n">
        <f aca="false">(Q41-Q40)/Q40</f>
        <v>-1</v>
      </c>
      <c r="S40" s="9" t="n">
        <f aca="false">SUM(C40:Q40)</f>
        <v>9323985</v>
      </c>
    </row>
  </sheetData>
  <mergeCells count="2">
    <mergeCell ref="A1:S1"/>
    <mergeCell ref="A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E37" activeCellId="0" sqref="E37"/>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85"/>
    <col collapsed="false" customWidth="true" hidden="false" outlineLevel="0" max="4" min="3" style="1" width="17"/>
    <col collapsed="false" customWidth="true" hidden="false" outlineLevel="0" max="6" min="5" style="1" width="22"/>
    <col collapsed="false" customWidth="true" hidden="false" outlineLevel="0" max="7" min="7" style="1" width="15"/>
  </cols>
  <sheetData>
    <row r="1" customFormat="false" ht="21.75" hidden="false" customHeight="true" outlineLevel="0" collapsed="false">
      <c r="A1" s="16" t="s">
        <v>64</v>
      </c>
      <c r="B1" s="16"/>
      <c r="C1" s="16"/>
      <c r="D1" s="16"/>
      <c r="E1" s="16"/>
      <c r="F1" s="16"/>
      <c r="G1" s="16"/>
    </row>
    <row r="2" customFormat="false" ht="15.75" hidden="false" customHeight="true" outlineLevel="0" collapsed="false">
      <c r="A2" s="17"/>
      <c r="B2" s="17"/>
      <c r="C2" s="17"/>
      <c r="D2" s="17"/>
      <c r="E2" s="17"/>
      <c r="F2" s="17"/>
      <c r="G2" s="17"/>
    </row>
    <row r="4" customFormat="false" ht="30" hidden="false" customHeight="true" outlineLevel="0" collapsed="false">
      <c r="A4" s="4" t="s">
        <v>1</v>
      </c>
      <c r="B4" s="4" t="s">
        <v>2</v>
      </c>
      <c r="C4" s="4" t="s">
        <v>36</v>
      </c>
      <c r="D4" s="4" t="s">
        <v>43</v>
      </c>
      <c r="E4" s="4" t="s">
        <v>63</v>
      </c>
      <c r="F4" s="4" t="s">
        <v>65</v>
      </c>
      <c r="G4" s="4" t="s">
        <v>66</v>
      </c>
    </row>
    <row r="5" customFormat="false" ht="15" hidden="false" customHeight="true" outlineLevel="0" collapsed="false">
      <c r="A5" s="6" t="n">
        <v>45139</v>
      </c>
      <c r="B5" s="7" t="s">
        <v>10</v>
      </c>
      <c r="C5" s="8" t="n">
        <f aca="false">Income!M5</f>
        <v>16137179.3333333</v>
      </c>
      <c r="D5" s="8" t="n">
        <f aca="false">'Staff Costs'!E5</f>
        <v>15000000</v>
      </c>
      <c r="E5" s="8" t="n">
        <f aca="false">'Operating Expenditure'!S5</f>
        <v>9067212.6428567</v>
      </c>
      <c r="F5" s="9" t="n">
        <f aca="false">C5-D5-E5</f>
        <v>-7930033.30952336</v>
      </c>
      <c r="G5" s="18" t="n">
        <f aca="false">F5/C5</f>
        <v>-0.491413842885349</v>
      </c>
    </row>
    <row r="6" customFormat="false" ht="15" hidden="false" customHeight="true" outlineLevel="0" collapsed="false">
      <c r="A6" s="6" t="n">
        <v>45170</v>
      </c>
      <c r="B6" s="7" t="s">
        <v>10</v>
      </c>
      <c r="C6" s="8" t="n">
        <f aca="false">Income!M6</f>
        <v>33586576.6666667</v>
      </c>
      <c r="D6" s="8" t="n">
        <f aca="false">'Staff Costs'!E6</f>
        <v>15000000</v>
      </c>
      <c r="E6" s="8" t="n">
        <f aca="false">'Operating Expenditure'!S6</f>
        <v>8173824.34038478</v>
      </c>
      <c r="F6" s="9" t="n">
        <f aca="false">C6-D6-E6</f>
        <v>10412752.3262819</v>
      </c>
      <c r="G6" s="18" t="n">
        <f aca="false">F6/C6</f>
        <v>0.310027200140827</v>
      </c>
    </row>
    <row r="7" customFormat="false" ht="15" hidden="false" customHeight="true" outlineLevel="0" collapsed="false">
      <c r="A7" s="6" t="n">
        <v>45200</v>
      </c>
      <c r="B7" s="7" t="s">
        <v>10</v>
      </c>
      <c r="C7" s="8" t="n">
        <f aca="false">Income!M7</f>
        <v>30596785.6666667</v>
      </c>
      <c r="D7" s="8" t="n">
        <f aca="false">'Staff Costs'!E7</f>
        <v>15000000</v>
      </c>
      <c r="E7" s="8" t="n">
        <f aca="false">'Operating Expenditure'!S7</f>
        <v>7369804.69999985</v>
      </c>
      <c r="F7" s="9" t="n">
        <f aca="false">C7-D7-E7</f>
        <v>8226980.96666682</v>
      </c>
      <c r="G7" s="18" t="n">
        <f aca="false">F7/C7</f>
        <v>0.26888383166437</v>
      </c>
    </row>
    <row r="8" customFormat="false" ht="15" hidden="false" customHeight="true" outlineLevel="0" collapsed="false">
      <c r="A8" s="6" t="n">
        <v>45231</v>
      </c>
      <c r="B8" s="7" t="s">
        <v>10</v>
      </c>
      <c r="C8" s="8" t="n">
        <f aca="false">Income!M8</f>
        <v>30849617.1666667</v>
      </c>
      <c r="D8" s="8" t="n">
        <f aca="false">'Staff Costs'!E8</f>
        <v>15000000</v>
      </c>
      <c r="E8" s="8" t="n">
        <f aca="false">'Operating Expenditure'!S8</f>
        <v>7778896.33577512</v>
      </c>
      <c r="F8" s="9" t="n">
        <f aca="false">C8-D8-E8</f>
        <v>8070720.83089155</v>
      </c>
      <c r="G8" s="18" t="n">
        <f aca="false">F8/C8</f>
        <v>0.261614942814008</v>
      </c>
    </row>
    <row r="9" customFormat="false" ht="15" hidden="false" customHeight="true" outlineLevel="0" collapsed="false">
      <c r="A9" s="6" t="n">
        <v>45261</v>
      </c>
      <c r="B9" s="7" t="s">
        <v>10</v>
      </c>
      <c r="C9" s="8" t="n">
        <f aca="false">Income!M9</f>
        <v>25563597.8333333</v>
      </c>
      <c r="D9" s="8" t="n">
        <f aca="false">'Staff Costs'!E9</f>
        <v>15000000</v>
      </c>
      <c r="E9" s="8" t="n">
        <f aca="false">'Operating Expenditure'!S9</f>
        <v>8795012.37912107</v>
      </c>
      <c r="F9" s="9" t="n">
        <f aca="false">C9-D9-E9</f>
        <v>1768585.45421227</v>
      </c>
      <c r="G9" s="18" t="n">
        <f aca="false">F9/C9</f>
        <v>0.06918374579912</v>
      </c>
    </row>
    <row r="10" customFormat="false" ht="15" hidden="false" customHeight="true" outlineLevel="0" collapsed="false">
      <c r="A10" s="6" t="n">
        <v>45292</v>
      </c>
      <c r="B10" s="7" t="s">
        <v>10</v>
      </c>
      <c r="C10" s="8" t="n">
        <f aca="false">Income!M10</f>
        <v>24915014.5</v>
      </c>
      <c r="D10" s="8" t="n">
        <f aca="false">'Staff Costs'!E10</f>
        <v>15000000</v>
      </c>
      <c r="E10" s="8" t="n">
        <f aca="false">'Operating Expenditure'!S10</f>
        <v>8411331.4324137</v>
      </c>
      <c r="F10" s="9" t="n">
        <f aca="false">C10-D10-E10</f>
        <v>1503683.0675863</v>
      </c>
      <c r="G10" s="18" t="n">
        <f aca="false">F10/C10</f>
        <v>0.0603524861519265</v>
      </c>
    </row>
    <row r="11" customFormat="false" ht="15" hidden="false" customHeight="true" outlineLevel="0" collapsed="false">
      <c r="A11" s="6" t="n">
        <v>45323</v>
      </c>
      <c r="B11" s="7" t="s">
        <v>10</v>
      </c>
      <c r="C11" s="8" t="n">
        <f aca="false">Income!M11</f>
        <v>26575491.8333333</v>
      </c>
      <c r="D11" s="8" t="n">
        <f aca="false">'Staff Costs'!E11</f>
        <v>15000000</v>
      </c>
      <c r="E11" s="8" t="n">
        <f aca="false">'Operating Expenditure'!S11</f>
        <v>8872836.73245947</v>
      </c>
      <c r="F11" s="9" t="n">
        <f aca="false">C11-D11-E11</f>
        <v>2702655.10087387</v>
      </c>
      <c r="G11" s="18" t="n">
        <f aca="false">F11/C11</f>
        <v>0.10169727498642</v>
      </c>
    </row>
    <row r="12" customFormat="false" ht="15" hidden="false" customHeight="true" outlineLevel="0" collapsed="false">
      <c r="A12" s="6" t="n">
        <v>45352</v>
      </c>
      <c r="B12" s="7" t="s">
        <v>10</v>
      </c>
      <c r="C12" s="8" t="n">
        <f aca="false">Income!M12</f>
        <v>22199160.6666667</v>
      </c>
      <c r="D12" s="8" t="n">
        <f aca="false">'Staff Costs'!E12</f>
        <v>15000000</v>
      </c>
      <c r="E12" s="8" t="n">
        <f aca="false">'Operating Expenditure'!S12</f>
        <v>7562304.00000054</v>
      </c>
      <c r="F12" s="9" t="n">
        <f aca="false">C12-D12-E12</f>
        <v>-363143.333333875</v>
      </c>
      <c r="G12" s="18" t="n">
        <f aca="false">F12/C12</f>
        <v>-0.0163584262840692</v>
      </c>
    </row>
    <row r="13" customFormat="false" ht="15" hidden="false" customHeight="true" outlineLevel="0" collapsed="false">
      <c r="A13" s="6" t="n">
        <v>45383</v>
      </c>
      <c r="B13" s="7" t="s">
        <v>10</v>
      </c>
      <c r="C13" s="8" t="n">
        <f aca="false">Income!M13</f>
        <v>21101098.1666667</v>
      </c>
      <c r="D13" s="8" t="n">
        <f aca="false">'Staff Costs'!E13</f>
        <v>15000000</v>
      </c>
      <c r="E13" s="8" t="n">
        <f aca="false">'Operating Expenditure'!S13</f>
        <v>7139576.2222219</v>
      </c>
      <c r="F13" s="9" t="n">
        <f aca="false">C13-D13-E13</f>
        <v>-1038478.05555523</v>
      </c>
      <c r="G13" s="18" t="n">
        <f aca="false">F13/C13</f>
        <v>-0.0492144080536866</v>
      </c>
    </row>
    <row r="14" customFormat="false" ht="15" hidden="false" customHeight="true" outlineLevel="0" collapsed="false">
      <c r="A14" s="6" t="n">
        <v>45413</v>
      </c>
      <c r="B14" s="7" t="s">
        <v>10</v>
      </c>
      <c r="C14" s="8" t="n">
        <f aca="false">Income!M14</f>
        <v>22956887.3333333</v>
      </c>
      <c r="D14" s="8" t="n">
        <f aca="false">'Staff Costs'!E14</f>
        <v>15000000</v>
      </c>
      <c r="E14" s="8" t="n">
        <f aca="false">'Operating Expenditure'!S14</f>
        <v>7285937.16161593</v>
      </c>
      <c r="F14" s="9" t="n">
        <f aca="false">C14-D14-E14</f>
        <v>670950.171717402</v>
      </c>
      <c r="G14" s="18" t="n">
        <f aca="false">F14/C14</f>
        <v>0.0292265306692159</v>
      </c>
    </row>
    <row r="15" customFormat="false" ht="15" hidden="false" customHeight="true" outlineLevel="0" collapsed="false">
      <c r="A15" s="6" t="n">
        <v>45444</v>
      </c>
      <c r="B15" s="7" t="s">
        <v>10</v>
      </c>
      <c r="C15" s="8" t="n">
        <f aca="false">Income!M15</f>
        <v>18323410</v>
      </c>
      <c r="D15" s="8" t="n">
        <f aca="false">'Staff Costs'!E15</f>
        <v>15000000</v>
      </c>
      <c r="E15" s="8" t="n">
        <f aca="false">'Operating Expenditure'!S15</f>
        <v>7929961.08333108</v>
      </c>
      <c r="F15" s="9" t="n">
        <f aca="false">C15-D15-E15</f>
        <v>-4606551.08333108</v>
      </c>
      <c r="G15" s="18" t="n">
        <f aca="false">F15/C15</f>
        <v>-0.251402500043992</v>
      </c>
    </row>
    <row r="16" customFormat="false" ht="15" hidden="false" customHeight="true" outlineLevel="0" collapsed="false">
      <c r="A16" s="6" t="n">
        <v>45474</v>
      </c>
      <c r="B16" s="7" t="s">
        <v>10</v>
      </c>
      <c r="C16" s="8" t="n">
        <f aca="false">Income!M16</f>
        <v>15014868.3333333</v>
      </c>
      <c r="D16" s="8" t="n">
        <f aca="false">'Staff Costs'!E16</f>
        <v>15000000</v>
      </c>
      <c r="E16" s="8" t="n">
        <f aca="false">'Operating Expenditure'!S16</f>
        <v>8613293.64510179</v>
      </c>
      <c r="F16" s="9" t="n">
        <f aca="false">C16-D16-E16</f>
        <v>-8598425.31176846</v>
      </c>
      <c r="G16" s="18" t="n">
        <f aca="false">F16/C16</f>
        <v>-0.572660720086354</v>
      </c>
    </row>
    <row r="17" customFormat="false" ht="15" hidden="false" customHeight="true" outlineLevel="0" collapsed="false">
      <c r="A17" s="6" t="n">
        <v>45505</v>
      </c>
      <c r="B17" s="7" t="s">
        <v>11</v>
      </c>
      <c r="C17" s="8" t="n">
        <f aca="false">Income!M17</f>
        <v>17741850</v>
      </c>
      <c r="D17" s="8" t="n">
        <f aca="false">'Staff Costs'!E17</f>
        <v>15791667</v>
      </c>
      <c r="E17" s="8" t="n">
        <f aca="false">'Operating Expenditure'!S17</f>
        <v>9439979.64285677</v>
      </c>
      <c r="F17" s="9" t="n">
        <f aca="false">C17-D17-E17</f>
        <v>-7489796.64285677</v>
      </c>
      <c r="G17" s="18" t="n">
        <f aca="false">F17/C17</f>
        <v>-0.422154208431295</v>
      </c>
    </row>
    <row r="18" customFormat="false" ht="15" hidden="false" customHeight="true" outlineLevel="0" collapsed="false">
      <c r="A18" s="6" t="n">
        <v>45536</v>
      </c>
      <c r="B18" s="7" t="s">
        <v>11</v>
      </c>
      <c r="C18" s="8" t="n">
        <f aca="false">Income!M18</f>
        <v>36494771</v>
      </c>
      <c r="D18" s="8" t="n">
        <f aca="false">'Staff Costs'!E18</f>
        <v>15791667</v>
      </c>
      <c r="E18" s="8" t="n">
        <f aca="false">'Operating Expenditure'!S18</f>
        <v>8524277.34038532</v>
      </c>
      <c r="F18" s="9" t="n">
        <f aca="false">C18-D18-E18</f>
        <v>12178826.6596147</v>
      </c>
      <c r="G18" s="18" t="n">
        <f aca="false">F18/C18</f>
        <v>0.333714291825935</v>
      </c>
    </row>
    <row r="19" customFormat="false" ht="15" hidden="false" customHeight="true" outlineLevel="0" collapsed="false">
      <c r="A19" s="6" t="n">
        <v>45566</v>
      </c>
      <c r="B19" s="7" t="s">
        <v>11</v>
      </c>
      <c r="C19" s="8" t="n">
        <f aca="false">Income!M19</f>
        <v>33126575.8333333</v>
      </c>
      <c r="D19" s="8" t="n">
        <f aca="false">'Staff Costs'!E19</f>
        <v>15791667</v>
      </c>
      <c r="E19" s="8" t="n">
        <f aca="false">'Operating Expenditure'!S19</f>
        <v>7699684.70000007</v>
      </c>
      <c r="F19" s="9" t="n">
        <f aca="false">C19-D19-E19</f>
        <v>9635224.13333326</v>
      </c>
      <c r="G19" s="18" t="n">
        <f aca="false">F19/C19</f>
        <v>0.290860853889942</v>
      </c>
    </row>
    <row r="20" customFormat="false" ht="15" hidden="false" customHeight="true" outlineLevel="0" collapsed="false">
      <c r="A20" s="6" t="n">
        <v>45597</v>
      </c>
      <c r="B20" s="7" t="s">
        <v>11</v>
      </c>
      <c r="C20" s="8" t="n">
        <f aca="false">Income!M20</f>
        <v>32957417</v>
      </c>
      <c r="D20" s="8" t="n">
        <f aca="false">'Staff Costs'!E20</f>
        <v>15791667</v>
      </c>
      <c r="E20" s="8" t="n">
        <f aca="false">'Operating Expenditure'!S20</f>
        <v>8141503.33577529</v>
      </c>
      <c r="F20" s="9" t="n">
        <f aca="false">C20-D20-E20</f>
        <v>9024246.66422471</v>
      </c>
      <c r="G20" s="18" t="n">
        <f aca="false">F20/C20</f>
        <v>0.273815349795911</v>
      </c>
    </row>
    <row r="21" customFormat="false" ht="15" hidden="false" customHeight="true" outlineLevel="0" collapsed="false">
      <c r="A21" s="6" t="n">
        <v>45627</v>
      </c>
      <c r="B21" s="7" t="s">
        <v>11</v>
      </c>
      <c r="C21" s="8" t="n">
        <f aca="false">Income!M21</f>
        <v>27284888.3333333</v>
      </c>
      <c r="D21" s="8" t="n">
        <f aca="false">'Staff Costs'!E21</f>
        <v>15791667</v>
      </c>
      <c r="E21" s="8" t="n">
        <f aca="false">'Operating Expenditure'!S21</f>
        <v>9196751.3791208</v>
      </c>
      <c r="F21" s="9" t="n">
        <f aca="false">C21-D21-E21</f>
        <v>2296469.95421253</v>
      </c>
      <c r="G21" s="18" t="n">
        <f aca="false">F21/C21</f>
        <v>0.0841663680700127</v>
      </c>
    </row>
    <row r="22" customFormat="false" ht="15" hidden="false" customHeight="true" outlineLevel="0" collapsed="false">
      <c r="A22" s="6" t="n">
        <v>45658</v>
      </c>
      <c r="B22" s="7" t="s">
        <v>11</v>
      </c>
      <c r="C22" s="8" t="n">
        <f aca="false">Income!M22</f>
        <v>26646188</v>
      </c>
      <c r="D22" s="8" t="n">
        <f aca="false">'Staff Costs'!E22</f>
        <v>15791667</v>
      </c>
      <c r="E22" s="8" t="n">
        <f aca="false">'Operating Expenditure'!S22</f>
        <v>8794744.43241756</v>
      </c>
      <c r="F22" s="9" t="n">
        <f aca="false">C22-D22-E22</f>
        <v>2059776.56758244</v>
      </c>
      <c r="G22" s="18" t="n">
        <f aca="false">F22/C22</f>
        <v>0.0773009845754461</v>
      </c>
    </row>
    <row r="23" customFormat="false" ht="15" hidden="false" customHeight="true" outlineLevel="0" collapsed="false">
      <c r="A23" s="6" t="n">
        <v>45689</v>
      </c>
      <c r="B23" s="7" t="s">
        <v>11</v>
      </c>
      <c r="C23" s="8" t="n">
        <f aca="false">Income!M23</f>
        <v>28050545.1666667</v>
      </c>
      <c r="D23" s="8" t="n">
        <f aca="false">'Staff Costs'!E23</f>
        <v>15791667</v>
      </c>
      <c r="E23" s="8" t="n">
        <f aca="false">'Operating Expenditure'!S23</f>
        <v>9246958.73245901</v>
      </c>
      <c r="F23" s="9" t="n">
        <f aca="false">C23-D23-E23</f>
        <v>3011919.43420766</v>
      </c>
      <c r="G23" s="18" t="n">
        <f aca="false">F23/C23</f>
        <v>0.10737472003884</v>
      </c>
    </row>
    <row r="24" customFormat="false" ht="15" hidden="false" customHeight="true" outlineLevel="0" collapsed="false">
      <c r="A24" s="6" t="n">
        <v>45717</v>
      </c>
      <c r="B24" s="7" t="s">
        <v>11</v>
      </c>
      <c r="C24" s="8" t="n">
        <f aca="false">Income!M24</f>
        <v>23416791.8333333</v>
      </c>
      <c r="D24" s="8" t="n">
        <f aca="false">'Staff Costs'!E24</f>
        <v>15791667</v>
      </c>
      <c r="E24" s="8" t="n">
        <f aca="false">'Operating Expenditure'!S24</f>
        <v>7893592.00000034</v>
      </c>
      <c r="F24" s="9" t="n">
        <f aca="false">C24-D24-E24</f>
        <v>-268467.166667003</v>
      </c>
      <c r="G24" s="18" t="n">
        <f aca="false">F24/C24</f>
        <v>-0.0114647287543824</v>
      </c>
    </row>
    <row r="25" customFormat="false" ht="15" hidden="false" customHeight="true" outlineLevel="0" collapsed="false">
      <c r="A25" s="6" t="n">
        <v>45748</v>
      </c>
      <c r="B25" s="7" t="s">
        <v>11</v>
      </c>
      <c r="C25" s="8" t="n">
        <f aca="false">Income!M25</f>
        <v>22192400.8333333</v>
      </c>
      <c r="D25" s="8" t="n">
        <f aca="false">'Staff Costs'!E25</f>
        <v>15791667</v>
      </c>
      <c r="E25" s="8" t="n">
        <f aca="false">'Operating Expenditure'!S25</f>
        <v>7444046.22222204</v>
      </c>
      <c r="F25" s="9" t="n">
        <f aca="false">C25-D25-E25</f>
        <v>-1043312.3888887</v>
      </c>
      <c r="G25" s="18" t="n">
        <f aca="false">F25/C25</f>
        <v>-0.0470121460370178</v>
      </c>
    </row>
    <row r="26" customFormat="false" ht="15" hidden="false" customHeight="true" outlineLevel="0" collapsed="false">
      <c r="A26" s="6" t="n">
        <v>45778</v>
      </c>
      <c r="B26" s="7" t="s">
        <v>11</v>
      </c>
      <c r="C26" s="8" t="n">
        <f aca="false">Income!M26</f>
        <v>24125183.3333333</v>
      </c>
      <c r="D26" s="8" t="n">
        <f aca="false">'Staff Costs'!E26</f>
        <v>15791667</v>
      </c>
      <c r="E26" s="8" t="n">
        <f aca="false">'Operating Expenditure'!S26</f>
        <v>7591630.16161621</v>
      </c>
      <c r="F26" s="9" t="n">
        <f aca="false">C26-D26-E26</f>
        <v>741886.171717127</v>
      </c>
      <c r="G26" s="18" t="n">
        <f aca="false">F26/C26</f>
        <v>0.0307515247228018</v>
      </c>
    </row>
    <row r="27" customFormat="false" ht="15" hidden="false" customHeight="true" outlineLevel="0" collapsed="false">
      <c r="A27" s="6" t="n">
        <v>45809</v>
      </c>
      <c r="B27" s="7" t="s">
        <v>11</v>
      </c>
      <c r="C27" s="8" t="n">
        <f aca="false">Income!M27</f>
        <v>19185087.3333333</v>
      </c>
      <c r="D27" s="8" t="n">
        <f aca="false">'Staff Costs'!E27</f>
        <v>15791667</v>
      </c>
      <c r="E27" s="8" t="n">
        <f aca="false">'Operating Expenditure'!S27</f>
        <v>8260912.08333333</v>
      </c>
      <c r="F27" s="9" t="n">
        <f aca="false">C27-D27-E27</f>
        <v>-4867491.75</v>
      </c>
      <c r="G27" s="18" t="n">
        <f aca="false">F27/C27</f>
        <v>-0.253712253972539</v>
      </c>
    </row>
    <row r="28" customFormat="false" ht="15" hidden="false" customHeight="true" outlineLevel="0" collapsed="false">
      <c r="A28" s="6" t="n">
        <v>45839</v>
      </c>
      <c r="B28" s="7" t="s">
        <v>11</v>
      </c>
      <c r="C28" s="8" t="n">
        <f aca="false">Income!M28</f>
        <v>15796671</v>
      </c>
      <c r="D28" s="8" t="n">
        <f aca="false">'Staff Costs'!E28</f>
        <v>15791667</v>
      </c>
      <c r="E28" s="8" t="n">
        <f aca="false">'Operating Expenditure'!S28</f>
        <v>8965910.64238409</v>
      </c>
      <c r="F28" s="9" t="n">
        <f aca="false">C28-D28-E28</f>
        <v>-8960906.64238409</v>
      </c>
      <c r="G28" s="18" t="n">
        <f aca="false">F28/C28</f>
        <v>-0.567265510713244</v>
      </c>
    </row>
    <row r="29" customFormat="false" ht="15" hidden="false" customHeight="true" outlineLevel="0" collapsed="false">
      <c r="A29" s="6" t="n">
        <v>45870</v>
      </c>
      <c r="B29" s="7" t="s">
        <v>12</v>
      </c>
      <c r="C29" s="8" t="n">
        <f aca="false">Income!M29</f>
        <v>18586635.9166667</v>
      </c>
      <c r="D29" s="8" t="n">
        <f aca="false">'Staff Costs'!E29</f>
        <v>16558333</v>
      </c>
      <c r="E29" s="8" t="n">
        <f aca="false">'Operating Expenditure'!S29</f>
        <v>9819110.64285684</v>
      </c>
      <c r="F29" s="9" t="n">
        <f aca="false">C29-D29-E29</f>
        <v>-7790807.72619017</v>
      </c>
      <c r="G29" s="18" t="n">
        <f aca="false">F29/C29</f>
        <v>-0.41916179781647</v>
      </c>
    </row>
    <row r="30" customFormat="false" ht="15" hidden="false" customHeight="true" outlineLevel="0" collapsed="false">
      <c r="A30" s="6" t="n">
        <v>45901</v>
      </c>
      <c r="B30" s="7" t="s">
        <v>12</v>
      </c>
      <c r="C30" s="8" t="n">
        <f aca="false">Income!M30</f>
        <v>36385214.8333333</v>
      </c>
      <c r="D30" s="8" t="n">
        <f aca="false">'Staff Costs'!E30</f>
        <v>16558333</v>
      </c>
      <c r="E30" s="8" t="n">
        <f aca="false">'Operating Expenditure'!S30</f>
        <v>8882003.34038462</v>
      </c>
      <c r="F30" s="9" t="n">
        <f aca="false">C30-D30-E30</f>
        <v>10944878.4929487</v>
      </c>
      <c r="G30" s="18" t="n">
        <f aca="false">F30/C30</f>
        <v>0.300805658097197</v>
      </c>
    </row>
    <row r="31" customFormat="false" ht="15" hidden="false" customHeight="true" outlineLevel="0" collapsed="false">
      <c r="A31" s="6" t="n">
        <v>45931</v>
      </c>
      <c r="B31" s="7" t="s">
        <v>12</v>
      </c>
      <c r="C31" s="8" t="n">
        <f aca="false">Income!M31</f>
        <v>32977118.5833333</v>
      </c>
      <c r="D31" s="8" t="n">
        <f aca="false">'Staff Costs'!E31</f>
        <v>16558333</v>
      </c>
      <c r="E31" s="8" t="n">
        <f aca="false">'Operating Expenditure'!S31</f>
        <v>8038655.69999981</v>
      </c>
      <c r="F31" s="9" t="n">
        <f aca="false">C31-D31-E31</f>
        <v>8380129.88333353</v>
      </c>
      <c r="G31" s="18" t="n">
        <f aca="false">F31/C31</f>
        <v>0.254119530248129</v>
      </c>
    </row>
    <row r="32" customFormat="false" ht="15" hidden="false" customHeight="true" outlineLevel="0" collapsed="false">
      <c r="A32" s="6" t="n">
        <v>45962</v>
      </c>
      <c r="B32" s="7" t="s">
        <v>12</v>
      </c>
      <c r="C32" s="8" t="n">
        <f aca="false">Income!M32</f>
        <v>33197473</v>
      </c>
      <c r="D32" s="8" t="n">
        <f aca="false">'Staff Costs'!E32</f>
        <v>16558333</v>
      </c>
      <c r="E32" s="8" t="n">
        <f aca="false">'Operating Expenditure'!S32</f>
        <v>8515929.33577454</v>
      </c>
      <c r="F32" s="9" t="n">
        <f aca="false">C32-D32-E32</f>
        <v>8123210.66422546</v>
      </c>
      <c r="G32" s="18" t="n">
        <f aca="false">F32/C32</f>
        <v>0.244693644730894</v>
      </c>
    </row>
    <row r="33" customFormat="false" ht="15" hidden="false" customHeight="true" outlineLevel="0" collapsed="false">
      <c r="A33" s="6" t="n">
        <v>45992</v>
      </c>
      <c r="B33" s="7" t="s">
        <v>12</v>
      </c>
      <c r="C33" s="8" t="n">
        <f aca="false">Income!M33</f>
        <v>27662115.3333333</v>
      </c>
      <c r="D33" s="8" t="n">
        <f aca="false">'Staff Costs'!E33</f>
        <v>16558333</v>
      </c>
      <c r="E33" s="8" t="n">
        <f aca="false">'Operating Expenditure'!S33</f>
        <v>9611219.37912102</v>
      </c>
      <c r="F33" s="9" t="n">
        <f aca="false">C33-D33-E33</f>
        <v>1492562.95421232</v>
      </c>
      <c r="G33" s="18" t="n">
        <f aca="false">F33/C33</f>
        <v>0.0539569348268082</v>
      </c>
    </row>
    <row r="34" customFormat="false" ht="15" hidden="false" customHeight="true" outlineLevel="0" collapsed="false">
      <c r="A34" s="6" t="n">
        <v>46023</v>
      </c>
      <c r="B34" s="7" t="s">
        <v>12</v>
      </c>
      <c r="C34" s="8" t="n">
        <f aca="false">Income!M34</f>
        <v>26984230.25</v>
      </c>
      <c r="D34" s="8" t="n">
        <f aca="false">'Staff Costs'!E34</f>
        <v>16558333</v>
      </c>
      <c r="E34" s="8" t="n">
        <f aca="false">'Operating Expenditure'!S34</f>
        <v>9189976.43242161</v>
      </c>
      <c r="F34" s="9" t="n">
        <f aca="false">C34-D34-E34</f>
        <v>1235920.81757839</v>
      </c>
      <c r="G34" s="18" t="n">
        <f aca="false">F34/C34</f>
        <v>0.0458015961962964</v>
      </c>
    </row>
    <row r="35" customFormat="false" ht="15" hidden="false" customHeight="true" outlineLevel="0" collapsed="false">
      <c r="A35" s="6" t="n">
        <v>46054</v>
      </c>
      <c r="B35" s="7" t="s">
        <v>12</v>
      </c>
      <c r="C35" s="8" t="n">
        <f aca="false">Income!M35</f>
        <v>28461510.3333333</v>
      </c>
      <c r="D35" s="8" t="n">
        <f aca="false">'Staff Costs'!E35</f>
        <v>16558333</v>
      </c>
      <c r="E35" s="8" t="n">
        <f aca="false">'Operating Expenditure'!S35</f>
        <v>9631080.73245914</v>
      </c>
      <c r="F35" s="9" t="n">
        <f aca="false">C35-D35-E35</f>
        <v>2272096.6008742</v>
      </c>
      <c r="G35" s="18" t="n">
        <f aca="false">F35/C35</f>
        <v>0.0798305000073443</v>
      </c>
    </row>
    <row r="36" customFormat="false" ht="15" hidden="false" customHeight="true" outlineLevel="0" collapsed="false">
      <c r="A36" s="6" t="n">
        <v>46082</v>
      </c>
      <c r="B36" s="7" t="s">
        <v>12</v>
      </c>
      <c r="C36" s="8" t="n">
        <f aca="false">Income!M36</f>
        <v>23947647.5833333</v>
      </c>
      <c r="D36" s="8" t="n">
        <f aca="false">'Staff Costs'!E36</f>
        <v>16558333</v>
      </c>
      <c r="E36" s="8" t="n">
        <f aca="false">'Operating Expenditure'!S36</f>
        <v>8233061.00000016</v>
      </c>
      <c r="F36" s="9" t="n">
        <f aca="false">C36-D36-E36</f>
        <v>-843746.416666823</v>
      </c>
      <c r="G36" s="18" t="n">
        <f aca="false">F36/C36</f>
        <v>-0.0352329561277676</v>
      </c>
    </row>
    <row r="37" customFormat="false" ht="15" hidden="false" customHeight="true" outlineLevel="0" collapsed="false">
      <c r="A37" s="6" t="n">
        <v>46113</v>
      </c>
      <c r="B37" s="7" t="s">
        <v>12</v>
      </c>
      <c r="C37" s="8" t="n">
        <f aca="false">Income!M37</f>
        <v>22786028.5833333</v>
      </c>
      <c r="D37" s="8" t="n">
        <f aca="false">'Staff Costs'!E37</f>
        <v>16558333</v>
      </c>
      <c r="E37" s="8" t="n">
        <f aca="false">'Operating Expenditure'!S37</f>
        <v>7754879.22222248</v>
      </c>
      <c r="F37" s="9" t="n">
        <f aca="false">C37-D37-E37</f>
        <v>-1527183.63888915</v>
      </c>
      <c r="G37" s="18" t="n">
        <f aca="false">F37/C37</f>
        <v>-0.0670228088806223</v>
      </c>
    </row>
    <row r="38" customFormat="false" ht="15" hidden="false" customHeight="true" outlineLevel="0" collapsed="false">
      <c r="A38" s="6" t="n">
        <v>46143</v>
      </c>
      <c r="B38" s="7" t="s">
        <v>12</v>
      </c>
      <c r="C38" s="8" t="n">
        <f aca="false">Income!M38</f>
        <v>24581948.0833333</v>
      </c>
      <c r="D38" s="8" t="n">
        <f aca="false">'Staff Costs'!E38</f>
        <v>16558333</v>
      </c>
      <c r="E38" s="8" t="n">
        <f aca="false">'Operating Expenditure'!S38</f>
        <v>7902780.16161586</v>
      </c>
      <c r="F38" s="9" t="n">
        <f aca="false">C38-D38-E38</f>
        <v>120834.921717475</v>
      </c>
      <c r="G38" s="18" t="n">
        <f aca="false">F38/C38</f>
        <v>0.00491559583918419</v>
      </c>
    </row>
    <row r="39" customFormat="false" ht="15" hidden="false" customHeight="true" outlineLevel="0" collapsed="false">
      <c r="A39" s="6" t="n">
        <v>46174</v>
      </c>
      <c r="B39" s="7" t="s">
        <v>12</v>
      </c>
      <c r="C39" s="8" t="n">
        <f aca="false">Income!M39</f>
        <v>19835714.3333333</v>
      </c>
      <c r="D39" s="8" t="n">
        <f aca="false">'Staff Costs'!E39</f>
        <v>16558333</v>
      </c>
      <c r="E39" s="8" t="n">
        <f aca="false">'Operating Expenditure'!S39</f>
        <v>8597319.0833355</v>
      </c>
      <c r="F39" s="9" t="n">
        <f aca="false">C39-D39-E39</f>
        <v>-5319937.75000216</v>
      </c>
      <c r="G39" s="18" t="n">
        <f aca="false">F39/C39</f>
        <v>-0.268199957944654</v>
      </c>
    </row>
    <row r="40" customFormat="false" ht="15" hidden="false" customHeight="true" outlineLevel="0" collapsed="false">
      <c r="A40" s="6" t="n">
        <v>46204</v>
      </c>
      <c r="B40" s="7" t="s">
        <v>12</v>
      </c>
      <c r="C40" s="8" t="n">
        <f aca="false">Income!M40</f>
        <v>16183470.6666667</v>
      </c>
      <c r="D40" s="8" t="n">
        <f aca="false">'Staff Costs'!E40</f>
        <v>16558333</v>
      </c>
      <c r="E40" s="8" t="n">
        <f aca="false">'Operating Expenditure'!S40</f>
        <v>9323985</v>
      </c>
      <c r="F40" s="9" t="n">
        <f aca="false">C40-D40-E40</f>
        <v>-9698847.33333333</v>
      </c>
      <c r="G40" s="18" t="n">
        <f aca="false">F40/C40</f>
        <v>-0.599305769022104</v>
      </c>
    </row>
    <row r="43" customFormat="false" ht="15" hidden="false" customHeight="true" outlineLevel="0" collapsed="false">
      <c r="A43" s="24" t="s">
        <v>67</v>
      </c>
    </row>
    <row r="44" customFormat="false" ht="25.5" hidden="false" customHeight="true" outlineLevel="0" collapsed="false">
      <c r="A44" s="4" t="s">
        <v>2</v>
      </c>
      <c r="B44" s="4" t="s">
        <v>36</v>
      </c>
      <c r="C44" s="4" t="s">
        <v>43</v>
      </c>
      <c r="D44" s="4" t="s">
        <v>63</v>
      </c>
      <c r="E44" s="4" t="s">
        <v>65</v>
      </c>
      <c r="F44" s="4" t="s">
        <v>66</v>
      </c>
      <c r="G44" s="25" t="s">
        <v>68</v>
      </c>
    </row>
    <row r="45" customFormat="false" ht="15" hidden="false" customHeight="true" outlineLevel="0" collapsed="false">
      <c r="A45" s="26" t="s">
        <v>10</v>
      </c>
      <c r="B45" s="27" t="n">
        <f aca="false">SUM(C5:C16)</f>
        <v>287819687.5</v>
      </c>
      <c r="C45" s="27" t="n">
        <f aca="false">SUM(D5:D16)</f>
        <v>180000000</v>
      </c>
      <c r="D45" s="27" t="n">
        <f aca="false">SUM(E5:E16)</f>
        <v>96999990.6752819</v>
      </c>
      <c r="E45" s="27" t="n">
        <f aca="false">SUM(F5:F16)</f>
        <v>10819696.8247181</v>
      </c>
      <c r="F45" s="28" t="n">
        <f aca="false">E45/B45</f>
        <v>0.0375919274970309</v>
      </c>
      <c r="G45" s="29" t="n">
        <f aca="false">(B46-B45)/B45</f>
        <v>0.0667038531430088</v>
      </c>
    </row>
    <row r="46" customFormat="false" ht="15" hidden="false" customHeight="true" outlineLevel="0" collapsed="false">
      <c r="A46" s="26" t="s">
        <v>11</v>
      </c>
      <c r="B46" s="27" t="n">
        <f aca="false">SUM(C17:C28)</f>
        <v>307018369.666667</v>
      </c>
      <c r="C46" s="27" t="n">
        <f aca="false">SUM(D17:D28)</f>
        <v>189500004</v>
      </c>
      <c r="D46" s="27" t="n">
        <f aca="false">SUM(E17:E28)</f>
        <v>101199990.672571</v>
      </c>
      <c r="E46" s="27" t="n">
        <f aca="false">SUM(F17:F28)</f>
        <v>16318374.9940958</v>
      </c>
      <c r="F46" s="28" t="n">
        <f aca="false">E46/B46</f>
        <v>0.053151135587792</v>
      </c>
      <c r="G46" s="29" t="n">
        <f aca="false">(B46-B45)/B46</f>
        <v>0.0625326822870922</v>
      </c>
    </row>
    <row r="47" customFormat="false" ht="15" hidden="false" customHeight="true" outlineLevel="0" collapsed="false">
      <c r="A47" s="26" t="s">
        <v>12</v>
      </c>
      <c r="B47" s="27" t="n">
        <f aca="false">SUM(C29:C40)</f>
        <v>311589107.5</v>
      </c>
      <c r="C47" s="27" t="n">
        <f aca="false">SUM(D29:D40)</f>
        <v>198699996</v>
      </c>
      <c r="D47" s="27" t="n">
        <f aca="false">SUM(E29:E40)</f>
        <v>105500000.030192</v>
      </c>
      <c r="E47" s="27" t="n">
        <f aca="false">SUM(F29:F40)</f>
        <v>7389111.46980844</v>
      </c>
      <c r="F47" s="28" t="n">
        <f aca="false">E47/B47</f>
        <v>0.0237142804159431</v>
      </c>
      <c r="G47" s="29" t="n">
        <f aca="false">(B47-B46)/B47</f>
        <v>0.0146691194374736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16"/>
    <col collapsed="false" customWidth="true" hidden="false" outlineLevel="0" max="4" min="4" style="1" width="24"/>
    <col collapsed="false" customWidth="true" hidden="false" outlineLevel="0" max="5" min="5" style="1" width="18"/>
    <col collapsed="false" customWidth="true" hidden="false" outlineLevel="0" max="6" min="6" style="1" width="16"/>
  </cols>
  <sheetData>
    <row r="1" customFormat="false" ht="21.75" hidden="false" customHeight="true" outlineLevel="0" collapsed="false">
      <c r="A1" s="16" t="s">
        <v>69</v>
      </c>
      <c r="B1" s="16"/>
      <c r="C1" s="16"/>
      <c r="D1" s="16"/>
      <c r="E1" s="16"/>
      <c r="F1" s="16"/>
    </row>
    <row r="2" customFormat="false" ht="15.75" hidden="false" customHeight="true" outlineLevel="0" collapsed="false">
      <c r="A2" s="17"/>
      <c r="B2" s="17"/>
      <c r="C2" s="17"/>
      <c r="D2" s="17"/>
      <c r="E2" s="17"/>
      <c r="F2" s="17"/>
    </row>
    <row r="4" customFormat="false" ht="30" hidden="false" customHeight="true" outlineLevel="0" collapsed="false">
      <c r="A4" s="4" t="s">
        <v>1</v>
      </c>
      <c r="B4" s="4" t="s">
        <v>2</v>
      </c>
      <c r="C4" s="4" t="s">
        <v>70</v>
      </c>
      <c r="D4" s="4" t="s">
        <v>65</v>
      </c>
      <c r="E4" s="4" t="s">
        <v>71</v>
      </c>
      <c r="F4" s="4" t="s">
        <v>72</v>
      </c>
    </row>
    <row r="5" customFormat="false" ht="15" hidden="false" customHeight="true" outlineLevel="0" collapsed="false">
      <c r="A5" s="6" t="n">
        <v>45139</v>
      </c>
      <c r="B5" s="7" t="s">
        <v>10</v>
      </c>
      <c r="C5" s="8" t="n">
        <v>42000000</v>
      </c>
      <c r="D5" s="8" t="n">
        <f aca="false">'Income Statement'!F5</f>
        <v>-7930033.30952336</v>
      </c>
      <c r="E5" s="8" t="n">
        <v>750000</v>
      </c>
      <c r="F5" s="9" t="n">
        <f aca="false">C5+D5-E5</f>
        <v>33319966.6904766</v>
      </c>
    </row>
    <row r="6" customFormat="false" ht="15" hidden="false" customHeight="true" outlineLevel="0" collapsed="false">
      <c r="A6" s="6" t="n">
        <v>45170</v>
      </c>
      <c r="B6" s="7" t="s">
        <v>10</v>
      </c>
      <c r="C6" s="8" t="n">
        <f aca="false">F5</f>
        <v>33319966.6904766</v>
      </c>
      <c r="D6" s="8" t="n">
        <f aca="false">'Income Statement'!F6</f>
        <v>10412752.3262819</v>
      </c>
      <c r="E6" s="8" t="n">
        <v>750000</v>
      </c>
      <c r="F6" s="9" t="n">
        <f aca="false">C6+D6-E6</f>
        <v>42982719.0167585</v>
      </c>
    </row>
    <row r="7" customFormat="false" ht="15" hidden="false" customHeight="true" outlineLevel="0" collapsed="false">
      <c r="A7" s="6" t="n">
        <v>45200</v>
      </c>
      <c r="B7" s="7" t="s">
        <v>10</v>
      </c>
      <c r="C7" s="8" t="n">
        <f aca="false">F6</f>
        <v>42982719.0167585</v>
      </c>
      <c r="D7" s="8" t="n">
        <f aca="false">'Income Statement'!F7</f>
        <v>8226980.96666682</v>
      </c>
      <c r="E7" s="8" t="n">
        <v>750000</v>
      </c>
      <c r="F7" s="9" t="n">
        <f aca="false">C7+D7-E7</f>
        <v>50459699.9834254</v>
      </c>
    </row>
    <row r="8" customFormat="false" ht="15" hidden="false" customHeight="true" outlineLevel="0" collapsed="false">
      <c r="A8" s="6" t="n">
        <v>45231</v>
      </c>
      <c r="B8" s="7" t="s">
        <v>10</v>
      </c>
      <c r="C8" s="8" t="n">
        <f aca="false">F7</f>
        <v>50459699.9834254</v>
      </c>
      <c r="D8" s="8" t="n">
        <f aca="false">'Income Statement'!F8</f>
        <v>8070720.83089155</v>
      </c>
      <c r="E8" s="8" t="n">
        <v>750000</v>
      </c>
      <c r="F8" s="9" t="n">
        <f aca="false">C8+D8-E8</f>
        <v>57780420.8143169</v>
      </c>
    </row>
    <row r="9" customFormat="false" ht="15" hidden="false" customHeight="true" outlineLevel="0" collapsed="false">
      <c r="A9" s="6" t="n">
        <v>45261</v>
      </c>
      <c r="B9" s="7" t="s">
        <v>10</v>
      </c>
      <c r="C9" s="8" t="n">
        <f aca="false">F8</f>
        <v>57780420.8143169</v>
      </c>
      <c r="D9" s="8" t="n">
        <f aca="false">'Income Statement'!F9</f>
        <v>1768585.45421227</v>
      </c>
      <c r="E9" s="8" t="n">
        <v>750000</v>
      </c>
      <c r="F9" s="9" t="n">
        <f aca="false">C9+D9-E9</f>
        <v>58799006.2685292</v>
      </c>
    </row>
    <row r="10" customFormat="false" ht="15" hidden="false" customHeight="true" outlineLevel="0" collapsed="false">
      <c r="A10" s="6" t="n">
        <v>45292</v>
      </c>
      <c r="B10" s="7" t="s">
        <v>10</v>
      </c>
      <c r="C10" s="8" t="n">
        <f aca="false">F9</f>
        <v>58799006.2685292</v>
      </c>
      <c r="D10" s="8" t="n">
        <f aca="false">'Income Statement'!F10</f>
        <v>1503683.0675863</v>
      </c>
      <c r="E10" s="8" t="n">
        <v>750000</v>
      </c>
      <c r="F10" s="9" t="n">
        <f aca="false">C10+D10-E10</f>
        <v>59552689.3361155</v>
      </c>
    </row>
    <row r="11" customFormat="false" ht="15" hidden="false" customHeight="true" outlineLevel="0" collapsed="false">
      <c r="A11" s="6" t="n">
        <v>45323</v>
      </c>
      <c r="B11" s="7" t="s">
        <v>10</v>
      </c>
      <c r="C11" s="8" t="n">
        <f aca="false">F10</f>
        <v>59552689.3361155</v>
      </c>
      <c r="D11" s="8" t="n">
        <f aca="false">'Income Statement'!F11</f>
        <v>2702655.10087387</v>
      </c>
      <c r="E11" s="8" t="n">
        <v>750000</v>
      </c>
      <c r="F11" s="9" t="n">
        <f aca="false">C11+D11-E11</f>
        <v>61505344.4369893</v>
      </c>
    </row>
    <row r="12" customFormat="false" ht="15" hidden="false" customHeight="true" outlineLevel="0" collapsed="false">
      <c r="A12" s="6" t="n">
        <v>45352</v>
      </c>
      <c r="B12" s="7" t="s">
        <v>10</v>
      </c>
      <c r="C12" s="8" t="n">
        <f aca="false">F11</f>
        <v>61505344.4369893</v>
      </c>
      <c r="D12" s="8" t="n">
        <f aca="false">'Income Statement'!F12</f>
        <v>-363143.333333875</v>
      </c>
      <c r="E12" s="8" t="n">
        <v>750000</v>
      </c>
      <c r="F12" s="9" t="n">
        <f aca="false">C12+D12-E12</f>
        <v>60392201.1036555</v>
      </c>
    </row>
    <row r="13" customFormat="false" ht="15" hidden="false" customHeight="true" outlineLevel="0" collapsed="false">
      <c r="A13" s="6" t="n">
        <v>45383</v>
      </c>
      <c r="B13" s="7" t="s">
        <v>10</v>
      </c>
      <c r="C13" s="8" t="n">
        <f aca="false">F12</f>
        <v>60392201.1036555</v>
      </c>
      <c r="D13" s="8" t="n">
        <f aca="false">'Income Statement'!F13</f>
        <v>-1038478.05555523</v>
      </c>
      <c r="E13" s="8" t="n">
        <v>750000</v>
      </c>
      <c r="F13" s="9" t="n">
        <f aca="false">C13+D13-E13</f>
        <v>58603723.0481002</v>
      </c>
    </row>
    <row r="14" customFormat="false" ht="15" hidden="false" customHeight="true" outlineLevel="0" collapsed="false">
      <c r="A14" s="6" t="n">
        <v>45413</v>
      </c>
      <c r="B14" s="7" t="s">
        <v>10</v>
      </c>
      <c r="C14" s="8" t="n">
        <f aca="false">F13</f>
        <v>58603723.0481002</v>
      </c>
      <c r="D14" s="8" t="n">
        <f aca="false">'Income Statement'!F14</f>
        <v>670950.171717402</v>
      </c>
      <c r="E14" s="8" t="n">
        <v>750000</v>
      </c>
      <c r="F14" s="9" t="n">
        <f aca="false">C14+D14-E14</f>
        <v>58524673.2198176</v>
      </c>
    </row>
    <row r="15" customFormat="false" ht="15" hidden="false" customHeight="true" outlineLevel="0" collapsed="false">
      <c r="A15" s="6" t="n">
        <v>45444</v>
      </c>
      <c r="B15" s="7" t="s">
        <v>10</v>
      </c>
      <c r="C15" s="8" t="n">
        <f aca="false">F14</f>
        <v>58524673.2198176</v>
      </c>
      <c r="D15" s="8" t="n">
        <f aca="false">'Income Statement'!F15</f>
        <v>-4606551.08333108</v>
      </c>
      <c r="E15" s="8" t="n">
        <v>750000</v>
      </c>
      <c r="F15" s="9" t="n">
        <f aca="false">C15+D15-E15</f>
        <v>53168122.1364865</v>
      </c>
    </row>
    <row r="16" customFormat="false" ht="15" hidden="false" customHeight="true" outlineLevel="0" collapsed="false">
      <c r="A16" s="6" t="n">
        <v>45474</v>
      </c>
      <c r="B16" s="7" t="s">
        <v>10</v>
      </c>
      <c r="C16" s="8" t="n">
        <f aca="false">F15</f>
        <v>53168122.1364865</v>
      </c>
      <c r="D16" s="8" t="n">
        <f aca="false">'Income Statement'!F16</f>
        <v>-8598425.31176846</v>
      </c>
      <c r="E16" s="8" t="n">
        <v>750000</v>
      </c>
      <c r="F16" s="9" t="n">
        <f aca="false">C16+D16-E16</f>
        <v>43819696.8247181</v>
      </c>
    </row>
    <row r="17" customFormat="false" ht="15" hidden="false" customHeight="true" outlineLevel="0" collapsed="false">
      <c r="A17" s="6" t="n">
        <v>45505</v>
      </c>
      <c r="B17" s="7" t="s">
        <v>11</v>
      </c>
      <c r="C17" s="8" t="n">
        <f aca="false">F16</f>
        <v>43819696.8247181</v>
      </c>
      <c r="D17" s="8" t="n">
        <f aca="false">'Income Statement'!F17</f>
        <v>-7489796.64285677</v>
      </c>
      <c r="E17" s="8" t="n">
        <v>791667</v>
      </c>
      <c r="F17" s="9" t="n">
        <f aca="false">C17+D17-E17</f>
        <v>35538233.1818613</v>
      </c>
    </row>
    <row r="18" customFormat="false" ht="15" hidden="false" customHeight="true" outlineLevel="0" collapsed="false">
      <c r="A18" s="6" t="n">
        <v>45536</v>
      </c>
      <c r="B18" s="7" t="s">
        <v>11</v>
      </c>
      <c r="C18" s="8" t="n">
        <f aca="false">F17</f>
        <v>35538233.1818613</v>
      </c>
      <c r="D18" s="8" t="n">
        <f aca="false">'Income Statement'!F18</f>
        <v>12178826.6596147</v>
      </c>
      <c r="E18" s="8" t="n">
        <v>791667</v>
      </c>
      <c r="F18" s="9" t="n">
        <f aca="false">C18+D18-E18</f>
        <v>46925392.841476</v>
      </c>
    </row>
    <row r="19" customFormat="false" ht="15" hidden="false" customHeight="true" outlineLevel="0" collapsed="false">
      <c r="A19" s="6" t="n">
        <v>45566</v>
      </c>
      <c r="B19" s="7" t="s">
        <v>11</v>
      </c>
      <c r="C19" s="8" t="n">
        <f aca="false">F18</f>
        <v>46925392.841476</v>
      </c>
      <c r="D19" s="8" t="n">
        <f aca="false">'Income Statement'!F19</f>
        <v>9635224.13333326</v>
      </c>
      <c r="E19" s="8" t="n">
        <v>791667</v>
      </c>
      <c r="F19" s="9" t="n">
        <f aca="false">C19+D19-E19</f>
        <v>55768949.9748092</v>
      </c>
    </row>
    <row r="20" customFormat="false" ht="15" hidden="false" customHeight="true" outlineLevel="0" collapsed="false">
      <c r="A20" s="6" t="n">
        <v>45597</v>
      </c>
      <c r="B20" s="7" t="s">
        <v>11</v>
      </c>
      <c r="C20" s="8" t="n">
        <f aca="false">F19</f>
        <v>55768949.9748092</v>
      </c>
      <c r="D20" s="8" t="n">
        <f aca="false">'Income Statement'!F20</f>
        <v>9024246.66422471</v>
      </c>
      <c r="E20" s="8" t="n">
        <v>791667</v>
      </c>
      <c r="F20" s="9" t="n">
        <f aca="false">C20+D20-E20</f>
        <v>64001529.639034</v>
      </c>
    </row>
    <row r="21" customFormat="false" ht="15" hidden="false" customHeight="true" outlineLevel="0" collapsed="false">
      <c r="A21" s="6" t="n">
        <v>45627</v>
      </c>
      <c r="B21" s="7" t="s">
        <v>11</v>
      </c>
      <c r="C21" s="8" t="n">
        <f aca="false">F20</f>
        <v>64001529.639034</v>
      </c>
      <c r="D21" s="8" t="n">
        <f aca="false">'Income Statement'!F21</f>
        <v>2296469.95421253</v>
      </c>
      <c r="E21" s="8" t="n">
        <v>791667</v>
      </c>
      <c r="F21" s="9" t="n">
        <f aca="false">C21+D21-E21</f>
        <v>65506332.5932465</v>
      </c>
    </row>
    <row r="22" customFormat="false" ht="15" hidden="false" customHeight="true" outlineLevel="0" collapsed="false">
      <c r="A22" s="6" t="n">
        <v>45658</v>
      </c>
      <c r="B22" s="7" t="s">
        <v>11</v>
      </c>
      <c r="C22" s="8" t="n">
        <f aca="false">F21</f>
        <v>65506332.5932465</v>
      </c>
      <c r="D22" s="8" t="n">
        <f aca="false">'Income Statement'!F22</f>
        <v>2059776.56758244</v>
      </c>
      <c r="E22" s="8" t="n">
        <v>791667</v>
      </c>
      <c r="F22" s="9" t="n">
        <f aca="false">C22+D22-E22</f>
        <v>66774442.1608289</v>
      </c>
    </row>
    <row r="23" customFormat="false" ht="15" hidden="false" customHeight="true" outlineLevel="0" collapsed="false">
      <c r="A23" s="6" t="n">
        <v>45689</v>
      </c>
      <c r="B23" s="7" t="s">
        <v>11</v>
      </c>
      <c r="C23" s="8" t="n">
        <f aca="false">F22</f>
        <v>66774442.1608289</v>
      </c>
      <c r="D23" s="8" t="n">
        <f aca="false">'Income Statement'!F23</f>
        <v>3011919.43420766</v>
      </c>
      <c r="E23" s="8" t="n">
        <v>791667</v>
      </c>
      <c r="F23" s="9" t="n">
        <f aca="false">C23+D23-E23</f>
        <v>68994694.5950366</v>
      </c>
    </row>
    <row r="24" customFormat="false" ht="15" hidden="false" customHeight="true" outlineLevel="0" collapsed="false">
      <c r="A24" s="6" t="n">
        <v>45717</v>
      </c>
      <c r="B24" s="7" t="s">
        <v>11</v>
      </c>
      <c r="C24" s="8" t="n">
        <f aca="false">F23</f>
        <v>68994694.5950366</v>
      </c>
      <c r="D24" s="8" t="n">
        <f aca="false">'Income Statement'!F24</f>
        <v>-268467.166667003</v>
      </c>
      <c r="E24" s="8" t="n">
        <v>791667</v>
      </c>
      <c r="F24" s="9" t="n">
        <f aca="false">C24+D24-E24</f>
        <v>67934560.4283696</v>
      </c>
    </row>
    <row r="25" customFormat="false" ht="15" hidden="false" customHeight="true" outlineLevel="0" collapsed="false">
      <c r="A25" s="6" t="n">
        <v>45748</v>
      </c>
      <c r="B25" s="7" t="s">
        <v>11</v>
      </c>
      <c r="C25" s="8" t="n">
        <f aca="false">F24</f>
        <v>67934560.4283696</v>
      </c>
      <c r="D25" s="8" t="n">
        <f aca="false">'Income Statement'!F25</f>
        <v>-1043312.3888887</v>
      </c>
      <c r="E25" s="8" t="n">
        <v>791667</v>
      </c>
      <c r="F25" s="9" t="n">
        <f aca="false">C25+D25-E25</f>
        <v>66099581.0394809</v>
      </c>
    </row>
    <row r="26" customFormat="false" ht="15" hidden="false" customHeight="true" outlineLevel="0" collapsed="false">
      <c r="A26" s="6" t="n">
        <v>45778</v>
      </c>
      <c r="B26" s="7" t="s">
        <v>11</v>
      </c>
      <c r="C26" s="8" t="n">
        <f aca="false">F25</f>
        <v>66099581.0394809</v>
      </c>
      <c r="D26" s="8" t="n">
        <f aca="false">'Income Statement'!F26</f>
        <v>741886.171717127</v>
      </c>
      <c r="E26" s="8" t="n">
        <v>791667</v>
      </c>
      <c r="F26" s="9" t="n">
        <f aca="false">C26+D26-E26</f>
        <v>66049800.211198</v>
      </c>
    </row>
    <row r="27" customFormat="false" ht="15" hidden="false" customHeight="true" outlineLevel="0" collapsed="false">
      <c r="A27" s="6" t="n">
        <v>45809</v>
      </c>
      <c r="B27" s="7" t="s">
        <v>11</v>
      </c>
      <c r="C27" s="8" t="n">
        <f aca="false">F26</f>
        <v>66049800.211198</v>
      </c>
      <c r="D27" s="8" t="n">
        <f aca="false">'Income Statement'!F27</f>
        <v>-4867491.75</v>
      </c>
      <c r="E27" s="8" t="n">
        <v>791667</v>
      </c>
      <c r="F27" s="9" t="n">
        <f aca="false">C27+D27-E27</f>
        <v>60390641.461198</v>
      </c>
    </row>
    <row r="28" customFormat="false" ht="15" hidden="false" customHeight="true" outlineLevel="0" collapsed="false">
      <c r="A28" s="6" t="n">
        <v>45839</v>
      </c>
      <c r="B28" s="7" t="s">
        <v>11</v>
      </c>
      <c r="C28" s="8" t="n">
        <f aca="false">F27</f>
        <v>60390641.461198</v>
      </c>
      <c r="D28" s="8" t="n">
        <f aca="false">'Income Statement'!F28</f>
        <v>-8960906.64238409</v>
      </c>
      <c r="E28" s="8" t="n">
        <v>791667</v>
      </c>
      <c r="F28" s="9" t="n">
        <f aca="false">C28+D28-E28</f>
        <v>50638067.8188139</v>
      </c>
    </row>
    <row r="29" customFormat="false" ht="15" hidden="false" customHeight="true" outlineLevel="0" collapsed="false">
      <c r="A29" s="6" t="n">
        <v>45870</v>
      </c>
      <c r="B29" s="7" t="s">
        <v>12</v>
      </c>
      <c r="C29" s="8" t="n">
        <f aca="false">F28</f>
        <v>50638067.8188139</v>
      </c>
      <c r="D29" s="8" t="n">
        <f aca="false">'Income Statement'!F29</f>
        <v>-7790807.72619017</v>
      </c>
      <c r="E29" s="8" t="n">
        <v>833333</v>
      </c>
      <c r="F29" s="9" t="n">
        <f aca="false">C29+D29-E29</f>
        <v>42013927.0926238</v>
      </c>
    </row>
    <row r="30" customFormat="false" ht="15" hidden="false" customHeight="true" outlineLevel="0" collapsed="false">
      <c r="A30" s="6" t="n">
        <v>45901</v>
      </c>
      <c r="B30" s="7" t="s">
        <v>12</v>
      </c>
      <c r="C30" s="8" t="n">
        <f aca="false">F29</f>
        <v>42013927.0926238</v>
      </c>
      <c r="D30" s="8" t="n">
        <f aca="false">'Income Statement'!F30</f>
        <v>10944878.4929487</v>
      </c>
      <c r="E30" s="8" t="n">
        <v>833333</v>
      </c>
      <c r="F30" s="9" t="n">
        <f aca="false">C30+D30-E30</f>
        <v>52125472.5855725</v>
      </c>
    </row>
    <row r="31" customFormat="false" ht="15" hidden="false" customHeight="true" outlineLevel="0" collapsed="false">
      <c r="A31" s="6" t="n">
        <v>45931</v>
      </c>
      <c r="B31" s="7" t="s">
        <v>12</v>
      </c>
      <c r="C31" s="8" t="n">
        <f aca="false">F30</f>
        <v>52125472.5855725</v>
      </c>
      <c r="D31" s="8" t="n">
        <f aca="false">'Income Statement'!F31</f>
        <v>8380129.88333353</v>
      </c>
      <c r="E31" s="8" t="n">
        <v>833333</v>
      </c>
      <c r="F31" s="9" t="n">
        <f aca="false">C31+D31-E31</f>
        <v>59672269.468906</v>
      </c>
    </row>
    <row r="32" customFormat="false" ht="15" hidden="false" customHeight="true" outlineLevel="0" collapsed="false">
      <c r="A32" s="6" t="n">
        <v>45962</v>
      </c>
      <c r="B32" s="7" t="s">
        <v>12</v>
      </c>
      <c r="C32" s="8" t="n">
        <f aca="false">F31</f>
        <v>59672269.468906</v>
      </c>
      <c r="D32" s="8" t="n">
        <f aca="false">'Income Statement'!F32</f>
        <v>8123210.66422546</v>
      </c>
      <c r="E32" s="8" t="n">
        <v>833333</v>
      </c>
      <c r="F32" s="9" t="n">
        <f aca="false">C32+D32-E32</f>
        <v>66962147.1331315</v>
      </c>
    </row>
    <row r="33" customFormat="false" ht="15" hidden="false" customHeight="true" outlineLevel="0" collapsed="false">
      <c r="A33" s="6" t="n">
        <v>45992</v>
      </c>
      <c r="B33" s="7" t="s">
        <v>12</v>
      </c>
      <c r="C33" s="8" t="n">
        <f aca="false">F32</f>
        <v>66962147.1331315</v>
      </c>
      <c r="D33" s="8" t="n">
        <f aca="false">'Income Statement'!F33</f>
        <v>1492562.95421232</v>
      </c>
      <c r="E33" s="8" t="n">
        <v>833333</v>
      </c>
      <c r="F33" s="9" t="n">
        <f aca="false">C33+D33-E33</f>
        <v>67621377.0873438</v>
      </c>
    </row>
    <row r="34" customFormat="false" ht="15" hidden="false" customHeight="true" outlineLevel="0" collapsed="false">
      <c r="A34" s="6" t="n">
        <v>46023</v>
      </c>
      <c r="B34" s="7" t="s">
        <v>12</v>
      </c>
      <c r="C34" s="8" t="n">
        <f aca="false">F33</f>
        <v>67621377.0873438</v>
      </c>
      <c r="D34" s="8" t="n">
        <f aca="false">'Income Statement'!F34</f>
        <v>1235920.81757839</v>
      </c>
      <c r="E34" s="8" t="n">
        <v>833333</v>
      </c>
      <c r="F34" s="9" t="n">
        <f aca="false">C34+D34-E34</f>
        <v>68023964.9049222</v>
      </c>
    </row>
    <row r="35" customFormat="false" ht="15" hidden="false" customHeight="true" outlineLevel="0" collapsed="false">
      <c r="A35" s="6" t="n">
        <v>46054</v>
      </c>
      <c r="B35" s="7" t="s">
        <v>12</v>
      </c>
      <c r="C35" s="8" t="n">
        <f aca="false">F34</f>
        <v>68023964.9049222</v>
      </c>
      <c r="D35" s="8" t="n">
        <f aca="false">'Income Statement'!F35</f>
        <v>2272096.6008742</v>
      </c>
      <c r="E35" s="8" t="n">
        <v>833333</v>
      </c>
      <c r="F35" s="9" t="n">
        <f aca="false">C35+D35-E35</f>
        <v>69462728.5057964</v>
      </c>
    </row>
    <row r="36" customFormat="false" ht="15" hidden="false" customHeight="true" outlineLevel="0" collapsed="false">
      <c r="A36" s="6" t="n">
        <v>46082</v>
      </c>
      <c r="B36" s="7" t="s">
        <v>12</v>
      </c>
      <c r="C36" s="8" t="n">
        <f aca="false">F35</f>
        <v>69462728.5057964</v>
      </c>
      <c r="D36" s="8" t="n">
        <f aca="false">'Income Statement'!F36</f>
        <v>-843746.416666823</v>
      </c>
      <c r="E36" s="8" t="n">
        <v>833333</v>
      </c>
      <c r="F36" s="9" t="n">
        <f aca="false">C36+D36-E36</f>
        <v>67785649.0891296</v>
      </c>
    </row>
    <row r="37" customFormat="false" ht="15" hidden="false" customHeight="true" outlineLevel="0" collapsed="false">
      <c r="A37" s="6" t="n">
        <v>46113</v>
      </c>
      <c r="B37" s="7" t="s">
        <v>12</v>
      </c>
      <c r="C37" s="8" t="n">
        <f aca="false">F36</f>
        <v>67785649.0891296</v>
      </c>
      <c r="D37" s="8" t="n">
        <f aca="false">'Income Statement'!F37</f>
        <v>-1527183.63888915</v>
      </c>
      <c r="E37" s="8" t="n">
        <v>833333</v>
      </c>
      <c r="F37" s="9" t="n">
        <f aca="false">C37+D37-E37</f>
        <v>65425132.4502404</v>
      </c>
    </row>
    <row r="38" customFormat="false" ht="15" hidden="false" customHeight="true" outlineLevel="0" collapsed="false">
      <c r="A38" s="6" t="n">
        <v>46143</v>
      </c>
      <c r="B38" s="7" t="s">
        <v>12</v>
      </c>
      <c r="C38" s="8" t="n">
        <f aca="false">F37</f>
        <v>65425132.4502404</v>
      </c>
      <c r="D38" s="8" t="n">
        <f aca="false">'Income Statement'!F38</f>
        <v>120834.921717475</v>
      </c>
      <c r="E38" s="8" t="n">
        <v>833333</v>
      </c>
      <c r="F38" s="9" t="n">
        <f aca="false">C38+D38-E38</f>
        <v>64712634.3719579</v>
      </c>
    </row>
    <row r="39" customFormat="false" ht="15" hidden="false" customHeight="true" outlineLevel="0" collapsed="false">
      <c r="A39" s="6" t="n">
        <v>46174</v>
      </c>
      <c r="B39" s="7" t="s">
        <v>12</v>
      </c>
      <c r="C39" s="8" t="n">
        <f aca="false">F38</f>
        <v>64712634.3719579</v>
      </c>
      <c r="D39" s="8" t="n">
        <f aca="false">'Income Statement'!F39</f>
        <v>-5319937.75000216</v>
      </c>
      <c r="E39" s="8" t="n">
        <v>833333</v>
      </c>
      <c r="F39" s="9" t="n">
        <f aca="false">C39+D39-E39</f>
        <v>58559363.6219557</v>
      </c>
    </row>
    <row r="40" customFormat="false" ht="15" hidden="false" customHeight="true" outlineLevel="0" collapsed="false">
      <c r="A40" s="6" t="n">
        <v>46204</v>
      </c>
      <c r="B40" s="7" t="s">
        <v>12</v>
      </c>
      <c r="C40" s="8" t="n">
        <f aca="false">F39</f>
        <v>58559363.6219557</v>
      </c>
      <c r="D40" s="8" t="n">
        <f aca="false">'Income Statement'!F40</f>
        <v>-9698847.33333333</v>
      </c>
      <c r="E40" s="8" t="n">
        <v>833333</v>
      </c>
      <c r="F40" s="9" t="n">
        <f aca="false">C40+D40-E40</f>
        <v>48027183.2886224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2" activeCellId="0" sqref="A32"/>
    </sheetView>
  </sheetViews>
  <sheetFormatPr defaultColWidth="8.6796875" defaultRowHeight="15" zeroHeight="false" outlineLevelRow="0" outlineLevelCol="0"/>
  <cols>
    <col collapsed="false" customWidth="true" hidden="false" outlineLevel="0" max="1" min="1" style="1" width="13.15"/>
    <col collapsed="false" customWidth="true" hidden="false" outlineLevel="0" max="2" min="2" style="1" width="19.29"/>
    <col collapsed="false" customWidth="true" hidden="false" outlineLevel="0" max="3" min="3" style="1" width="18.57"/>
    <col collapsed="false" customWidth="true" hidden="false" outlineLevel="0" max="4" min="4" style="1" width="21.14"/>
    <col collapsed="false" customWidth="true" hidden="false" outlineLevel="0" max="5" min="5" style="1" width="17.42"/>
    <col collapsed="false" customWidth="true" hidden="false" outlineLevel="0" max="6" min="6" style="1" width="17.57"/>
    <col collapsed="false" customWidth="true" hidden="false" outlineLevel="0" max="7" min="7" style="1" width="19"/>
    <col collapsed="false" customWidth="true" hidden="false" outlineLevel="0" max="8" min="8" style="1" width="15.85"/>
    <col collapsed="false" customWidth="true" hidden="false" outlineLevel="0" max="9" min="9" style="1" width="14.14"/>
    <col collapsed="false" customWidth="true" hidden="false" outlineLevel="0" max="10" min="10" style="1" width="14.29"/>
    <col collapsed="false" customWidth="true" hidden="false" outlineLevel="0" max="11" min="11" style="1" width="16.29"/>
    <col collapsed="false" customWidth="true" hidden="false" outlineLevel="0" max="12" min="12" style="1" width="15.29"/>
    <col collapsed="false" customWidth="true" hidden="false" outlineLevel="0" max="13" min="13" style="1" width="19.86"/>
    <col collapsed="false" customWidth="true" hidden="false" outlineLevel="0" max="14" min="14" style="1" width="30.57"/>
    <col collapsed="false" customWidth="true" hidden="false" outlineLevel="0" max="15" min="15" style="1" width="33.57"/>
    <col collapsed="false" customWidth="true" hidden="false" outlineLevel="0" max="16" min="16" style="1" width="19.86"/>
    <col collapsed="false" customWidth="true" hidden="false" outlineLevel="0" max="17" min="17" style="1" width="30.57"/>
    <col collapsed="false" customWidth="true" hidden="false" outlineLevel="0" max="18" min="18" style="1" width="33.57"/>
  </cols>
  <sheetData>
    <row r="1" customFormat="false" ht="21.75" hidden="false" customHeight="true" outlineLevel="0" collapsed="false">
      <c r="A1" s="16" t="s">
        <v>73</v>
      </c>
      <c r="B1" s="16"/>
      <c r="C1" s="16"/>
      <c r="D1" s="16"/>
      <c r="E1" s="16"/>
      <c r="F1" s="16"/>
      <c r="G1" s="16"/>
      <c r="H1" s="16"/>
      <c r="I1" s="16"/>
    </row>
    <row r="3" customFormat="false" ht="15" hidden="false" customHeight="true" outlineLevel="0" collapsed="false">
      <c r="A3" s="1" t="s">
        <v>74</v>
      </c>
    </row>
    <row r="5" customFormat="false" ht="15" hidden="false" customHeight="true" outlineLevel="0" collapsed="false">
      <c r="A5" s="30" t="s">
        <v>2</v>
      </c>
      <c r="B5" s="31" t="s">
        <v>75</v>
      </c>
      <c r="C5" s="1" t="s">
        <v>76</v>
      </c>
    </row>
    <row r="6" customFormat="false" ht="15" hidden="false" customHeight="true" outlineLevel="0" collapsed="false">
      <c r="A6" s="32" t="s">
        <v>10</v>
      </c>
      <c r="B6" s="33" t="n">
        <v>96999990.6752819</v>
      </c>
      <c r="C6" s="34" t="n">
        <f aca="false">(B7-B6)/B6</f>
        <v>0.043298973206594</v>
      </c>
      <c r="D6" s="34"/>
      <c r="E6" s="34"/>
    </row>
    <row r="7" customFormat="false" ht="15" hidden="false" customHeight="true" outlineLevel="0" collapsed="false">
      <c r="A7" s="35" t="s">
        <v>11</v>
      </c>
      <c r="B7" s="36" t="n">
        <v>101199990.672571</v>
      </c>
      <c r="C7" s="34" t="n">
        <f aca="false">(B8-B7)/B7</f>
        <v>0.0424902149599331</v>
      </c>
      <c r="D7" s="34"/>
      <c r="E7" s="34"/>
    </row>
    <row r="8" customFormat="false" ht="15" hidden="false" customHeight="true" outlineLevel="0" collapsed="false">
      <c r="A8" s="35" t="s">
        <v>12</v>
      </c>
      <c r="B8" s="37" t="n">
        <v>105500000.030192</v>
      </c>
      <c r="C8" s="1" t="s">
        <v>77</v>
      </c>
    </row>
    <row r="9" customFormat="false" ht="15" hidden="false" customHeight="true" outlineLevel="0" collapsed="false">
      <c r="A9" s="38" t="s">
        <v>78</v>
      </c>
      <c r="B9" s="39" t="n">
        <v>303699981.378044</v>
      </c>
    </row>
    <row r="11" customFormat="false" ht="15" hidden="false" customHeight="true" outlineLevel="0" collapsed="false">
      <c r="A11" s="40" t="s">
        <v>79</v>
      </c>
    </row>
    <row r="14" customFormat="false" ht="45" hidden="false" customHeight="true" outlineLevel="0" collapsed="false">
      <c r="A14" s="41"/>
      <c r="B14" s="42" t="s">
        <v>80</v>
      </c>
      <c r="C14" s="43"/>
      <c r="D14" s="43"/>
      <c r="E14" s="44"/>
      <c r="F14" s="45" t="s">
        <v>81</v>
      </c>
      <c r="G14" s="45" t="s">
        <v>82</v>
      </c>
      <c r="H14" s="45" t="s">
        <v>83</v>
      </c>
    </row>
    <row r="15" customFormat="false" ht="15" hidden="false" customHeight="true" outlineLevel="0" collapsed="false">
      <c r="A15" s="46" t="s">
        <v>2</v>
      </c>
      <c r="B15" s="47" t="s">
        <v>75</v>
      </c>
      <c r="C15" s="48" t="s">
        <v>84</v>
      </c>
      <c r="D15" s="48" t="s">
        <v>85</v>
      </c>
      <c r="E15" s="49" t="s">
        <v>86</v>
      </c>
      <c r="F15" s="34" t="e">
        <f aca="false">C15/B15</f>
        <v>#VALUE!</v>
      </c>
      <c r="G15" s="34" t="e">
        <f aca="false">D15/B15</f>
        <v>#VALUE!</v>
      </c>
      <c r="H15" s="34" t="e">
        <f aca="false">E15/B15</f>
        <v>#VALUE!</v>
      </c>
    </row>
    <row r="16" customFormat="false" ht="15" hidden="false" customHeight="true" outlineLevel="0" collapsed="false">
      <c r="A16" s="32" t="s">
        <v>10</v>
      </c>
      <c r="B16" s="50" t="n">
        <v>96999990.6752819</v>
      </c>
      <c r="C16" s="51" t="n">
        <v>14999999</v>
      </c>
      <c r="D16" s="51" t="n">
        <v>15999996</v>
      </c>
      <c r="E16" s="52" t="n">
        <v>21999998</v>
      </c>
      <c r="F16" s="34" t="n">
        <f aca="false">C16/B16</f>
        <v>0.15463917981409</v>
      </c>
      <c r="G16" s="34" t="n">
        <f aca="false">D16/B16</f>
        <v>0.16494842822781</v>
      </c>
      <c r="H16" s="34" t="n">
        <f aca="false">E16/B16</f>
        <v>0.226804124895717</v>
      </c>
    </row>
    <row r="17" customFormat="false" ht="15" hidden="false" customHeight="true" outlineLevel="0" collapsed="false">
      <c r="A17" s="35" t="s">
        <v>11</v>
      </c>
      <c r="B17" s="53" t="n">
        <v>101199990.672571</v>
      </c>
      <c r="C17" s="54" t="n">
        <v>16199998</v>
      </c>
      <c r="D17" s="54" t="n">
        <v>16800000</v>
      </c>
      <c r="E17" s="55" t="n">
        <v>22900000</v>
      </c>
      <c r="F17" s="34" t="n">
        <f aca="false">C17/B17</f>
        <v>0.160079046374763</v>
      </c>
      <c r="G17" s="34" t="n">
        <f aca="false">D17/B17</f>
        <v>0.166007920439003</v>
      </c>
      <c r="H17" s="34" t="n">
        <f aca="false">E17/B17</f>
        <v>0.226284605836498</v>
      </c>
    </row>
    <row r="18" customFormat="false" ht="15" hidden="false" customHeight="true" outlineLevel="0" collapsed="false">
      <c r="A18" s="35" t="s">
        <v>12</v>
      </c>
      <c r="B18" s="56" t="n">
        <v>105500000.030192</v>
      </c>
      <c r="C18" s="57" t="n">
        <v>17499998</v>
      </c>
      <c r="D18" s="57" t="n">
        <v>17600004</v>
      </c>
      <c r="E18" s="58" t="n">
        <v>23799996</v>
      </c>
      <c r="F18" s="34" t="n">
        <f aca="false">C18/B18</f>
        <v>0.165876758246369</v>
      </c>
      <c r="G18" s="34" t="n">
        <f aca="false">D18/B18</f>
        <v>0.166824682416714</v>
      </c>
      <c r="H18" s="34" t="n">
        <f aca="false">E18/B18</f>
        <v>0.22559237908236</v>
      </c>
    </row>
    <row r="19" customFormat="false" ht="15" hidden="false" customHeight="true" outlineLevel="0" collapsed="false">
      <c r="A19" s="38" t="s">
        <v>78</v>
      </c>
      <c r="B19" s="59" t="n">
        <v>303699981.378044</v>
      </c>
      <c r="C19" s="60" t="n">
        <v>48699995</v>
      </c>
      <c r="D19" s="60" t="n">
        <v>50400000</v>
      </c>
      <c r="E19" s="61" t="n">
        <v>68699994</v>
      </c>
    </row>
    <row r="21" customFormat="false" ht="15" hidden="false" customHeight="true" outlineLevel="0" collapsed="false">
      <c r="A21" s="40" t="s">
        <v>87</v>
      </c>
    </row>
    <row r="23" customFormat="false" ht="45" hidden="false" customHeight="true" outlineLevel="0" collapsed="false">
      <c r="A23" s="41"/>
      <c r="B23" s="42" t="s">
        <v>80</v>
      </c>
      <c r="C23" s="43"/>
      <c r="D23" s="43"/>
      <c r="E23" s="43"/>
      <c r="F23" s="43"/>
      <c r="G23" s="44"/>
      <c r="H23" s="45" t="s">
        <v>88</v>
      </c>
      <c r="I23" s="45" t="s">
        <v>89</v>
      </c>
      <c r="J23" s="45" t="s">
        <v>90</v>
      </c>
      <c r="K23" s="45" t="s">
        <v>91</v>
      </c>
      <c r="L23" s="45" t="s">
        <v>92</v>
      </c>
    </row>
    <row r="24" customFormat="false" ht="15" hidden="false" customHeight="true" outlineLevel="0" collapsed="false">
      <c r="A24" s="46" t="s">
        <v>2</v>
      </c>
      <c r="B24" s="47" t="s">
        <v>75</v>
      </c>
      <c r="C24" s="48" t="s">
        <v>93</v>
      </c>
      <c r="D24" s="48" t="s">
        <v>94</v>
      </c>
      <c r="E24" s="48" t="s">
        <v>95</v>
      </c>
      <c r="F24" s="48" t="s">
        <v>96</v>
      </c>
      <c r="G24" s="49" t="s">
        <v>97</v>
      </c>
      <c r="H24" s="62" t="e">
        <f aca="false">C24/B24</f>
        <v>#VALUE!</v>
      </c>
      <c r="I24" s="62" t="e">
        <f aca="false">D24/B24</f>
        <v>#VALUE!</v>
      </c>
      <c r="J24" s="62" t="e">
        <f aca="false">E24/B24</f>
        <v>#VALUE!</v>
      </c>
      <c r="K24" s="62" t="e">
        <f aca="false">F24/B24</f>
        <v>#VALUE!</v>
      </c>
      <c r="L24" s="62" t="e">
        <f aca="false">G24/B24</f>
        <v>#VALUE!</v>
      </c>
    </row>
    <row r="25" customFormat="false" ht="15" hidden="false" customHeight="true" outlineLevel="0" collapsed="false">
      <c r="A25" s="32" t="s">
        <v>10</v>
      </c>
      <c r="B25" s="50" t="n">
        <v>96999990.6752819</v>
      </c>
      <c r="C25" s="51" t="n">
        <v>12999998</v>
      </c>
      <c r="D25" s="51" t="n">
        <v>9000000</v>
      </c>
      <c r="E25" s="51" t="n">
        <v>4999997</v>
      </c>
      <c r="F25" s="51" t="n">
        <v>9000000</v>
      </c>
      <c r="G25" s="52" t="n">
        <v>8000004</v>
      </c>
      <c r="H25" s="62" t="n">
        <f aca="false">C25/B25</f>
        <v>0.134020610821695</v>
      </c>
      <c r="I25" s="62" t="n">
        <f aca="false">D25/B25</f>
        <v>0.0927835140740218</v>
      </c>
      <c r="J25" s="62" t="n">
        <f aca="false">E25/B25</f>
        <v>0.0515463657799519</v>
      </c>
      <c r="K25" s="62" t="n">
        <f aca="false">F25/B25</f>
        <v>0.0927835140740218</v>
      </c>
      <c r="L25" s="62" t="n">
        <f aca="false">G25/B25</f>
        <v>0.0824742759695812</v>
      </c>
    </row>
    <row r="26" customFormat="false" ht="15" hidden="false" customHeight="true" outlineLevel="0" collapsed="false">
      <c r="A26" s="35" t="s">
        <v>11</v>
      </c>
      <c r="B26" s="53" t="n">
        <v>101199990.672571</v>
      </c>
      <c r="C26" s="54" t="n">
        <v>13399998</v>
      </c>
      <c r="D26" s="54" t="n">
        <v>9300000</v>
      </c>
      <c r="E26" s="54" t="n">
        <v>5100000</v>
      </c>
      <c r="F26" s="54" t="n">
        <v>9300000</v>
      </c>
      <c r="G26" s="55" t="n">
        <v>8199996</v>
      </c>
      <c r="H26" s="62" t="n">
        <f aca="false">C26/B26</f>
        <v>0.132411059634929</v>
      </c>
      <c r="I26" s="62" t="n">
        <f aca="false">D26/B26</f>
        <v>0.0918972416715911</v>
      </c>
      <c r="J26" s="62" t="n">
        <f aca="false">E26/B26</f>
        <v>0.0503952615618403</v>
      </c>
      <c r="K26" s="62" t="n">
        <f aca="false">F26/B26</f>
        <v>0.0918972416715911</v>
      </c>
      <c r="L26" s="62" t="n">
        <f aca="false">G26/B26</f>
        <v>0.0810276359266753</v>
      </c>
    </row>
    <row r="27" customFormat="false" ht="15" hidden="false" customHeight="true" outlineLevel="0" collapsed="false">
      <c r="A27" s="35" t="s">
        <v>12</v>
      </c>
      <c r="B27" s="56" t="n">
        <v>105500000.030192</v>
      </c>
      <c r="C27" s="57" t="n">
        <v>13799999</v>
      </c>
      <c r="D27" s="57" t="n">
        <v>9600000</v>
      </c>
      <c r="E27" s="57" t="n">
        <v>5200003</v>
      </c>
      <c r="F27" s="57" t="n">
        <v>9600000</v>
      </c>
      <c r="G27" s="58" t="n">
        <v>8400000</v>
      </c>
      <c r="H27" s="62" t="n">
        <f aca="false">C27/B27</f>
        <v>0.130805677687685</v>
      </c>
      <c r="I27" s="62" t="n">
        <f aca="false">D27/B27</f>
        <v>0.0909952606374665</v>
      </c>
      <c r="J27" s="62" t="n">
        <f aca="false">E27/B27</f>
        <v>0.0492891279479799</v>
      </c>
      <c r="K27" s="62" t="n">
        <f aca="false">F27/B27</f>
        <v>0.0909952606374665</v>
      </c>
      <c r="L27" s="62" t="n">
        <f aca="false">G27/B27</f>
        <v>0.0796208530577831</v>
      </c>
    </row>
    <row r="28" customFormat="false" ht="15" hidden="false" customHeight="true" outlineLevel="0" collapsed="false">
      <c r="A28" s="38" t="s">
        <v>78</v>
      </c>
      <c r="B28" s="59" t="n">
        <v>303699981.378044</v>
      </c>
      <c r="C28" s="60" t="n">
        <v>40199995</v>
      </c>
      <c r="D28" s="60" t="n">
        <v>27900000</v>
      </c>
      <c r="E28" s="60" t="n">
        <v>15300000</v>
      </c>
      <c r="F28" s="60" t="n">
        <v>27900000</v>
      </c>
      <c r="G28" s="61" t="n">
        <v>24600000</v>
      </c>
    </row>
    <row r="30" customFormat="false" ht="15" hidden="false" customHeight="true" outlineLevel="0" collapsed="false">
      <c r="A30" s="40" t="s">
        <v>98</v>
      </c>
    </row>
    <row r="31" customFormat="false" ht="15" hidden="false" customHeight="true" outlineLevel="0" collapsed="false">
      <c r="C31" s="63"/>
      <c r="D31" s="63"/>
      <c r="E31" s="63"/>
      <c r="F31" s="63"/>
    </row>
    <row r="32" customFormat="false" ht="60" hidden="false" customHeight="true" outlineLevel="0" collapsed="false">
      <c r="A32" s="41"/>
      <c r="B32" s="42" t="s">
        <v>80</v>
      </c>
      <c r="C32" s="43"/>
      <c r="D32" s="43"/>
      <c r="E32" s="43"/>
      <c r="F32" s="43"/>
      <c r="G32" s="43"/>
      <c r="H32" s="43"/>
      <c r="I32" s="43"/>
      <c r="J32" s="43"/>
      <c r="K32" s="43"/>
      <c r="L32" s="44"/>
    </row>
    <row r="33" customFormat="false" ht="15" hidden="false" customHeight="true" outlineLevel="0" collapsed="false">
      <c r="A33" s="46" t="s">
        <v>2</v>
      </c>
      <c r="B33" s="47" t="s">
        <v>99</v>
      </c>
      <c r="C33" s="48" t="s">
        <v>100</v>
      </c>
      <c r="D33" s="48" t="s">
        <v>101</v>
      </c>
      <c r="E33" s="48" t="s">
        <v>102</v>
      </c>
      <c r="F33" s="48" t="s">
        <v>103</v>
      </c>
      <c r="G33" s="48" t="s">
        <v>104</v>
      </c>
      <c r="H33" s="48" t="s">
        <v>105</v>
      </c>
      <c r="I33" s="48" t="s">
        <v>106</v>
      </c>
      <c r="J33" s="48" t="s">
        <v>107</v>
      </c>
      <c r="K33" s="48" t="s">
        <v>108</v>
      </c>
      <c r="L33" s="49" t="s">
        <v>109</v>
      </c>
    </row>
    <row r="34" customFormat="false" ht="15" hidden="false" customHeight="true" outlineLevel="0" collapsed="false">
      <c r="A34" s="32" t="s">
        <v>10</v>
      </c>
      <c r="B34" s="50" t="n">
        <v>287819687.5</v>
      </c>
      <c r="C34" s="51" t="n">
        <v>78105458.3333333</v>
      </c>
      <c r="D34" s="51" t="n">
        <v>37227333.3333333</v>
      </c>
      <c r="E34" s="51" t="n">
        <v>27295937.5</v>
      </c>
      <c r="F34" s="51" t="n">
        <v>48720750</v>
      </c>
      <c r="G34" s="51" t="n">
        <v>6470208.33333333</v>
      </c>
      <c r="H34" s="51" t="n">
        <v>32000000</v>
      </c>
      <c r="I34" s="51" t="n">
        <v>19000000</v>
      </c>
      <c r="J34" s="51" t="n">
        <v>24000000</v>
      </c>
      <c r="K34" s="51" t="n">
        <v>9000000</v>
      </c>
      <c r="L34" s="52" t="n">
        <v>6000000</v>
      </c>
    </row>
    <row r="35" customFormat="false" ht="15" hidden="false" customHeight="true" outlineLevel="0" collapsed="false">
      <c r="A35" s="35" t="s">
        <v>11</v>
      </c>
      <c r="B35" s="53" t="n">
        <v>307018369.666667</v>
      </c>
      <c r="C35" s="54" t="n">
        <v>78941812.5</v>
      </c>
      <c r="D35" s="54" t="n">
        <v>40154362.5</v>
      </c>
      <c r="E35" s="54" t="n">
        <v>30555350</v>
      </c>
      <c r="F35" s="54" t="n">
        <v>56696166.6666667</v>
      </c>
      <c r="G35" s="54" t="n">
        <v>7170675</v>
      </c>
      <c r="H35" s="54" t="n">
        <v>33500000</v>
      </c>
      <c r="I35" s="54" t="n">
        <v>19200000</v>
      </c>
      <c r="J35" s="54" t="n">
        <v>25099999</v>
      </c>
      <c r="K35" s="54" t="n">
        <v>9500000</v>
      </c>
      <c r="L35" s="55" t="n">
        <v>6200004</v>
      </c>
    </row>
    <row r="36" customFormat="false" ht="15" hidden="false" customHeight="true" outlineLevel="0" collapsed="false">
      <c r="A36" s="35" t="s">
        <v>12</v>
      </c>
      <c r="B36" s="56" t="n">
        <v>311589107.5</v>
      </c>
      <c r="C36" s="57" t="n">
        <v>82690698.3333333</v>
      </c>
      <c r="D36" s="57" t="n">
        <v>40918841.6666667</v>
      </c>
      <c r="E36" s="57" t="n">
        <v>32359275</v>
      </c>
      <c r="F36" s="57" t="n">
        <v>51248833.3333333</v>
      </c>
      <c r="G36" s="57" t="n">
        <v>7871454.16666667</v>
      </c>
      <c r="H36" s="57" t="n">
        <v>34800000</v>
      </c>
      <c r="I36" s="57" t="n">
        <v>19000000</v>
      </c>
      <c r="J36" s="57" t="n">
        <v>26200001</v>
      </c>
      <c r="K36" s="57" t="n">
        <v>10000000</v>
      </c>
      <c r="L36" s="58" t="n">
        <v>6500004</v>
      </c>
    </row>
    <row r="37" customFormat="false" ht="15" hidden="false" customHeight="true" outlineLevel="0" collapsed="false">
      <c r="A37" s="38" t="s">
        <v>78</v>
      </c>
      <c r="B37" s="59" t="n">
        <v>906427164.666667</v>
      </c>
      <c r="C37" s="60" t="n">
        <v>239737969.166667</v>
      </c>
      <c r="D37" s="60" t="n">
        <v>118300537.5</v>
      </c>
      <c r="E37" s="60" t="n">
        <v>90210562.5</v>
      </c>
      <c r="F37" s="60" t="n">
        <v>156665750</v>
      </c>
      <c r="G37" s="60" t="n">
        <v>21512337.5</v>
      </c>
      <c r="H37" s="60" t="n">
        <v>100300000</v>
      </c>
      <c r="I37" s="60" t="n">
        <v>57200000</v>
      </c>
      <c r="J37" s="60" t="n">
        <v>75300000</v>
      </c>
      <c r="K37" s="60" t="n">
        <v>28500000</v>
      </c>
      <c r="L37" s="61" t="n">
        <v>18700008</v>
      </c>
    </row>
  </sheetData>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3" min="3" style="1" width="14"/>
    <col collapsed="false" customWidth="true" hidden="false" outlineLevel="0" max="4" min="4" style="1" width="20"/>
    <col collapsed="false" customWidth="true" hidden="false" outlineLevel="0" max="5" min="5" style="1" width="14"/>
    <col collapsed="false" customWidth="true" hidden="false" outlineLevel="0" max="6" min="6" style="1" width="22"/>
    <col collapsed="false" customWidth="true" hidden="false" outlineLevel="0" max="7" min="7" style="1" width="12"/>
    <col collapsed="false" customWidth="true" hidden="false" outlineLevel="0" max="8" min="8" style="1" width="20"/>
    <col collapsed="false" customWidth="true" hidden="false" outlineLevel="0" max="9" min="9" style="1" width="14"/>
  </cols>
  <sheetData>
    <row r="1" customFormat="false" ht="21.75" hidden="false" customHeight="true" outlineLevel="0" collapsed="false">
      <c r="A1" s="16" t="s">
        <v>110</v>
      </c>
      <c r="B1" s="16"/>
      <c r="C1" s="16"/>
      <c r="D1" s="16"/>
      <c r="E1" s="16"/>
      <c r="F1" s="16"/>
      <c r="G1" s="16"/>
      <c r="H1" s="16"/>
      <c r="I1" s="16"/>
    </row>
    <row r="2" customFormat="false" ht="30" hidden="false" customHeight="true" outlineLevel="0" collapsed="false">
      <c r="A2" s="64" t="s">
        <v>111</v>
      </c>
      <c r="B2" s="64"/>
      <c r="C2" s="64"/>
      <c r="D2" s="64"/>
      <c r="E2" s="64"/>
      <c r="F2" s="64"/>
      <c r="G2" s="64"/>
      <c r="H2" s="64"/>
      <c r="I2" s="64"/>
    </row>
    <row r="4" customFormat="false" ht="15" hidden="false" customHeight="true" outlineLevel="0" collapsed="false">
      <c r="A4" s="65" t="s">
        <v>112</v>
      </c>
      <c r="B4" s="65"/>
      <c r="C4" s="65"/>
      <c r="D4" s="65"/>
      <c r="E4" s="65"/>
      <c r="F4" s="65"/>
      <c r="G4" s="65"/>
      <c r="H4" s="65"/>
      <c r="I4" s="65"/>
    </row>
    <row r="5" customFormat="false" ht="30" hidden="false" customHeight="true" outlineLevel="0" collapsed="false">
      <c r="A5" s="66" t="s">
        <v>2</v>
      </c>
      <c r="B5" s="66" t="s">
        <v>113</v>
      </c>
      <c r="C5" s="66" t="s">
        <v>114</v>
      </c>
      <c r="D5" s="66" t="s">
        <v>115</v>
      </c>
      <c r="E5" s="66" t="s">
        <v>116</v>
      </c>
      <c r="F5" s="66" t="s">
        <v>117</v>
      </c>
      <c r="G5" s="66" t="s">
        <v>118</v>
      </c>
      <c r="H5" s="66" t="s">
        <v>119</v>
      </c>
      <c r="I5" s="66" t="s">
        <v>66</v>
      </c>
    </row>
    <row r="6" customFormat="false" ht="15" hidden="false" customHeight="true" outlineLevel="0" collapsed="false">
      <c r="A6" s="67" t="s">
        <v>10</v>
      </c>
      <c r="B6" s="68" t="n">
        <f aca="false">'Income Statement'!B45</f>
        <v>287819687.5</v>
      </c>
      <c r="C6" s="69" t="n">
        <f aca="false">'Income Statement'!G45</f>
        <v>0.0667038531430088</v>
      </c>
      <c r="D6" s="68" t="n">
        <f aca="false">'Income Statement'!C45</f>
        <v>180000000</v>
      </c>
      <c r="E6" s="69" t="s">
        <v>120</v>
      </c>
      <c r="F6" s="68" t="n">
        <f aca="false">'Income Statement'!D45</f>
        <v>96999990.6752819</v>
      </c>
      <c r="G6" s="69" t="s">
        <v>120</v>
      </c>
      <c r="H6" s="70" t="n">
        <f aca="false">'Income Statement'!E45</f>
        <v>10819696.8247181</v>
      </c>
      <c r="I6" s="71" t="n">
        <f aca="false">'Income Statement'!F45</f>
        <v>0.0375919274970309</v>
      </c>
    </row>
    <row r="7" customFormat="false" ht="15" hidden="false" customHeight="true" outlineLevel="0" collapsed="false">
      <c r="A7" s="67" t="s">
        <v>11</v>
      </c>
      <c r="B7" s="68" t="n">
        <f aca="false">'Income Statement'!B46</f>
        <v>307018369.666667</v>
      </c>
      <c r="C7" s="69" t="n">
        <f aca="false">'Income Statement'!G46</f>
        <v>0.0625326822870922</v>
      </c>
      <c r="D7" s="68" t="n">
        <f aca="false">'Income Statement'!C46</f>
        <v>189500004</v>
      </c>
      <c r="E7" s="69" t="n">
        <f aca="false">D7/D6-1</f>
        <v>0.0527778000000001</v>
      </c>
      <c r="F7" s="68" t="n">
        <f aca="false">'Income Statement'!D46</f>
        <v>101199990.672571</v>
      </c>
      <c r="G7" s="69" t="n">
        <f aca="false">F7/F6-1</f>
        <v>0.0432989732065936</v>
      </c>
      <c r="H7" s="70" t="n">
        <f aca="false">'Income Statement'!E46</f>
        <v>16318374.9940958</v>
      </c>
      <c r="I7" s="71" t="n">
        <f aca="false">'Income Statement'!F46</f>
        <v>0.053151135587792</v>
      </c>
    </row>
    <row r="8" customFormat="false" ht="15" hidden="false" customHeight="true" outlineLevel="0" collapsed="false">
      <c r="A8" s="67" t="s">
        <v>12</v>
      </c>
      <c r="B8" s="68" t="n">
        <f aca="false">'Income Statement'!B47</f>
        <v>311589107.5</v>
      </c>
      <c r="C8" s="69" t="n">
        <f aca="false">'Income Statement'!G47</f>
        <v>0.0146691194374736</v>
      </c>
      <c r="D8" s="68" t="n">
        <f aca="false">'Income Statement'!C47</f>
        <v>198699996</v>
      </c>
      <c r="E8" s="69" t="n">
        <f aca="false">D8/D7-1</f>
        <v>0.0485487694237727</v>
      </c>
      <c r="F8" s="68" t="n">
        <f aca="false">'Income Statement'!D47</f>
        <v>105500000.030192</v>
      </c>
      <c r="G8" s="69" t="n">
        <f aca="false">F8/F7-1</f>
        <v>0.0424902149599329</v>
      </c>
      <c r="H8" s="70" t="n">
        <f aca="false">'Income Statement'!E47</f>
        <v>7389111.46980844</v>
      </c>
      <c r="I8" s="71" t="n">
        <f aca="false">'Income Statement'!F47</f>
        <v>0.0237142804159431</v>
      </c>
    </row>
    <row r="10" customFormat="false" ht="15" hidden="false" customHeight="true" outlineLevel="0" collapsed="false">
      <c r="A10" s="65" t="s">
        <v>121</v>
      </c>
      <c r="B10" s="65"/>
      <c r="C10" s="65"/>
      <c r="D10" s="65"/>
      <c r="E10" s="65"/>
      <c r="F10" s="65"/>
      <c r="G10" s="65"/>
      <c r="H10" s="65"/>
      <c r="I10" s="65"/>
    </row>
    <row r="11" customFormat="false" ht="60" hidden="false" customHeight="true" outlineLevel="0" collapsed="false">
      <c r="A11" s="72" t="s">
        <v>122</v>
      </c>
      <c r="B11" s="72"/>
      <c r="C11" s="72"/>
      <c r="D11" s="72"/>
      <c r="E11" s="72"/>
      <c r="F11" s="72"/>
      <c r="G11" s="72"/>
      <c r="H11" s="72"/>
      <c r="I11" s="72"/>
    </row>
    <row r="12" customFormat="false" ht="60" hidden="false" customHeight="true" outlineLevel="0" collapsed="false">
      <c r="A12" s="72" t="s">
        <v>123</v>
      </c>
      <c r="B12" s="72"/>
      <c r="C12" s="72"/>
      <c r="D12" s="72"/>
      <c r="E12" s="72"/>
      <c r="F12" s="72"/>
      <c r="G12" s="72"/>
      <c r="H12" s="72"/>
      <c r="I12" s="72"/>
    </row>
    <row r="13" customFormat="false" ht="60" hidden="false" customHeight="true" outlineLevel="0" collapsed="false">
      <c r="A13" s="72" t="s">
        <v>124</v>
      </c>
      <c r="B13" s="72"/>
      <c r="C13" s="72"/>
      <c r="D13" s="72"/>
      <c r="E13" s="72"/>
      <c r="F13" s="72"/>
      <c r="G13" s="72"/>
      <c r="H13" s="72"/>
      <c r="I13" s="72"/>
    </row>
    <row r="15" customFormat="false" ht="15" hidden="false" customHeight="true" outlineLevel="0" collapsed="false">
      <c r="A15" s="65" t="s">
        <v>125</v>
      </c>
      <c r="B15" s="65"/>
      <c r="C15" s="65"/>
      <c r="D15" s="65"/>
      <c r="E15" s="65"/>
      <c r="F15" s="65"/>
      <c r="G15" s="65"/>
      <c r="H15" s="65"/>
      <c r="I15" s="65"/>
    </row>
    <row r="16" customFormat="false" ht="30" hidden="false" customHeight="true" outlineLevel="0" collapsed="false">
      <c r="A16" s="66" t="s">
        <v>126</v>
      </c>
      <c r="B16" s="66" t="s">
        <v>15</v>
      </c>
      <c r="C16" s="66" t="s">
        <v>127</v>
      </c>
      <c r="D16" s="66" t="s">
        <v>128</v>
      </c>
    </row>
    <row r="17" customFormat="false" ht="15" hidden="false" customHeight="true" outlineLevel="0" collapsed="false">
      <c r="A17" s="73" t="n">
        <v>1</v>
      </c>
      <c r="B17" s="73" t="s">
        <v>3</v>
      </c>
      <c r="C17" s="68" t="n">
        <f aca="false">SUMIFS(Income!C:C,Income!$B:$B,"FY25/26")</f>
        <v>82690698.3333333</v>
      </c>
      <c r="D17" s="69" t="n">
        <f aca="false">C17/C22</f>
        <v>0.384448572113659</v>
      </c>
    </row>
    <row r="18" customFormat="false" ht="15" hidden="false" customHeight="true" outlineLevel="0" collapsed="false">
      <c r="A18" s="73" t="n">
        <v>2</v>
      </c>
      <c r="B18" s="73" t="s">
        <v>7</v>
      </c>
      <c r="C18" s="68" t="n">
        <f aca="false">SUMIFS(Income!F:F,Income!$B:$B,"FY25/26")</f>
        <v>51248833.3333333</v>
      </c>
      <c r="D18" s="69" t="n">
        <f aca="false">C18/C22</f>
        <v>0.238267921236657</v>
      </c>
    </row>
    <row r="19" customFormat="false" ht="15" hidden="false" customHeight="true" outlineLevel="0" collapsed="false">
      <c r="A19" s="73" t="n">
        <v>3</v>
      </c>
      <c r="B19" s="73" t="s">
        <v>5</v>
      </c>
      <c r="C19" s="68" t="n">
        <f aca="false">SUMIFS(Income!D:D,Income!$B:$B,"FY25/26")</f>
        <v>40918841.6666667</v>
      </c>
      <c r="D19" s="69" t="n">
        <f aca="false">C19/C22</f>
        <v>0.190241352030685</v>
      </c>
    </row>
    <row r="20" customFormat="false" ht="15" hidden="false" customHeight="true" outlineLevel="0" collapsed="false">
      <c r="A20" s="73" t="n">
        <v>4</v>
      </c>
      <c r="B20" s="73" t="s">
        <v>6</v>
      </c>
      <c r="C20" s="68" t="n">
        <f aca="false">SUMIFS(Income!E:E,Income!$B:$B,"FY25/26")</f>
        <v>32359275</v>
      </c>
      <c r="D20" s="69" t="n">
        <f aca="false">C20/C22</f>
        <v>0.150445906481943</v>
      </c>
    </row>
    <row r="21" customFormat="false" ht="15" hidden="false" customHeight="true" outlineLevel="0" collapsed="false">
      <c r="A21" s="73" t="n">
        <v>5</v>
      </c>
      <c r="B21" s="73" t="s">
        <v>8</v>
      </c>
      <c r="C21" s="68" t="n">
        <f aca="false">SUMIFS(Income!G:G,Income!$B:$B,"FY25/26")</f>
        <v>7871454.16666667</v>
      </c>
      <c r="D21" s="69" t="n">
        <f aca="false">C21/C22</f>
        <v>0.036596248137056</v>
      </c>
    </row>
    <row r="22" customFormat="false" ht="15" hidden="false" customHeight="true" outlineLevel="0" collapsed="false">
      <c r="A22" s="67" t="s">
        <v>129</v>
      </c>
      <c r="C22" s="74" t="n">
        <f aca="false">SUM(C17:C21)</f>
        <v>215089102.5</v>
      </c>
      <c r="D22" s="75" t="n">
        <f aca="false">SUM(D17:D21)</f>
        <v>1</v>
      </c>
    </row>
    <row r="24" customFormat="false" ht="15" hidden="false" customHeight="true" outlineLevel="0" collapsed="false">
      <c r="A24" s="65" t="s">
        <v>130</v>
      </c>
      <c r="B24" s="65"/>
      <c r="C24" s="65"/>
      <c r="D24" s="65"/>
      <c r="E24" s="65"/>
      <c r="F24" s="65"/>
      <c r="G24" s="65"/>
      <c r="H24" s="65"/>
      <c r="I24" s="65"/>
    </row>
    <row r="25" customFormat="false" ht="15" hidden="false" customHeight="true" outlineLevel="0" collapsed="false">
      <c r="A25" s="76" t="s">
        <v>131</v>
      </c>
      <c r="B25" s="77" t="n">
        <f aca="false">SUMIFS(Income!D:D,Income!$B:$B,"FY25/26")</f>
        <v>40918841.6666667</v>
      </c>
    </row>
    <row r="26" customFormat="false" ht="15" hidden="false" customHeight="true" outlineLevel="0" collapsed="false">
      <c r="A26" s="76" t="s">
        <v>132</v>
      </c>
      <c r="B26" s="77" t="n">
        <f aca="false">SUMIFS(Income!F:F,Income!$B:$B,"FY25/26")</f>
        <v>51248833.3333333</v>
      </c>
    </row>
    <row r="27" customFormat="false" ht="15" hidden="false" customHeight="true" outlineLevel="0" collapsed="false">
      <c r="A27" s="76" t="s">
        <v>133</v>
      </c>
      <c r="B27" s="77" t="n">
        <f aca="false">B25+B26</f>
        <v>92167675</v>
      </c>
    </row>
    <row r="28" customFormat="false" ht="15" hidden="false" customHeight="true" outlineLevel="0" collapsed="false">
      <c r="A28" s="76" t="s">
        <v>134</v>
      </c>
      <c r="B28" s="77" t="n">
        <f aca="false">C22</f>
        <v>215089102.5</v>
      </c>
    </row>
    <row r="29" customFormat="false" ht="15" hidden="false" customHeight="true" outlineLevel="0" collapsed="false">
      <c r="A29" s="76" t="s">
        <v>135</v>
      </c>
      <c r="B29" s="78" t="n">
        <f aca="false">B27/B28</f>
        <v>0.428509273267343</v>
      </c>
    </row>
    <row r="30" customFormat="false" ht="15" hidden="false" customHeight="true" outlineLevel="0" collapsed="false">
      <c r="A30" s="76" t="s">
        <v>136</v>
      </c>
      <c r="B30" s="77" t="n">
        <f aca="false">'Income Statement'!B47</f>
        <v>311589107.5</v>
      </c>
    </row>
    <row r="31" customFormat="false" ht="15" hidden="false" customHeight="true" outlineLevel="0" collapsed="false">
      <c r="A31" s="76" t="s">
        <v>137</v>
      </c>
      <c r="B31" s="78" t="n">
        <f aca="false">B27/B30</f>
        <v>0.295798770821923</v>
      </c>
    </row>
    <row r="33" customFormat="false" ht="34.5" hidden="false" customHeight="true" outlineLevel="0" collapsed="false">
      <c r="A33" s="79" t="s">
        <v>138</v>
      </c>
      <c r="B33" s="79"/>
      <c r="C33" s="79"/>
      <c r="D33" s="79"/>
      <c r="E33" s="79"/>
      <c r="F33" s="79"/>
      <c r="G33" s="79"/>
      <c r="H33" s="79"/>
      <c r="I33" s="79"/>
    </row>
  </sheetData>
  <mergeCells count="10">
    <mergeCell ref="A1:I1"/>
    <mergeCell ref="A2:I2"/>
    <mergeCell ref="A4:I4"/>
    <mergeCell ref="A10:I10"/>
    <mergeCell ref="A11:I11"/>
    <mergeCell ref="A12:I12"/>
    <mergeCell ref="A13:I13"/>
    <mergeCell ref="A15:I15"/>
    <mergeCell ref="A24:I24"/>
    <mergeCell ref="A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5" min="2" style="1" width="14"/>
  </cols>
  <sheetData>
    <row r="1" customFormat="false" ht="21.75" hidden="false" customHeight="true" outlineLevel="0" collapsed="false">
      <c r="A1" s="16" t="s">
        <v>139</v>
      </c>
      <c r="B1" s="16"/>
      <c r="C1" s="16"/>
      <c r="D1" s="16"/>
      <c r="E1" s="16"/>
    </row>
    <row r="2" customFormat="false" ht="43.5" hidden="false" customHeight="true" outlineLevel="0" collapsed="false">
      <c r="A2" s="64" t="s">
        <v>140</v>
      </c>
      <c r="B2" s="64"/>
      <c r="C2" s="64"/>
      <c r="D2" s="64"/>
      <c r="E2" s="64"/>
    </row>
    <row r="4" customFormat="false" ht="15" hidden="false" customHeight="true" outlineLevel="0" collapsed="false">
      <c r="A4" s="65" t="s">
        <v>141</v>
      </c>
      <c r="B4" s="65"/>
      <c r="C4" s="65"/>
      <c r="D4" s="65"/>
      <c r="E4" s="65"/>
    </row>
    <row r="5" customFormat="false" ht="15" hidden="false" customHeight="true" outlineLevel="0" collapsed="false">
      <c r="A5" s="14" t="s">
        <v>142</v>
      </c>
      <c r="B5" s="80" t="s">
        <v>143</v>
      </c>
    </row>
    <row r="7" customFormat="false" ht="15" hidden="false" customHeight="true" outlineLevel="0" collapsed="false">
      <c r="A7" s="65" t="s">
        <v>144</v>
      </c>
      <c r="B7" s="65"/>
      <c r="C7" s="65"/>
      <c r="D7" s="65"/>
      <c r="E7" s="65"/>
    </row>
    <row r="8" customFormat="false" ht="30" hidden="false" customHeight="true" outlineLevel="0" collapsed="false">
      <c r="A8" s="66" t="s">
        <v>145</v>
      </c>
      <c r="B8" s="66" t="s">
        <v>143</v>
      </c>
      <c r="C8" s="66" t="s">
        <v>146</v>
      </c>
      <c r="D8" s="66" t="s">
        <v>147</v>
      </c>
    </row>
    <row r="9" customFormat="false" ht="23.25" hidden="false" customHeight="true" outlineLevel="0" collapsed="false">
      <c r="A9" s="81" t="s">
        <v>148</v>
      </c>
      <c r="B9" s="82" t="n">
        <v>0</v>
      </c>
      <c r="C9" s="82" t="n">
        <v>0.02</v>
      </c>
      <c r="D9" s="82" t="n">
        <v>-0.03</v>
      </c>
    </row>
    <row r="10" customFormat="false" ht="23.25" hidden="false" customHeight="true" outlineLevel="0" collapsed="false">
      <c r="A10" s="81" t="s">
        <v>149</v>
      </c>
      <c r="B10" s="82" t="n">
        <v>0</v>
      </c>
      <c r="C10" s="82" t="n">
        <v>-0.01</v>
      </c>
      <c r="D10" s="82" t="n">
        <v>0.015</v>
      </c>
    </row>
    <row r="11" customFormat="false" ht="23.25" hidden="false" customHeight="true" outlineLevel="0" collapsed="false">
      <c r="A11" s="81" t="s">
        <v>150</v>
      </c>
      <c r="B11" s="82" t="n">
        <v>0</v>
      </c>
      <c r="C11" s="82" t="n">
        <v>-0.005</v>
      </c>
      <c r="D11" s="82" t="n">
        <v>0.01</v>
      </c>
    </row>
    <row r="13" customFormat="false" ht="15" hidden="false" customHeight="true" outlineLevel="0" collapsed="false">
      <c r="A13" s="65" t="s">
        <v>151</v>
      </c>
      <c r="B13" s="65"/>
    </row>
    <row r="14" customFormat="false" ht="30" hidden="false" customHeight="true" outlineLevel="0" collapsed="false">
      <c r="A14" s="66" t="s">
        <v>145</v>
      </c>
      <c r="B14" s="66" t="s">
        <v>152</v>
      </c>
    </row>
    <row r="15" customFormat="false" ht="23.25" hidden="false" customHeight="true" outlineLevel="0" collapsed="false">
      <c r="A15" s="81" t="s">
        <v>148</v>
      </c>
      <c r="B15" s="83" t="n">
        <f aca="false">IF(B5="Base",B9,IF(B5="Upside",C9,D9))</f>
        <v>0</v>
      </c>
    </row>
    <row r="16" customFormat="false" ht="23.25" hidden="false" customHeight="true" outlineLevel="0" collapsed="false">
      <c r="A16" s="81" t="s">
        <v>149</v>
      </c>
      <c r="B16" s="83" t="n">
        <f aca="false">IF(B5="Base",B10,IF(B5="Upside",C10,D10))</f>
        <v>0</v>
      </c>
    </row>
    <row r="17" customFormat="false" ht="23.25" hidden="false" customHeight="true" outlineLevel="0" collapsed="false">
      <c r="A17" s="81" t="s">
        <v>150</v>
      </c>
      <c r="B17" s="83" t="n">
        <f aca="false">IF(B5="Base",B11,IF(B5="Upside",C11,D11))</f>
        <v>0</v>
      </c>
    </row>
    <row r="19" customFormat="false" ht="15" hidden="false" customHeight="true" outlineLevel="0" collapsed="false">
      <c r="A19" s="65" t="s">
        <v>153</v>
      </c>
      <c r="B19" s="65"/>
      <c r="C19" s="65"/>
      <c r="D19" s="65"/>
    </row>
    <row r="20" customFormat="false" ht="30" hidden="false" customHeight="true" outlineLevel="0" collapsed="false">
      <c r="A20" s="66" t="s">
        <v>154</v>
      </c>
      <c r="B20" s="66" t="s">
        <v>155</v>
      </c>
      <c r="C20" s="66" t="s">
        <v>156</v>
      </c>
      <c r="D20" s="66" t="s">
        <v>157</v>
      </c>
    </row>
    <row r="21" customFormat="false" ht="15" hidden="false" customHeight="true" outlineLevel="0" collapsed="false">
      <c r="A21" s="84" t="s">
        <v>158</v>
      </c>
      <c r="B21" s="84"/>
      <c r="C21" s="84"/>
      <c r="D21" s="84"/>
    </row>
    <row r="22" customFormat="false" ht="15" hidden="false" customHeight="true" outlineLevel="0" collapsed="false">
      <c r="A22" s="76" t="s">
        <v>3</v>
      </c>
      <c r="B22" s="85" t="n">
        <v>0.02</v>
      </c>
      <c r="C22" s="85" t="n">
        <v>0.02</v>
      </c>
      <c r="D22" s="85" t="n">
        <v>0.02</v>
      </c>
    </row>
    <row r="23" customFormat="false" ht="15" hidden="false" customHeight="true" outlineLevel="0" collapsed="false">
      <c r="A23" s="76" t="s">
        <v>5</v>
      </c>
      <c r="B23" s="85" t="n">
        <v>0.01</v>
      </c>
      <c r="C23" s="85" t="n">
        <v>0.01</v>
      </c>
      <c r="D23" s="85" t="n">
        <v>0.02</v>
      </c>
    </row>
    <row r="24" customFormat="false" ht="15" hidden="false" customHeight="true" outlineLevel="0" collapsed="false">
      <c r="A24" s="76" t="s">
        <v>6</v>
      </c>
      <c r="B24" s="85" t="n">
        <v>0.02</v>
      </c>
      <c r="C24" s="85" t="n">
        <v>0.02</v>
      </c>
      <c r="D24" s="85" t="n">
        <v>0.02</v>
      </c>
    </row>
    <row r="25" customFormat="false" ht="15" hidden="false" customHeight="true" outlineLevel="0" collapsed="false">
      <c r="A25" s="76" t="s">
        <v>7</v>
      </c>
      <c r="B25" s="85" t="n">
        <v>0.01</v>
      </c>
      <c r="C25" s="85" t="n">
        <v>0.02</v>
      </c>
      <c r="D25" s="85" t="n">
        <v>0.02</v>
      </c>
    </row>
    <row r="26" customFormat="false" ht="15" hidden="false" customHeight="true" outlineLevel="0" collapsed="false">
      <c r="A26" s="76" t="s">
        <v>8</v>
      </c>
      <c r="B26" s="85" t="n">
        <v>0.02</v>
      </c>
      <c r="C26" s="85" t="n">
        <v>0.02</v>
      </c>
      <c r="D26" s="85" t="n">
        <v>0.02</v>
      </c>
    </row>
    <row r="28" customFormat="false" ht="15" hidden="false" customHeight="true" outlineLevel="0" collapsed="false">
      <c r="A28" s="84" t="s">
        <v>159</v>
      </c>
      <c r="B28" s="84"/>
      <c r="C28" s="84"/>
      <c r="D28" s="84"/>
    </row>
    <row r="29" customFormat="false" ht="15" hidden="false" customHeight="true" outlineLevel="0" collapsed="false">
      <c r="A29" s="76" t="s">
        <v>160</v>
      </c>
      <c r="B29" s="85" t="n">
        <v>0.045</v>
      </c>
      <c r="C29" s="85" t="n">
        <v>0.04</v>
      </c>
      <c r="D29" s="85" t="n">
        <v>0.04</v>
      </c>
    </row>
    <row r="30" customFormat="false" ht="15" hidden="false" customHeight="true" outlineLevel="0" collapsed="false">
      <c r="A30" s="76" t="s">
        <v>161</v>
      </c>
      <c r="B30" s="85" t="n">
        <v>0.04</v>
      </c>
      <c r="C30" s="85" t="n">
        <v>0.04</v>
      </c>
      <c r="D30" s="85" t="n">
        <v>0.04</v>
      </c>
    </row>
    <row r="32" customFormat="false" ht="15" hidden="false" customHeight="true" outlineLevel="0" collapsed="false">
      <c r="A32" s="84" t="s">
        <v>162</v>
      </c>
      <c r="B32" s="84"/>
      <c r="C32" s="84"/>
      <c r="D32" s="84"/>
    </row>
    <row r="33" customFormat="false" ht="15" hidden="false" customHeight="true" outlineLevel="0" collapsed="false">
      <c r="A33" s="86" t="s">
        <v>47</v>
      </c>
      <c r="B33" s="85" t="n">
        <v>0.05</v>
      </c>
      <c r="C33" s="85" t="n">
        <v>0.04</v>
      </c>
      <c r="D33" s="85" t="n">
        <v>0.035</v>
      </c>
    </row>
    <row r="34" customFormat="false" ht="23.25" hidden="false" customHeight="true" outlineLevel="0" collapsed="false">
      <c r="A34" s="86" t="s">
        <v>163</v>
      </c>
      <c r="B34" s="85" t="n">
        <v>0.035</v>
      </c>
      <c r="C34" s="85" t="n">
        <v>0.035</v>
      </c>
      <c r="D34" s="85" t="n">
        <v>0.035</v>
      </c>
    </row>
    <row r="36" customFormat="false" ht="45.75" hidden="false" customHeight="true" outlineLevel="0" collapsed="false">
      <c r="A36" s="79" t="s">
        <v>164</v>
      </c>
      <c r="B36" s="79"/>
      <c r="C36" s="79"/>
      <c r="D36" s="79"/>
    </row>
  </sheetData>
  <mergeCells count="10">
    <mergeCell ref="A1:E1"/>
    <mergeCell ref="A2:E2"/>
    <mergeCell ref="A4:E4"/>
    <mergeCell ref="A7:E7"/>
    <mergeCell ref="A13:B13"/>
    <mergeCell ref="A19:D19"/>
    <mergeCell ref="A21:D21"/>
    <mergeCell ref="A28:D28"/>
    <mergeCell ref="A32:D32"/>
    <mergeCell ref="A36:D36"/>
  </mergeCells>
  <dataValidations count="1">
    <dataValidation allowBlank="false" errorStyle="stop" operator="between" showDropDown="false" showErrorMessage="false" showInputMessage="false" sqref="B5" type="list">
      <formula1>"Base,Upside,Downside"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8.71484375" defaultRowHeight="15" zeroHeight="false" outlineLevelRow="0" outlineLevelCol="0"/>
  <cols>
    <col collapsed="false" customWidth="true" hidden="false" outlineLevel="0" max="1" min="1" style="1" width="42"/>
    <col collapsed="false" customWidth="true" hidden="false" outlineLevel="0" max="2" min="2" style="1" width="30"/>
    <col collapsed="false" customWidth="true" hidden="false" outlineLevel="0" max="5" min="3" style="1" width="14"/>
    <col collapsed="false" customWidth="true" hidden="false" outlineLevel="0" max="6" min="6" style="1" width="11.57"/>
  </cols>
  <sheetData>
    <row r="1" customFormat="false" ht="21.75" hidden="false" customHeight="true" outlineLevel="0" collapsed="false">
      <c r="A1" s="16" t="s">
        <v>165</v>
      </c>
      <c r="B1" s="16"/>
      <c r="C1" s="16"/>
      <c r="D1" s="16"/>
      <c r="E1" s="16"/>
    </row>
    <row r="2" customFormat="false" ht="15.75" hidden="false" customHeight="true" outlineLevel="0" collapsed="false">
      <c r="A2" s="17"/>
      <c r="B2" s="17"/>
      <c r="C2" s="17"/>
      <c r="D2" s="17"/>
      <c r="E2" s="17"/>
    </row>
    <row r="4" customFormat="false" ht="15" hidden="false" customHeight="true" outlineLevel="0" collapsed="false">
      <c r="A4" s="65" t="s">
        <v>166</v>
      </c>
      <c r="B4" s="65"/>
      <c r="C4" s="65"/>
      <c r="D4" s="65"/>
      <c r="E4" s="65"/>
    </row>
    <row r="5" customFormat="false" ht="15" hidden="false" customHeight="true" outlineLevel="0" collapsed="false">
      <c r="A5" s="4" t="s">
        <v>15</v>
      </c>
      <c r="B5" s="4" t="s">
        <v>167</v>
      </c>
      <c r="C5" s="4" t="s">
        <v>155</v>
      </c>
      <c r="D5" s="4" t="s">
        <v>156</v>
      </c>
      <c r="E5" s="4" t="s">
        <v>157</v>
      </c>
    </row>
    <row r="6" customFormat="false" ht="15" hidden="false" customHeight="true" outlineLevel="0" collapsed="false">
      <c r="A6" s="26" t="s">
        <v>3</v>
      </c>
      <c r="B6" s="7" t="s">
        <v>168</v>
      </c>
      <c r="C6" s="18" t="n">
        <f aca="false">'Scenario Assumptions'!B22+'Scenario Assumptions'!$B$15</f>
        <v>0.02</v>
      </c>
      <c r="D6" s="18" t="n">
        <f aca="false">'Scenario Assumptions'!C22+'Scenario Assumptions'!$B$15</f>
        <v>0.02</v>
      </c>
      <c r="E6" s="18" t="n">
        <f aca="false">'Scenario Assumptions'!D22+'Scenario Assumptions'!$B$15</f>
        <v>0.02</v>
      </c>
    </row>
    <row r="7" customFormat="false" ht="15" hidden="false" customHeight="true" outlineLevel="0" collapsed="false">
      <c r="A7" s="26"/>
      <c r="B7" s="7" t="s">
        <v>169</v>
      </c>
      <c r="C7" s="18" t="n">
        <v>0.78</v>
      </c>
      <c r="D7" s="18" t="n">
        <v>0.78</v>
      </c>
      <c r="E7" s="18" t="n">
        <v>0.78</v>
      </c>
    </row>
    <row r="8" customFormat="false" ht="15" hidden="false" customHeight="true" outlineLevel="0" collapsed="false">
      <c r="A8" s="26"/>
      <c r="B8" s="7" t="s">
        <v>170</v>
      </c>
      <c r="C8" s="18" t="n">
        <v>0.62</v>
      </c>
      <c r="D8" s="18" t="n">
        <v>0.62</v>
      </c>
      <c r="E8" s="18" t="n">
        <v>0.63</v>
      </c>
    </row>
    <row r="9" customFormat="false" ht="15" hidden="false" customHeight="true" outlineLevel="0" collapsed="false">
      <c r="A9" s="26"/>
      <c r="B9" s="7" t="s">
        <v>171</v>
      </c>
      <c r="C9" s="18" t="n">
        <v>0.018</v>
      </c>
      <c r="D9" s="18" t="n">
        <v>0.018</v>
      </c>
      <c r="E9" s="18" t="n">
        <v>0.018</v>
      </c>
    </row>
    <row r="10" customFormat="false" ht="15" hidden="false" customHeight="true" outlineLevel="0" collapsed="false">
      <c r="A10" s="26"/>
      <c r="B10" s="7" t="s">
        <v>172</v>
      </c>
      <c r="C10" s="8" t="n">
        <v>3</v>
      </c>
      <c r="D10" s="8" t="n">
        <v>3</v>
      </c>
      <c r="E10" s="8" t="n">
        <v>3</v>
      </c>
    </row>
    <row r="11" customFormat="false" ht="15" hidden="false" customHeight="true" outlineLevel="0" collapsed="false">
      <c r="A11" s="26" t="s">
        <v>5</v>
      </c>
      <c r="B11" s="7" t="s">
        <v>168</v>
      </c>
      <c r="C11" s="18" t="n">
        <f aca="false">'Scenario Assumptions'!B23+'Scenario Assumptions'!$B$15</f>
        <v>0.01</v>
      </c>
      <c r="D11" s="18" t="n">
        <f aca="false">'Scenario Assumptions'!C23+'Scenario Assumptions'!$B$15</f>
        <v>0.01</v>
      </c>
      <c r="E11" s="18" t="n">
        <f aca="false">'Scenario Assumptions'!D23+'Scenario Assumptions'!$B$15</f>
        <v>0.02</v>
      </c>
    </row>
    <row r="12" customFormat="false" ht="15" hidden="false" customHeight="true" outlineLevel="0" collapsed="false">
      <c r="A12" s="26"/>
      <c r="B12" s="7" t="s">
        <v>169</v>
      </c>
      <c r="C12" s="18" t="n">
        <v>0.7</v>
      </c>
      <c r="D12" s="18" t="n">
        <v>0.7</v>
      </c>
      <c r="E12" s="18" t="n">
        <v>0.7</v>
      </c>
    </row>
    <row r="13" customFormat="false" ht="15" hidden="false" customHeight="true" outlineLevel="0" collapsed="false">
      <c r="A13" s="26"/>
      <c r="B13" s="7" t="s">
        <v>170</v>
      </c>
      <c r="C13" s="18" t="n">
        <v>0.44</v>
      </c>
      <c r="D13" s="18" t="n">
        <v>0.44</v>
      </c>
      <c r="E13" s="18" t="n">
        <v>0.45</v>
      </c>
    </row>
    <row r="14" customFormat="false" ht="15" hidden="false" customHeight="true" outlineLevel="0" collapsed="false">
      <c r="A14" s="26"/>
      <c r="B14" s="7" t="s">
        <v>171</v>
      </c>
      <c r="C14" s="18" t="n">
        <v>0.033</v>
      </c>
      <c r="D14" s="18" t="n">
        <v>0.033</v>
      </c>
      <c r="E14" s="18" t="n">
        <v>0.033</v>
      </c>
    </row>
    <row r="15" customFormat="false" ht="15" hidden="false" customHeight="true" outlineLevel="0" collapsed="false">
      <c r="A15" s="26"/>
      <c r="B15" s="7" t="s">
        <v>172</v>
      </c>
      <c r="C15" s="8" t="n">
        <v>3</v>
      </c>
      <c r="D15" s="8" t="n">
        <v>3</v>
      </c>
      <c r="E15" s="8" t="n">
        <v>3</v>
      </c>
    </row>
    <row r="16" customFormat="false" ht="15" hidden="false" customHeight="true" outlineLevel="0" collapsed="false">
      <c r="A16" s="26" t="s">
        <v>6</v>
      </c>
      <c r="B16" s="7" t="s">
        <v>168</v>
      </c>
      <c r="C16" s="18" t="n">
        <f aca="false">'Scenario Assumptions'!B24+'Scenario Assumptions'!$B$15</f>
        <v>0.02</v>
      </c>
      <c r="D16" s="18" t="n">
        <f aca="false">'Scenario Assumptions'!C24+'Scenario Assumptions'!$B$15</f>
        <v>0.02</v>
      </c>
      <c r="E16" s="18" t="n">
        <f aca="false">'Scenario Assumptions'!D24+'Scenario Assumptions'!$B$15</f>
        <v>0.02</v>
      </c>
    </row>
    <row r="17" customFormat="false" ht="15" hidden="false" customHeight="true" outlineLevel="0" collapsed="false">
      <c r="A17" s="26"/>
      <c r="B17" s="7" t="s">
        <v>169</v>
      </c>
      <c r="C17" s="18" t="n">
        <v>0.82</v>
      </c>
      <c r="D17" s="18" t="n">
        <v>0.82</v>
      </c>
      <c r="E17" s="18" t="n">
        <v>0.82</v>
      </c>
    </row>
    <row r="18" customFormat="false" ht="15" hidden="false" customHeight="true" outlineLevel="0" collapsed="false">
      <c r="A18" s="26"/>
      <c r="B18" s="7" t="s">
        <v>170</v>
      </c>
      <c r="C18" s="18" t="n">
        <v>0.68</v>
      </c>
      <c r="D18" s="18" t="n">
        <v>0.68</v>
      </c>
      <c r="E18" s="18" t="n">
        <v>0.69</v>
      </c>
    </row>
    <row r="19" customFormat="false" ht="15" hidden="false" customHeight="true" outlineLevel="0" collapsed="false">
      <c r="A19" s="26"/>
      <c r="B19" s="7" t="s">
        <v>171</v>
      </c>
      <c r="C19" s="18" t="n">
        <v>0.02</v>
      </c>
      <c r="D19" s="18" t="n">
        <v>0.02</v>
      </c>
      <c r="E19" s="18" t="n">
        <v>0.02</v>
      </c>
    </row>
    <row r="20" customFormat="false" ht="15" hidden="false" customHeight="true" outlineLevel="0" collapsed="false">
      <c r="A20" s="26"/>
      <c r="B20" s="7" t="s">
        <v>172</v>
      </c>
      <c r="C20" s="8" t="n">
        <v>1</v>
      </c>
      <c r="D20" s="8" t="n">
        <v>1</v>
      </c>
      <c r="E20" s="8" t="n">
        <v>1</v>
      </c>
    </row>
    <row r="21" customFormat="false" ht="15" hidden="false" customHeight="true" outlineLevel="0" collapsed="false">
      <c r="A21" s="26" t="s">
        <v>7</v>
      </c>
      <c r="B21" s="7" t="s">
        <v>168</v>
      </c>
      <c r="C21" s="18" t="n">
        <f aca="false">'Scenario Assumptions'!B25+'Scenario Assumptions'!$B$15</f>
        <v>0.01</v>
      </c>
      <c r="D21" s="18" t="n">
        <f aca="false">'Scenario Assumptions'!C25+'Scenario Assumptions'!$B$15</f>
        <v>0.02</v>
      </c>
      <c r="E21" s="18" t="n">
        <f aca="false">'Scenario Assumptions'!D25+'Scenario Assumptions'!$B$15</f>
        <v>0.02</v>
      </c>
    </row>
    <row r="22" customFormat="false" ht="15" hidden="false" customHeight="true" outlineLevel="0" collapsed="false">
      <c r="A22" s="26"/>
      <c r="B22" s="7" t="s">
        <v>169</v>
      </c>
      <c r="C22" s="18" t="n">
        <v>0.74</v>
      </c>
      <c r="D22" s="18" t="n">
        <v>0.73</v>
      </c>
      <c r="E22" s="18" t="n">
        <v>0.73</v>
      </c>
    </row>
    <row r="23" customFormat="false" ht="15" hidden="false" customHeight="true" outlineLevel="0" collapsed="false">
      <c r="A23" s="26"/>
      <c r="B23" s="7" t="s">
        <v>170</v>
      </c>
      <c r="C23" s="18" t="n">
        <v>0.44</v>
      </c>
      <c r="D23" s="18" t="n">
        <v>0.45</v>
      </c>
      <c r="E23" s="18" t="n">
        <v>0.45</v>
      </c>
    </row>
    <row r="24" customFormat="false" ht="15" hidden="false" customHeight="true" outlineLevel="0" collapsed="false">
      <c r="A24" s="26"/>
      <c r="B24" s="7" t="s">
        <v>171</v>
      </c>
      <c r="C24" s="18" t="n">
        <v>0.025</v>
      </c>
      <c r="D24" s="18" t="n">
        <v>0.025</v>
      </c>
      <c r="E24" s="18" t="n">
        <v>0.025</v>
      </c>
    </row>
    <row r="25" customFormat="false" ht="15" hidden="false" customHeight="true" outlineLevel="0" collapsed="false">
      <c r="A25" s="26"/>
      <c r="B25" s="7" t="s">
        <v>172</v>
      </c>
      <c r="C25" s="8" t="n">
        <v>1</v>
      </c>
      <c r="D25" s="8" t="n">
        <v>1</v>
      </c>
      <c r="E25" s="8" t="n">
        <v>1</v>
      </c>
    </row>
    <row r="26" customFormat="false" ht="15" hidden="false" customHeight="true" outlineLevel="0" collapsed="false">
      <c r="A26" s="26" t="s">
        <v>8</v>
      </c>
      <c r="B26" s="7" t="s">
        <v>168</v>
      </c>
      <c r="C26" s="18" t="n">
        <f aca="false">'Scenario Assumptions'!B26+'Scenario Assumptions'!$B$15</f>
        <v>0.02</v>
      </c>
      <c r="D26" s="18" t="n">
        <f aca="false">'Scenario Assumptions'!C26+'Scenario Assumptions'!$B$15</f>
        <v>0.02</v>
      </c>
      <c r="E26" s="18" t="n">
        <f aca="false">'Scenario Assumptions'!D26+'Scenario Assumptions'!$B$15</f>
        <v>0.02</v>
      </c>
    </row>
    <row r="27" customFormat="false" ht="15" hidden="false" customHeight="true" outlineLevel="0" collapsed="false">
      <c r="A27" s="26"/>
      <c r="B27" s="7" t="s">
        <v>169</v>
      </c>
      <c r="C27" s="18" t="n">
        <v>0.58</v>
      </c>
      <c r="D27" s="18" t="n">
        <v>0.58</v>
      </c>
      <c r="E27" s="18" t="n">
        <v>0.58</v>
      </c>
    </row>
    <row r="28" customFormat="false" ht="15" hidden="false" customHeight="true" outlineLevel="0" collapsed="false">
      <c r="A28" s="26"/>
      <c r="B28" s="7" t="s">
        <v>170</v>
      </c>
      <c r="C28" s="18" t="n">
        <v>0.75</v>
      </c>
      <c r="D28" s="18" t="n">
        <v>0.75</v>
      </c>
      <c r="E28" s="18" t="n">
        <v>0.75</v>
      </c>
    </row>
    <row r="29" customFormat="false" ht="15" hidden="false" customHeight="true" outlineLevel="0" collapsed="false">
      <c r="A29" s="26"/>
      <c r="B29" s="7" t="s">
        <v>171</v>
      </c>
      <c r="C29" s="18" t="n">
        <v>0.012</v>
      </c>
      <c r="D29" s="18" t="n">
        <v>0.012</v>
      </c>
      <c r="E29" s="18" t="n">
        <v>0.012</v>
      </c>
    </row>
    <row r="30" customFormat="false" ht="15" hidden="false" customHeight="true" outlineLevel="0" collapsed="false">
      <c r="A30" s="26"/>
      <c r="B30" s="7" t="s">
        <v>172</v>
      </c>
      <c r="C30" s="8" t="n">
        <v>4</v>
      </c>
      <c r="D30" s="8" t="n">
        <v>4</v>
      </c>
      <c r="E30" s="8" t="n">
        <v>4</v>
      </c>
    </row>
    <row r="32" customFormat="false" ht="15" hidden="false" customHeight="true" outlineLevel="0" collapsed="false">
      <c r="A32" s="65" t="s">
        <v>173</v>
      </c>
      <c r="B32" s="65"/>
      <c r="C32" s="65"/>
      <c r="D32" s="65"/>
    </row>
    <row r="33" customFormat="false" ht="15" hidden="false" customHeight="true" outlineLevel="0" collapsed="false">
      <c r="A33" s="4" t="s">
        <v>154</v>
      </c>
      <c r="B33" s="4" t="s">
        <v>155</v>
      </c>
      <c r="C33" s="4" t="s">
        <v>156</v>
      </c>
      <c r="D33" s="4" t="s">
        <v>157</v>
      </c>
    </row>
    <row r="34" customFormat="false" ht="15" hidden="false" customHeight="true" outlineLevel="0" collapsed="false">
      <c r="A34" s="7" t="s">
        <v>3</v>
      </c>
      <c r="B34" s="18" t="n">
        <v>0</v>
      </c>
      <c r="C34" s="18" t="n">
        <v>0.02</v>
      </c>
      <c r="D34" s="18" t="n">
        <v>0.02</v>
      </c>
    </row>
    <row r="35" customFormat="false" ht="15" hidden="false" customHeight="true" outlineLevel="0" collapsed="false">
      <c r="A35" s="7" t="s">
        <v>5</v>
      </c>
      <c r="B35" s="18" t="n">
        <v>0.04</v>
      </c>
      <c r="C35" s="18" t="n">
        <v>0.04</v>
      </c>
      <c r="D35" s="18" t="n">
        <v>0.045</v>
      </c>
    </row>
    <row r="36" customFormat="false" ht="15" hidden="false" customHeight="true" outlineLevel="0" collapsed="false">
      <c r="A36" s="7" t="s">
        <v>6</v>
      </c>
      <c r="B36" s="18" t="n">
        <v>0.03</v>
      </c>
      <c r="C36" s="18" t="n">
        <v>0.03</v>
      </c>
      <c r="D36" s="18" t="n">
        <v>0.03</v>
      </c>
    </row>
    <row r="37" customFormat="false" ht="15" hidden="false" customHeight="true" outlineLevel="0" collapsed="false">
      <c r="A37" s="7" t="s">
        <v>7</v>
      </c>
      <c r="B37" s="18" t="n">
        <v>0.04</v>
      </c>
      <c r="C37" s="18" t="n">
        <v>0.04</v>
      </c>
      <c r="D37" s="18" t="n">
        <v>0.045</v>
      </c>
    </row>
    <row r="38" customFormat="false" ht="15" hidden="false" customHeight="true" outlineLevel="0" collapsed="false">
      <c r="A38" s="7" t="s">
        <v>8</v>
      </c>
      <c r="B38" s="18" t="n">
        <v>0.03</v>
      </c>
      <c r="C38" s="18" t="n">
        <v>0.03</v>
      </c>
      <c r="D38" s="18" t="n">
        <v>0.03</v>
      </c>
    </row>
    <row r="40" customFormat="false" ht="15" hidden="false" customHeight="true" outlineLevel="0" collapsed="false">
      <c r="A40" s="65" t="s">
        <v>174</v>
      </c>
      <c r="B40" s="65"/>
      <c r="C40" s="65"/>
      <c r="D40" s="65"/>
    </row>
    <row r="41" customFormat="false" ht="15" hidden="false" customHeight="true" outlineLevel="0" collapsed="false">
      <c r="A41" s="4" t="s">
        <v>154</v>
      </c>
      <c r="B41" s="4" t="s">
        <v>155</v>
      </c>
      <c r="C41" s="4" t="s">
        <v>156</v>
      </c>
      <c r="D41" s="4" t="s">
        <v>157</v>
      </c>
    </row>
    <row r="42" customFormat="false" ht="15" hidden="false" customHeight="true" outlineLevel="0" collapsed="false">
      <c r="A42" s="7" t="s">
        <v>31</v>
      </c>
      <c r="B42" s="18" t="n">
        <v>0.03</v>
      </c>
      <c r="C42" s="18" t="n">
        <v>0.03</v>
      </c>
      <c r="D42" s="18" t="n">
        <v>0.03</v>
      </c>
    </row>
    <row r="43" customFormat="false" ht="15" hidden="false" customHeight="true" outlineLevel="0" collapsed="false">
      <c r="A43" s="7" t="s">
        <v>32</v>
      </c>
      <c r="B43" s="18" t="n">
        <v>0</v>
      </c>
      <c r="C43" s="18" t="n">
        <v>0</v>
      </c>
      <c r="D43" s="18" t="n">
        <v>0.01</v>
      </c>
    </row>
    <row r="44" customFormat="false" ht="15" hidden="false" customHeight="true" outlineLevel="0" collapsed="false">
      <c r="A44" s="7" t="s">
        <v>33</v>
      </c>
      <c r="B44" s="18" t="n">
        <v>0.04</v>
      </c>
      <c r="C44" s="18" t="n">
        <v>0.04</v>
      </c>
      <c r="D44" s="18" t="n">
        <v>0.04</v>
      </c>
    </row>
    <row r="45" customFormat="false" ht="15" hidden="false" customHeight="true" outlineLevel="0" collapsed="false">
      <c r="A45" s="7" t="s">
        <v>34</v>
      </c>
      <c r="B45" s="18" t="n">
        <v>0.04</v>
      </c>
      <c r="C45" s="18" t="n">
        <v>0.04</v>
      </c>
      <c r="D45" s="18" t="n">
        <v>0.04</v>
      </c>
    </row>
    <row r="46" customFormat="false" ht="15" hidden="false" customHeight="true" outlineLevel="0" collapsed="false">
      <c r="A46" s="7" t="s">
        <v>35</v>
      </c>
      <c r="B46" s="18" t="n">
        <v>0.02</v>
      </c>
      <c r="C46" s="18" t="n">
        <v>0.02</v>
      </c>
      <c r="D46" s="18" t="n">
        <v>0.02</v>
      </c>
    </row>
    <row r="48" customFormat="false" ht="15" hidden="false" customHeight="true" outlineLevel="0" collapsed="false">
      <c r="A48" s="65" t="s">
        <v>175</v>
      </c>
      <c r="B48" s="65"/>
      <c r="C48" s="65"/>
      <c r="D48" s="65"/>
    </row>
    <row r="49" customFormat="false" ht="15" hidden="false" customHeight="true" outlineLevel="0" collapsed="false">
      <c r="A49" s="4" t="s">
        <v>154</v>
      </c>
      <c r="B49" s="4" t="s">
        <v>155</v>
      </c>
      <c r="C49" s="4" t="s">
        <v>156</v>
      </c>
      <c r="D49" s="4" t="s">
        <v>157</v>
      </c>
    </row>
    <row r="50" customFormat="false" ht="15" hidden="false" customHeight="true" outlineLevel="0" collapsed="false">
      <c r="A50" s="7" t="s">
        <v>176</v>
      </c>
      <c r="B50" s="18" t="n">
        <f aca="false">'Scenario Assumptions'!B29+'Scenario Assumptions'!$B$16</f>
        <v>0.045</v>
      </c>
      <c r="C50" s="18" t="n">
        <f aca="false">'Scenario Assumptions'!C29+'Scenario Assumptions'!$B$16</f>
        <v>0.04</v>
      </c>
      <c r="D50" s="18" t="n">
        <f aca="false">'Scenario Assumptions'!D29+'Scenario Assumptions'!$B$16</f>
        <v>0.04</v>
      </c>
    </row>
    <row r="51" customFormat="false" ht="15" hidden="false" customHeight="true" outlineLevel="0" collapsed="false">
      <c r="A51" s="7" t="s">
        <v>177</v>
      </c>
      <c r="B51" s="18" t="n">
        <f aca="false">'Scenario Assumptions'!B30+'Scenario Assumptions'!$B$16</f>
        <v>0.04</v>
      </c>
      <c r="C51" s="18" t="n">
        <f aca="false">'Scenario Assumptions'!C30+'Scenario Assumptions'!$B$16</f>
        <v>0.04</v>
      </c>
      <c r="D51" s="18" t="n">
        <f aca="false">'Scenario Assumptions'!D30+'Scenario Assumptions'!$B$16</f>
        <v>0.04</v>
      </c>
    </row>
    <row r="52" customFormat="false" ht="15" hidden="false" customHeight="true" outlineLevel="0" collapsed="false">
      <c r="A52" s="7" t="s">
        <v>178</v>
      </c>
      <c r="B52" s="18" t="n">
        <v>0.02</v>
      </c>
      <c r="C52" s="18" t="n">
        <v>0.02</v>
      </c>
      <c r="D52" s="18" t="n">
        <v>0.02</v>
      </c>
    </row>
    <row r="53" customFormat="false" ht="15" hidden="false" customHeight="true" outlineLevel="0" collapsed="false">
      <c r="A53" s="7" t="s">
        <v>179</v>
      </c>
      <c r="B53" s="18" t="n">
        <v>0.015</v>
      </c>
      <c r="C53" s="18" t="n">
        <v>0.015</v>
      </c>
      <c r="D53" s="18" t="n">
        <v>0.015</v>
      </c>
    </row>
    <row r="55" customFormat="false" ht="15" hidden="false" customHeight="true" outlineLevel="0" collapsed="false">
      <c r="A55" s="65" t="s">
        <v>180</v>
      </c>
      <c r="B55" s="65"/>
      <c r="C55" s="65"/>
      <c r="D55" s="65"/>
    </row>
    <row r="56" customFormat="false" ht="15" hidden="false" customHeight="true" outlineLevel="0" collapsed="false">
      <c r="A56" s="4" t="s">
        <v>154</v>
      </c>
      <c r="B56" s="4" t="s">
        <v>155</v>
      </c>
      <c r="C56" s="4" t="s">
        <v>156</v>
      </c>
      <c r="D56" s="4" t="s">
        <v>157</v>
      </c>
    </row>
    <row r="57" customFormat="false" ht="15" hidden="false" customHeight="true" outlineLevel="0" collapsed="false">
      <c r="A57" s="7" t="s">
        <v>181</v>
      </c>
      <c r="B57" s="18" t="n">
        <f aca="false">'Scenario Assumptions'!B33+'Scenario Assumptions'!$B$17</f>
        <v>0.05</v>
      </c>
      <c r="C57" s="18" t="n">
        <f aca="false">'Scenario Assumptions'!C33+'Scenario Assumptions'!$B$17</f>
        <v>0.04</v>
      </c>
      <c r="D57" s="18" t="n">
        <f aca="false">'Scenario Assumptions'!D33+'Scenario Assumptions'!$B$17</f>
        <v>0.035</v>
      </c>
    </row>
    <row r="58" customFormat="false" ht="15" hidden="false" customHeight="true" outlineLevel="0" collapsed="false">
      <c r="A58" s="7" t="s">
        <v>182</v>
      </c>
      <c r="B58" s="18" t="n">
        <f aca="false">'Scenario Assumptions'!B34+'Scenario Assumptions'!$B$17</f>
        <v>0.035</v>
      </c>
      <c r="C58" s="18" t="n">
        <f aca="false">'Scenario Assumptions'!C34+'Scenario Assumptions'!$B$17</f>
        <v>0.035</v>
      </c>
      <c r="D58" s="18" t="n">
        <f aca="false">'Scenario Assumptions'!D34+'Scenario Assumptions'!$B$17</f>
        <v>0.035</v>
      </c>
    </row>
    <row r="60" customFormat="false" ht="15" hidden="false" customHeight="true" outlineLevel="0" collapsed="false">
      <c r="A60" s="65" t="s">
        <v>183</v>
      </c>
      <c r="B60" s="65"/>
      <c r="C60" s="65"/>
      <c r="D60" s="65"/>
      <c r="E60" s="65"/>
    </row>
    <row r="61" customFormat="false" ht="15" hidden="false" customHeight="true" outlineLevel="0" collapsed="false">
      <c r="A61" s="4" t="s">
        <v>154</v>
      </c>
      <c r="B61" s="4" t="s">
        <v>155</v>
      </c>
      <c r="C61" s="4" t="s">
        <v>156</v>
      </c>
      <c r="D61" s="4" t="s">
        <v>157</v>
      </c>
    </row>
    <row r="62" customFormat="false" ht="15" hidden="false" customHeight="true" outlineLevel="0" collapsed="false">
      <c r="A62" s="7" t="s">
        <v>184</v>
      </c>
      <c r="B62" s="8" t="n">
        <v>10500000</v>
      </c>
      <c r="C62" s="8" t="n">
        <v>11000000</v>
      </c>
      <c r="D62" s="8" t="n">
        <v>11500000</v>
      </c>
    </row>
    <row r="63" customFormat="false" ht="15" hidden="false" customHeight="true" outlineLevel="0" collapsed="false">
      <c r="A63" s="87" t="s">
        <v>185</v>
      </c>
      <c r="B63" s="9" t="n">
        <f aca="false">'Cash Position'!F40</f>
        <v>48027183.2886224</v>
      </c>
      <c r="C63" s="88"/>
      <c r="D63" s="88"/>
    </row>
    <row r="65" customFormat="false" ht="51.75" hidden="false" customHeight="true" outlineLevel="0" collapsed="false">
      <c r="A65" s="21"/>
      <c r="B65" s="21"/>
      <c r="C65" s="21"/>
      <c r="D65" s="21"/>
      <c r="E65" s="21"/>
    </row>
  </sheetData>
  <mergeCells count="9">
    <mergeCell ref="A1:E1"/>
    <mergeCell ref="A2:E2"/>
    <mergeCell ref="A4:E4"/>
    <mergeCell ref="A32:D32"/>
    <mergeCell ref="A40:D40"/>
    <mergeCell ref="A48:D48"/>
    <mergeCell ref="A55:D55"/>
    <mergeCell ref="A60:E60"/>
    <mergeCell ref="A65:E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40" activeCellId="0" sqref="A40"/>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
    <col collapsed="false" customWidth="true" hidden="false" outlineLevel="0" max="13" min="3" style="1" width="15"/>
  </cols>
  <sheetData>
    <row r="1" customFormat="false" ht="21.75" hidden="false" customHeight="true" outlineLevel="0" collapsed="false">
      <c r="A1" s="16" t="s">
        <v>186</v>
      </c>
      <c r="B1" s="16"/>
      <c r="C1" s="16"/>
      <c r="D1" s="16"/>
      <c r="E1" s="16"/>
      <c r="F1" s="16"/>
      <c r="G1" s="16"/>
      <c r="H1" s="16"/>
      <c r="I1" s="16"/>
      <c r="J1" s="16"/>
      <c r="K1" s="16"/>
      <c r="L1" s="16"/>
      <c r="M1" s="16"/>
    </row>
    <row r="2" customFormat="false" ht="48" hidden="false" customHeight="true" outlineLevel="0" collapsed="false">
      <c r="A2" s="64" t="s">
        <v>187</v>
      </c>
      <c r="B2" s="64"/>
      <c r="C2" s="64"/>
      <c r="D2" s="64"/>
      <c r="E2" s="64"/>
      <c r="F2" s="64"/>
      <c r="G2" s="64"/>
      <c r="H2" s="64"/>
      <c r="I2" s="64"/>
      <c r="J2" s="64"/>
      <c r="K2" s="64"/>
      <c r="L2" s="64"/>
      <c r="M2" s="64"/>
    </row>
    <row r="3" customFormat="false" ht="15" hidden="false" customHeight="true" outlineLevel="0" collapsed="false">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row>
    <row r="4" customFormat="false" ht="15" hidden="false" customHeight="true" outlineLevel="0" collapsed="false">
      <c r="A4" s="65" t="s">
        <v>188</v>
      </c>
      <c r="B4" s="65"/>
      <c r="C4" s="65"/>
      <c r="D4" s="65"/>
      <c r="E4" s="65"/>
      <c r="F4" s="65"/>
      <c r="G4" s="65"/>
      <c r="H4" s="65"/>
      <c r="I4" s="65"/>
      <c r="J4" s="65"/>
      <c r="K4" s="65"/>
      <c r="L4" s="65"/>
      <c r="M4" s="65"/>
    </row>
    <row r="5" customFormat="false" ht="30" hidden="false" customHeight="true" outlineLevel="0" collapsed="false">
      <c r="A5" s="66" t="s">
        <v>15</v>
      </c>
      <c r="B5" s="66" t="s">
        <v>2</v>
      </c>
      <c r="C5" s="66" t="s">
        <v>16</v>
      </c>
      <c r="D5" s="66" t="s">
        <v>189</v>
      </c>
      <c r="E5" s="66" t="s">
        <v>168</v>
      </c>
      <c r="F5" s="66" t="s">
        <v>169</v>
      </c>
      <c r="G5" s="66" t="s">
        <v>190</v>
      </c>
      <c r="H5" s="66" t="s">
        <v>17</v>
      </c>
      <c r="I5" s="66" t="s">
        <v>191</v>
      </c>
      <c r="J5" s="66" t="s">
        <v>18</v>
      </c>
      <c r="K5" s="66" t="s">
        <v>192</v>
      </c>
      <c r="L5" s="66" t="s">
        <v>20</v>
      </c>
      <c r="M5" s="66" t="s">
        <v>21</v>
      </c>
    </row>
    <row r="6" customFormat="false" ht="15" hidden="false" customHeight="true" outlineLevel="0" collapsed="false">
      <c r="A6" s="67" t="s">
        <v>3</v>
      </c>
      <c r="B6" s="73" t="s">
        <v>155</v>
      </c>
      <c r="C6" s="68" t="n">
        <f aca="false">'Student Flow Summary'!G7</f>
        <v>6273</v>
      </c>
      <c r="D6" s="68" t="n">
        <f aca="false">('Student Flow Summary'!D7/(F6*G6))*(1+E6)</f>
        <v>6538.46153846154</v>
      </c>
      <c r="E6" s="69" t="n">
        <f aca="false">'Forecast Assumptions'!C6</f>
        <v>0.02</v>
      </c>
      <c r="F6" s="69" t="n">
        <f aca="false">'Forecast Assumptions'!C7</f>
        <v>0.78</v>
      </c>
      <c r="G6" s="69" t="n">
        <f aca="false">'Forecast Assumptions'!C8</f>
        <v>0.62</v>
      </c>
      <c r="H6" s="68" t="n">
        <f aca="false">D6*F6*G6</f>
        <v>3162</v>
      </c>
      <c r="I6" s="69" t="n">
        <f aca="false">'Forecast Assumptions'!C9</f>
        <v>0.018</v>
      </c>
      <c r="J6" s="68" t="n">
        <f aca="false">I6*(C6+H6)</f>
        <v>169.83</v>
      </c>
      <c r="K6" s="68" t="n">
        <f aca="false">'Student Flow Summary'!F7*(H6/'Student Flow Summary'!D7)</f>
        <v>2907</v>
      </c>
      <c r="L6" s="70" t="n">
        <f aca="false">C6+H6-J6-K6</f>
        <v>6358.17</v>
      </c>
      <c r="M6" s="69" t="n">
        <f aca="false">1-J6/(C6+H6)</f>
        <v>0.982</v>
      </c>
    </row>
    <row r="7" customFormat="false" ht="15" hidden="false" customHeight="true" outlineLevel="0" collapsed="false">
      <c r="A7" s="67" t="s">
        <v>3</v>
      </c>
      <c r="B7" s="73" t="s">
        <v>156</v>
      </c>
      <c r="C7" s="68" t="n">
        <f aca="false">L6</f>
        <v>6358.17</v>
      </c>
      <c r="D7" s="68" t="n">
        <f aca="false">D6*(1+E7)</f>
        <v>6669.23076923077</v>
      </c>
      <c r="E7" s="69" t="n">
        <f aca="false">'Forecast Assumptions'!D6</f>
        <v>0.02</v>
      </c>
      <c r="F7" s="69" t="n">
        <f aca="false">'Forecast Assumptions'!D7</f>
        <v>0.78</v>
      </c>
      <c r="G7" s="69" t="n">
        <f aca="false">'Forecast Assumptions'!D8</f>
        <v>0.62</v>
      </c>
      <c r="H7" s="68" t="n">
        <f aca="false">D7*F7*G7</f>
        <v>3225.24</v>
      </c>
      <c r="I7" s="69" t="n">
        <f aca="false">'Forecast Assumptions'!D9</f>
        <v>0.018</v>
      </c>
      <c r="J7" s="68" t="n">
        <f aca="false">I7*(C7+H7)</f>
        <v>172.50138</v>
      </c>
      <c r="K7" s="68" t="n">
        <f aca="false">K6*(H7/H6)</f>
        <v>2965.14</v>
      </c>
      <c r="L7" s="70" t="n">
        <f aca="false">C7+H7-J7-K7</f>
        <v>6445.76862</v>
      </c>
      <c r="M7" s="69" t="n">
        <f aca="false">1-J7/(C7+H7)</f>
        <v>0.982</v>
      </c>
    </row>
    <row r="8" customFormat="false" ht="15" hidden="false" customHeight="true" outlineLevel="0" collapsed="false">
      <c r="A8" s="67" t="s">
        <v>3</v>
      </c>
      <c r="B8" s="73" t="s">
        <v>157</v>
      </c>
      <c r="C8" s="68" t="n">
        <f aca="false">L7</f>
        <v>6445.76862</v>
      </c>
      <c r="D8" s="68" t="n">
        <f aca="false">D7*(1+E8)</f>
        <v>6802.61538461538</v>
      </c>
      <c r="E8" s="69" t="n">
        <f aca="false">'Forecast Assumptions'!E6</f>
        <v>0.02</v>
      </c>
      <c r="F8" s="69" t="n">
        <f aca="false">'Forecast Assumptions'!E7</f>
        <v>0.78</v>
      </c>
      <c r="G8" s="69" t="n">
        <f aca="false">'Forecast Assumptions'!E8</f>
        <v>0.63</v>
      </c>
      <c r="H8" s="68" t="n">
        <f aca="false">D8*F8*G8</f>
        <v>3342.8052</v>
      </c>
      <c r="I8" s="69" t="n">
        <f aca="false">'Forecast Assumptions'!E9</f>
        <v>0.018</v>
      </c>
      <c r="J8" s="68" t="n">
        <f aca="false">I8*(C8+H8)</f>
        <v>176.19432876</v>
      </c>
      <c r="K8" s="68" t="n">
        <f aca="false">K7*(H8/H7)</f>
        <v>3073.22413548387</v>
      </c>
      <c r="L8" s="70" t="n">
        <f aca="false">C8+H8-J8-K8</f>
        <v>6539.15535575613</v>
      </c>
      <c r="M8" s="69" t="n">
        <f aca="false">1-J8/(C8+H8)</f>
        <v>0.982</v>
      </c>
    </row>
    <row r="9" customFormat="false" ht="15" hidden="false" customHeight="true" outlineLevel="0" collapsed="false">
      <c r="A9" s="67" t="s">
        <v>5</v>
      </c>
      <c r="B9" s="73" t="s">
        <v>155</v>
      </c>
      <c r="C9" s="68" t="n">
        <f aca="false">'Student Flow Summary'!G10</f>
        <v>1408</v>
      </c>
      <c r="D9" s="68" t="n">
        <f aca="false">('Student Flow Summary'!D10/(F9*G9))*(1+E9)</f>
        <v>2115.0974025974</v>
      </c>
      <c r="E9" s="69" t="n">
        <f aca="false">'Forecast Assumptions'!C11</f>
        <v>0.01</v>
      </c>
      <c r="F9" s="69" t="n">
        <f aca="false">'Forecast Assumptions'!C12</f>
        <v>0.7</v>
      </c>
      <c r="G9" s="69" t="n">
        <f aca="false">'Forecast Assumptions'!C13</f>
        <v>0.44</v>
      </c>
      <c r="H9" s="68" t="n">
        <f aca="false">D9*F9*G9</f>
        <v>651.45</v>
      </c>
      <c r="I9" s="69" t="n">
        <f aca="false">'Forecast Assumptions'!C14</f>
        <v>0.033</v>
      </c>
      <c r="J9" s="68" t="n">
        <f aca="false">I9*(C9+H9)</f>
        <v>67.96185</v>
      </c>
      <c r="K9" s="68" t="n">
        <f aca="false">'Student Flow Summary'!F10*(H9/'Student Flow Summary'!D10)</f>
        <v>628.22</v>
      </c>
      <c r="L9" s="70" t="n">
        <f aca="false">C9+H9-J9-K9</f>
        <v>1363.26815</v>
      </c>
      <c r="M9" s="69" t="n">
        <f aca="false">1-J9/(C9+H9)</f>
        <v>0.967</v>
      </c>
    </row>
    <row r="10" customFormat="false" ht="15" hidden="false" customHeight="true" outlineLevel="0" collapsed="false">
      <c r="A10" s="67" t="s">
        <v>5</v>
      </c>
      <c r="B10" s="73" t="s">
        <v>156</v>
      </c>
      <c r="C10" s="68" t="n">
        <f aca="false">L9</f>
        <v>1363.26815</v>
      </c>
      <c r="D10" s="68" t="n">
        <f aca="false">D9*(1+E10)</f>
        <v>2136.24837662338</v>
      </c>
      <c r="E10" s="69" t="n">
        <f aca="false">'Forecast Assumptions'!D11</f>
        <v>0.01</v>
      </c>
      <c r="F10" s="69" t="n">
        <f aca="false">'Forecast Assumptions'!D12</f>
        <v>0.7</v>
      </c>
      <c r="G10" s="69" t="n">
        <f aca="false">'Forecast Assumptions'!D13</f>
        <v>0.44</v>
      </c>
      <c r="H10" s="68" t="n">
        <f aca="false">D10*F10*G10</f>
        <v>657.9645</v>
      </c>
      <c r="I10" s="69" t="n">
        <f aca="false">'Forecast Assumptions'!D14</f>
        <v>0.033</v>
      </c>
      <c r="J10" s="68" t="n">
        <f aca="false">I10*(C10+H10)</f>
        <v>66.70067745</v>
      </c>
      <c r="K10" s="68" t="n">
        <f aca="false">K9*(H10/H9)</f>
        <v>634.5022</v>
      </c>
      <c r="L10" s="70" t="n">
        <f aca="false">C10+H10-J10-K10</f>
        <v>1320.02977255</v>
      </c>
      <c r="M10" s="69" t="n">
        <f aca="false">1-J10/(C10+H10)</f>
        <v>0.967</v>
      </c>
    </row>
    <row r="11" customFormat="false" ht="15" hidden="false" customHeight="true" outlineLevel="0" collapsed="false">
      <c r="A11" s="67" t="s">
        <v>5</v>
      </c>
      <c r="B11" s="73" t="s">
        <v>157</v>
      </c>
      <c r="C11" s="68" t="n">
        <f aca="false">L10</f>
        <v>1320.02977255</v>
      </c>
      <c r="D11" s="68" t="n">
        <f aca="false">D10*(1+E11)</f>
        <v>2178.97334415584</v>
      </c>
      <c r="E11" s="69" t="n">
        <f aca="false">'Forecast Assumptions'!E11</f>
        <v>0.02</v>
      </c>
      <c r="F11" s="69" t="n">
        <f aca="false">'Forecast Assumptions'!E12</f>
        <v>0.7</v>
      </c>
      <c r="G11" s="69" t="n">
        <f aca="false">'Forecast Assumptions'!E13</f>
        <v>0.45</v>
      </c>
      <c r="H11" s="68" t="n">
        <f aca="false">D11*F11*G11</f>
        <v>686.376603409091</v>
      </c>
      <c r="I11" s="69" t="n">
        <f aca="false">'Forecast Assumptions'!E14</f>
        <v>0.033</v>
      </c>
      <c r="J11" s="68" t="n">
        <f aca="false">I11*(C11+H11)</f>
        <v>66.21141040665</v>
      </c>
      <c r="K11" s="68" t="n">
        <f aca="false">K10*(H11/H10)</f>
        <v>661.901158636363</v>
      </c>
      <c r="L11" s="70" t="n">
        <f aca="false">C11+H11-J11-K11</f>
        <v>1278.29380691608</v>
      </c>
      <c r="M11" s="69" t="n">
        <f aca="false">1-J11/(C11+H11)</f>
        <v>0.967</v>
      </c>
    </row>
    <row r="12" customFormat="false" ht="15" hidden="false" customHeight="true" outlineLevel="0" collapsed="false">
      <c r="A12" s="67" t="s">
        <v>6</v>
      </c>
      <c r="B12" s="73" t="s">
        <v>155</v>
      </c>
      <c r="C12" s="68" t="n">
        <f aca="false">'Student Flow Summary'!G13</f>
        <v>947</v>
      </c>
      <c r="D12" s="68" t="n">
        <f aca="false">('Student Flow Summary'!D13/(F12*G12))*(1+E12)</f>
        <v>13759.756097561</v>
      </c>
      <c r="E12" s="69" t="n">
        <f aca="false">'Forecast Assumptions'!C16</f>
        <v>0.02</v>
      </c>
      <c r="F12" s="69" t="n">
        <f aca="false">'Forecast Assumptions'!C17</f>
        <v>0.82</v>
      </c>
      <c r="G12" s="69" t="n">
        <f aca="false">'Forecast Assumptions'!C18</f>
        <v>0.68</v>
      </c>
      <c r="H12" s="68" t="n">
        <f aca="false">D12*F12*G12</f>
        <v>7672.44</v>
      </c>
      <c r="I12" s="69" t="n">
        <f aca="false">'Forecast Assumptions'!C19</f>
        <v>0.02</v>
      </c>
      <c r="J12" s="68" t="n">
        <f aca="false">I12*(C12+H12)</f>
        <v>172.3888</v>
      </c>
      <c r="K12" s="68" t="n">
        <f aca="false">'Student Flow Summary'!F13*(H12/'Student Flow Summary'!D13)</f>
        <v>7038</v>
      </c>
      <c r="L12" s="70" t="n">
        <f aca="false">C12+H12-J12-K12</f>
        <v>1409.0512</v>
      </c>
      <c r="M12" s="69" t="n">
        <f aca="false">1-J12/(C12+H12)</f>
        <v>0.98</v>
      </c>
    </row>
    <row r="13" customFormat="false" ht="15" hidden="false" customHeight="true" outlineLevel="0" collapsed="false">
      <c r="A13" s="67" t="s">
        <v>6</v>
      </c>
      <c r="B13" s="73" t="s">
        <v>156</v>
      </c>
      <c r="C13" s="68" t="n">
        <f aca="false">L12</f>
        <v>1409.0512</v>
      </c>
      <c r="D13" s="68" t="n">
        <f aca="false">D12*(1+E13)</f>
        <v>14034.9512195122</v>
      </c>
      <c r="E13" s="69" t="n">
        <f aca="false">'Forecast Assumptions'!D16</f>
        <v>0.02</v>
      </c>
      <c r="F13" s="69" t="n">
        <f aca="false">'Forecast Assumptions'!D17</f>
        <v>0.82</v>
      </c>
      <c r="G13" s="69" t="n">
        <f aca="false">'Forecast Assumptions'!D18</f>
        <v>0.68</v>
      </c>
      <c r="H13" s="68" t="n">
        <f aca="false">D13*F13*G13</f>
        <v>7825.8888</v>
      </c>
      <c r="I13" s="69" t="n">
        <f aca="false">'Forecast Assumptions'!D19</f>
        <v>0.02</v>
      </c>
      <c r="J13" s="68" t="n">
        <f aca="false">I13*(C13+H13)</f>
        <v>184.6988</v>
      </c>
      <c r="K13" s="68" t="n">
        <f aca="false">K12*(H13/H12)</f>
        <v>7178.76</v>
      </c>
      <c r="L13" s="70" t="n">
        <f aca="false">C13+H13-J13-K13</f>
        <v>1871.4812</v>
      </c>
      <c r="M13" s="69" t="n">
        <f aca="false">1-J13/(C13+H13)</f>
        <v>0.98</v>
      </c>
    </row>
    <row r="14" customFormat="false" ht="15" hidden="false" customHeight="true" outlineLevel="0" collapsed="false">
      <c r="A14" s="67" t="s">
        <v>6</v>
      </c>
      <c r="B14" s="73" t="s">
        <v>157</v>
      </c>
      <c r="C14" s="68" t="n">
        <f aca="false">L13</f>
        <v>1871.4812</v>
      </c>
      <c r="D14" s="68" t="n">
        <f aca="false">D13*(1+E14)</f>
        <v>14315.6502439024</v>
      </c>
      <c r="E14" s="69" t="n">
        <f aca="false">'Forecast Assumptions'!E16</f>
        <v>0.02</v>
      </c>
      <c r="F14" s="69" t="n">
        <f aca="false">'Forecast Assumptions'!E17</f>
        <v>0.82</v>
      </c>
      <c r="G14" s="69" t="n">
        <f aca="false">'Forecast Assumptions'!E18</f>
        <v>0.69</v>
      </c>
      <c r="H14" s="68" t="n">
        <f aca="false">D14*F14*G14</f>
        <v>8099.794908</v>
      </c>
      <c r="I14" s="69" t="n">
        <f aca="false">'Forecast Assumptions'!E19</f>
        <v>0.02</v>
      </c>
      <c r="J14" s="68" t="n">
        <f aca="false">I14*(C14+H14)</f>
        <v>199.42552216</v>
      </c>
      <c r="K14" s="68" t="n">
        <f aca="false">K13*(H14/H13)</f>
        <v>7430.0166</v>
      </c>
      <c r="L14" s="70" t="n">
        <f aca="false">C14+H14-J14-K14</f>
        <v>2341.83398584</v>
      </c>
      <c r="M14" s="69" t="n">
        <f aca="false">1-J14/(C14+H14)</f>
        <v>0.98</v>
      </c>
    </row>
    <row r="15" customFormat="false" ht="15" hidden="false" customHeight="true" outlineLevel="0" collapsed="false">
      <c r="A15" s="67" t="s">
        <v>7</v>
      </c>
      <c r="B15" s="73" t="s">
        <v>155</v>
      </c>
      <c r="C15" s="68" t="n">
        <f aca="false">'Student Flow Summary'!G16</f>
        <v>689</v>
      </c>
      <c r="D15" s="68" t="n">
        <f aca="false">('Student Flow Summary'!D16/(F15*G15))*(1+E15)</f>
        <v>17938.6670761671</v>
      </c>
      <c r="E15" s="69" t="n">
        <f aca="false">'Forecast Assumptions'!C21</f>
        <v>0.01</v>
      </c>
      <c r="F15" s="69" t="n">
        <f aca="false">'Forecast Assumptions'!C22</f>
        <v>0.74</v>
      </c>
      <c r="G15" s="69" t="n">
        <f aca="false">'Forecast Assumptions'!C23</f>
        <v>0.44</v>
      </c>
      <c r="H15" s="68" t="n">
        <f aca="false">D15*F15*G15</f>
        <v>5840.83</v>
      </c>
      <c r="I15" s="69" t="n">
        <f aca="false">'Forecast Assumptions'!C24</f>
        <v>0.025</v>
      </c>
      <c r="J15" s="68" t="n">
        <f aca="false">I15*(C15+H15)</f>
        <v>163.24575</v>
      </c>
      <c r="K15" s="68" t="n">
        <f aca="false">'Student Flow Summary'!F16*(H15/'Student Flow Summary'!D16)</f>
        <v>5477.23</v>
      </c>
      <c r="L15" s="70" t="n">
        <f aca="false">C15+H15-J15-K15</f>
        <v>889.354249999999</v>
      </c>
      <c r="M15" s="69" t="n">
        <f aca="false">1-J15/(C15+H15)</f>
        <v>0.975</v>
      </c>
    </row>
    <row r="16" customFormat="false" ht="15" hidden="false" customHeight="true" outlineLevel="0" collapsed="false">
      <c r="A16" s="67" t="s">
        <v>7</v>
      </c>
      <c r="B16" s="73" t="s">
        <v>156</v>
      </c>
      <c r="C16" s="68" t="n">
        <f aca="false">L15</f>
        <v>889.354249999999</v>
      </c>
      <c r="D16" s="68" t="n">
        <f aca="false">D15*(1+E16)</f>
        <v>18297.4404176904</v>
      </c>
      <c r="E16" s="69" t="n">
        <f aca="false">'Forecast Assumptions'!D21</f>
        <v>0.02</v>
      </c>
      <c r="F16" s="69" t="n">
        <f aca="false">'Forecast Assumptions'!D22</f>
        <v>0.73</v>
      </c>
      <c r="G16" s="69" t="n">
        <f aca="false">'Forecast Assumptions'!D23</f>
        <v>0.45</v>
      </c>
      <c r="H16" s="68" t="n">
        <f aca="false">D16*F16*G16</f>
        <v>6010.7091772113</v>
      </c>
      <c r="I16" s="69" t="n">
        <f aca="false">'Forecast Assumptions'!D24</f>
        <v>0.025</v>
      </c>
      <c r="J16" s="68" t="n">
        <f aca="false">I16*(C16+H16)</f>
        <v>172.501585680283</v>
      </c>
      <c r="K16" s="68" t="n">
        <f aca="false">K15*(H16/H15)</f>
        <v>5636.53395608108</v>
      </c>
      <c r="L16" s="70" t="n">
        <f aca="false">C16+H16-J16-K16</f>
        <v>1091.02788544994</v>
      </c>
      <c r="M16" s="69" t="n">
        <f aca="false">1-J16/(C16+H16)</f>
        <v>0.975</v>
      </c>
    </row>
    <row r="17" customFormat="false" ht="15" hidden="false" customHeight="true" outlineLevel="0" collapsed="false">
      <c r="A17" s="67" t="s">
        <v>7</v>
      </c>
      <c r="B17" s="73" t="s">
        <v>157</v>
      </c>
      <c r="C17" s="68" t="n">
        <f aca="false">L16</f>
        <v>1091.02788544994</v>
      </c>
      <c r="D17" s="68" t="n">
        <f aca="false">D16*(1+E17)</f>
        <v>18663.3892260442</v>
      </c>
      <c r="E17" s="69" t="n">
        <f aca="false">'Forecast Assumptions'!E21</f>
        <v>0.02</v>
      </c>
      <c r="F17" s="69" t="n">
        <f aca="false">'Forecast Assumptions'!E22</f>
        <v>0.73</v>
      </c>
      <c r="G17" s="69" t="n">
        <f aca="false">'Forecast Assumptions'!E23</f>
        <v>0.45</v>
      </c>
      <c r="H17" s="68" t="n">
        <f aca="false">D17*F17*G17</f>
        <v>6130.92336075553</v>
      </c>
      <c r="I17" s="69" t="n">
        <f aca="false">'Forecast Assumptions'!E24</f>
        <v>0.025</v>
      </c>
      <c r="J17" s="68" t="n">
        <f aca="false">I17*(C17+H17)</f>
        <v>180.548781155137</v>
      </c>
      <c r="K17" s="68" t="n">
        <f aca="false">K16*(H17/H16)</f>
        <v>5749.2646352027</v>
      </c>
      <c r="L17" s="70" t="n">
        <f aca="false">C17+H17-J17-K17</f>
        <v>1292.13782984763</v>
      </c>
      <c r="M17" s="69" t="n">
        <f aca="false">1-J17/(C17+H17)</f>
        <v>0.975</v>
      </c>
    </row>
    <row r="18" customFormat="false" ht="15" hidden="false" customHeight="true" outlineLevel="0" collapsed="false">
      <c r="A18" s="67" t="s">
        <v>8</v>
      </c>
      <c r="B18" s="73" t="s">
        <v>155</v>
      </c>
      <c r="C18" s="68" t="n">
        <f aca="false">'Student Flow Summary'!G19</f>
        <v>930</v>
      </c>
      <c r="D18" s="68" t="n">
        <f aca="false">('Student Flow Summary'!D19/(F18*G18))*(1+E18)</f>
        <v>794.896551724138</v>
      </c>
      <c r="E18" s="69" t="n">
        <f aca="false">'Forecast Assumptions'!C26</f>
        <v>0.02</v>
      </c>
      <c r="F18" s="69" t="n">
        <f aca="false">'Forecast Assumptions'!C27</f>
        <v>0.58</v>
      </c>
      <c r="G18" s="69" t="n">
        <f aca="false">'Forecast Assumptions'!C28</f>
        <v>0.75</v>
      </c>
      <c r="H18" s="68" t="n">
        <f aca="false">D18*F18*G18</f>
        <v>345.78</v>
      </c>
      <c r="I18" s="69" t="n">
        <f aca="false">'Forecast Assumptions'!C29</f>
        <v>0.012</v>
      </c>
      <c r="J18" s="68" t="n">
        <f aca="false">I18*(C18+H18)</f>
        <v>15.30936</v>
      </c>
      <c r="K18" s="68" t="n">
        <f aca="false">'Student Flow Summary'!F19*(H18/'Student Flow Summary'!D19)</f>
        <v>278.46</v>
      </c>
      <c r="L18" s="70" t="n">
        <f aca="false">C18+H18-J18-K18</f>
        <v>982.01064</v>
      </c>
      <c r="M18" s="69" t="n">
        <f aca="false">1-J18/(C18+H18)</f>
        <v>0.988</v>
      </c>
    </row>
    <row r="19" customFormat="false" ht="15" hidden="false" customHeight="true" outlineLevel="0" collapsed="false">
      <c r="A19" s="67" t="s">
        <v>8</v>
      </c>
      <c r="B19" s="73" t="s">
        <v>156</v>
      </c>
      <c r="C19" s="68" t="n">
        <f aca="false">L18</f>
        <v>982.01064</v>
      </c>
      <c r="D19" s="68" t="n">
        <f aca="false">D18*(1+E19)</f>
        <v>810.794482758621</v>
      </c>
      <c r="E19" s="69" t="n">
        <f aca="false">'Forecast Assumptions'!D26</f>
        <v>0.02</v>
      </c>
      <c r="F19" s="69" t="n">
        <f aca="false">'Forecast Assumptions'!D27</f>
        <v>0.58</v>
      </c>
      <c r="G19" s="69" t="n">
        <f aca="false">'Forecast Assumptions'!D28</f>
        <v>0.75</v>
      </c>
      <c r="H19" s="68" t="n">
        <f aca="false">D19*F19*G19</f>
        <v>352.6956</v>
      </c>
      <c r="I19" s="69" t="n">
        <f aca="false">'Forecast Assumptions'!D29</f>
        <v>0.012</v>
      </c>
      <c r="J19" s="68" t="n">
        <f aca="false">I19*(C19+H19)</f>
        <v>16.01647488</v>
      </c>
      <c r="K19" s="68" t="n">
        <f aca="false">K18*(H19/H18)</f>
        <v>284.0292</v>
      </c>
      <c r="L19" s="70" t="n">
        <f aca="false">C19+H19-J19-K19</f>
        <v>1034.66056512</v>
      </c>
      <c r="M19" s="69" t="n">
        <f aca="false">1-J19/(C19+H19)</f>
        <v>0.988</v>
      </c>
    </row>
    <row r="20" customFormat="false" ht="15" hidden="false" customHeight="true" outlineLevel="0" collapsed="false">
      <c r="A20" s="67" t="s">
        <v>8</v>
      </c>
      <c r="B20" s="73" t="s">
        <v>157</v>
      </c>
      <c r="C20" s="68" t="n">
        <f aca="false">L19</f>
        <v>1034.66056512</v>
      </c>
      <c r="D20" s="68" t="n">
        <f aca="false">D19*(1+E20)</f>
        <v>827.010372413793</v>
      </c>
      <c r="E20" s="69" t="n">
        <f aca="false">'Forecast Assumptions'!E26</f>
        <v>0.02</v>
      </c>
      <c r="F20" s="69" t="n">
        <f aca="false">'Forecast Assumptions'!E27</f>
        <v>0.58</v>
      </c>
      <c r="G20" s="69" t="n">
        <f aca="false">'Forecast Assumptions'!E28</f>
        <v>0.75</v>
      </c>
      <c r="H20" s="68" t="n">
        <f aca="false">D20*F20*G20</f>
        <v>359.749512</v>
      </c>
      <c r="I20" s="69" t="n">
        <f aca="false">'Forecast Assumptions'!E29</f>
        <v>0.012</v>
      </c>
      <c r="J20" s="68" t="n">
        <f aca="false">I20*(C20+H20)</f>
        <v>16.73292092544</v>
      </c>
      <c r="K20" s="68" t="n">
        <f aca="false">K19*(H20/H19)</f>
        <v>289.709784</v>
      </c>
      <c r="L20" s="70" t="n">
        <f aca="false">C20+H20-J20-K20</f>
        <v>1087.96737219456</v>
      </c>
      <c r="M20" s="69" t="n">
        <f aca="false">1-J20/(C20+H20)</f>
        <v>0.988</v>
      </c>
    </row>
    <row r="22" customFormat="false" ht="15" hidden="false" customHeight="true" outlineLevel="0" collapsed="false">
      <c r="A22" s="65" t="s">
        <v>193</v>
      </c>
      <c r="B22" s="65"/>
      <c r="C22" s="65"/>
      <c r="D22" s="65"/>
      <c r="E22" s="65"/>
      <c r="F22" s="65"/>
      <c r="G22" s="65"/>
      <c r="H22" s="65"/>
      <c r="I22" s="65"/>
      <c r="J22" s="65"/>
      <c r="K22" s="65"/>
      <c r="L22" s="65"/>
      <c r="M22" s="65"/>
    </row>
    <row r="23" customFormat="false" ht="30" hidden="false" customHeight="true" outlineLevel="0" collapsed="false">
      <c r="A23" s="66" t="s">
        <v>15</v>
      </c>
      <c r="B23" s="66" t="s">
        <v>194</v>
      </c>
      <c r="C23" s="66" t="s">
        <v>195</v>
      </c>
      <c r="D23" s="66" t="s">
        <v>196</v>
      </c>
      <c r="E23" s="66" t="s">
        <v>197</v>
      </c>
      <c r="F23" s="66" t="s">
        <v>198</v>
      </c>
      <c r="G23" s="66" t="s">
        <v>199</v>
      </c>
      <c r="H23" s="66" t="s">
        <v>200</v>
      </c>
      <c r="I23" s="66" t="s">
        <v>201</v>
      </c>
      <c r="J23" s="66" t="s">
        <v>202</v>
      </c>
      <c r="K23" s="66" t="s">
        <v>203</v>
      </c>
      <c r="L23" s="66" t="s">
        <v>204</v>
      </c>
      <c r="M23" s="66" t="s">
        <v>205</v>
      </c>
    </row>
    <row r="24" customFormat="false" ht="15" hidden="false" customHeight="true" outlineLevel="0" collapsed="false">
      <c r="A24" s="67" t="s">
        <v>3</v>
      </c>
      <c r="B24" s="89" t="n">
        <f aca="false">'Student Headcount'!C29/'Student Headcount'!$C$30</f>
        <v>0.667567567567568</v>
      </c>
      <c r="C24" s="89" t="n">
        <f aca="false">'Student Headcount'!C30/'Student Headcount'!$C$30</f>
        <v>1</v>
      </c>
      <c r="D24" s="89" t="n">
        <f aca="false">'Student Headcount'!C31/'Student Headcount'!$C$30</f>
        <v>0.984540540540541</v>
      </c>
      <c r="E24" s="89" t="n">
        <f aca="false">'Student Headcount'!C32/'Student Headcount'!$C$30</f>
        <v>0.994810810810811</v>
      </c>
      <c r="F24" s="89" t="n">
        <f aca="false">'Student Headcount'!C33/'Student Headcount'!$C$30</f>
        <v>0.996324324324324</v>
      </c>
      <c r="G24" s="89" t="n">
        <f aca="false">'Student Headcount'!C34/'Student Headcount'!$C$30</f>
        <v>0.995783783783784</v>
      </c>
      <c r="H24" s="89" t="n">
        <f aca="false">'Student Headcount'!C35/'Student Headcount'!$C$30</f>
        <v>0.984432432432432</v>
      </c>
      <c r="I24" s="89" t="n">
        <f aca="false">'Student Headcount'!C36/'Student Headcount'!$C$30</f>
        <v>0.989297297297297</v>
      </c>
      <c r="J24" s="89" t="n">
        <f aca="false">'Student Headcount'!C37/'Student Headcount'!$C$30</f>
        <v>0.984756756756757</v>
      </c>
      <c r="K24" s="89" t="n">
        <f aca="false">'Student Headcount'!C38/'Student Headcount'!$C$30</f>
        <v>0.984324324324324</v>
      </c>
      <c r="L24" s="89" t="n">
        <f aca="false">'Student Headcount'!C39/'Student Headcount'!$C$30</f>
        <v>0.993945945945946</v>
      </c>
      <c r="M24" s="89" t="n">
        <f aca="false">'Student Headcount'!C40/'Student Headcount'!$C$30</f>
        <v>0.674810810810811</v>
      </c>
    </row>
    <row r="25" customFormat="false" ht="15" hidden="false" customHeight="true" outlineLevel="0" collapsed="false">
      <c r="A25" s="67" t="s">
        <v>5</v>
      </c>
      <c r="B25" s="89" t="n">
        <f aca="false">'Student Headcount'!E29/'Student Headcount'!$E$30</f>
        <v>0.695965417867435</v>
      </c>
      <c r="C25" s="89" t="n">
        <f aca="false">'Student Headcount'!E30/'Student Headcount'!$E$30</f>
        <v>1</v>
      </c>
      <c r="D25" s="89" t="n">
        <f aca="false">'Student Headcount'!E31/'Student Headcount'!$E$30</f>
        <v>1.00096061479347</v>
      </c>
      <c r="E25" s="89" t="n">
        <f aca="false">'Student Headcount'!E32/'Student Headcount'!$E$30</f>
        <v>0.990393852065322</v>
      </c>
      <c r="F25" s="89" t="n">
        <f aca="false">'Student Headcount'!E33/'Student Headcount'!$E$30</f>
        <v>0.990874159462056</v>
      </c>
      <c r="G25" s="89" t="n">
        <f aca="false">'Student Headcount'!E34/'Student Headcount'!$E$30</f>
        <v>0.990393852065322</v>
      </c>
      <c r="H25" s="89" t="n">
        <f aca="false">'Student Headcount'!E35/'Student Headcount'!$E$30</f>
        <v>0.994236311239193</v>
      </c>
      <c r="I25" s="89" t="n">
        <f aca="false">'Student Headcount'!E36/'Student Headcount'!$E$30</f>
        <v>0.992795389048991</v>
      </c>
      <c r="J25" s="89" t="n">
        <f aca="false">'Student Headcount'!E37/'Student Headcount'!$E$30</f>
        <v>0.975504322766571</v>
      </c>
      <c r="K25" s="89" t="n">
        <f aca="false">'Student Headcount'!E38/'Student Headcount'!$E$30</f>
        <v>0.975984630163305</v>
      </c>
      <c r="L25" s="89" t="n">
        <f aca="false">'Student Headcount'!E39/'Student Headcount'!$E$30</f>
        <v>0.981748318924111</v>
      </c>
      <c r="M25" s="89" t="n">
        <f aca="false">'Student Headcount'!E40/'Student Headcount'!$E$30</f>
        <v>0.668587896253602</v>
      </c>
    </row>
    <row r="26" customFormat="false" ht="15" hidden="false" customHeight="true" outlineLevel="0" collapsed="false">
      <c r="A26" s="67" t="s">
        <v>6</v>
      </c>
      <c r="B26" s="89" t="n">
        <f aca="false">'Student Headcount'!G29/'Student Headcount'!$G$30</f>
        <v>0.0981197033898305</v>
      </c>
      <c r="C26" s="89" t="n">
        <f aca="false">'Student Headcount'!G30/'Student Headcount'!$G$30</f>
        <v>1</v>
      </c>
      <c r="D26" s="89" t="n">
        <f aca="false">'Student Headcount'!G31/'Student Headcount'!$G$30</f>
        <v>0.813559322033898</v>
      </c>
      <c r="E26" s="89" t="n">
        <f aca="false">'Student Headcount'!G32/'Student Headcount'!$G$30</f>
        <v>0.651615466101695</v>
      </c>
      <c r="F26" s="89" t="n">
        <f aca="false">'Student Headcount'!G33/'Student Headcount'!$G$30</f>
        <v>0.516551906779661</v>
      </c>
      <c r="G26" s="89" t="n">
        <f aca="false">'Student Headcount'!G34/'Student Headcount'!$G$30</f>
        <v>0.477754237288136</v>
      </c>
      <c r="H26" s="89" t="n">
        <f aca="false">'Student Headcount'!G35/'Student Headcount'!$G$30</f>
        <v>0.382415254237288</v>
      </c>
      <c r="I26" s="89" t="n">
        <f aca="false">'Student Headcount'!G36/'Student Headcount'!$G$30</f>
        <v>0.304422669491525</v>
      </c>
      <c r="J26" s="89" t="n">
        <f aca="false">'Student Headcount'!G37/'Student Headcount'!$G$30</f>
        <v>0.246557203389831</v>
      </c>
      <c r="K26" s="89" t="n">
        <f aca="false">'Student Headcount'!G38/'Student Headcount'!$G$30</f>
        <v>0.1953125</v>
      </c>
      <c r="L26" s="89" t="n">
        <f aca="false">'Student Headcount'!G39/'Student Headcount'!$G$30</f>
        <v>0.156779661016949</v>
      </c>
      <c r="M26" s="89" t="n">
        <f aca="false">'Student Headcount'!G40/'Student Headcount'!$G$30</f>
        <v>0.124867584745763</v>
      </c>
    </row>
    <row r="27" customFormat="false" ht="15" hidden="false" customHeight="true" outlineLevel="0" collapsed="false">
      <c r="A27" s="67" t="s">
        <v>7</v>
      </c>
      <c r="B27" s="89" t="n">
        <f aca="false">'Student Headcount'!I29/'Student Headcount'!$I$30</f>
        <v>0.107419898819562</v>
      </c>
      <c r="C27" s="89" t="n">
        <f aca="false">'Student Headcount'!I30/'Student Headcount'!$I$30</f>
        <v>1</v>
      </c>
      <c r="D27" s="89" t="n">
        <f aca="false">'Student Headcount'!I31/'Student Headcount'!$I$30</f>
        <v>0.79106239460371</v>
      </c>
      <c r="E27" s="89" t="n">
        <f aca="false">'Student Headcount'!I32/'Student Headcount'!$I$30</f>
        <v>0.633558178752108</v>
      </c>
      <c r="F27" s="89" t="n">
        <f aca="false">'Student Headcount'!I33/'Student Headcount'!$I$30</f>
        <v>0.500674536256324</v>
      </c>
      <c r="G27" s="89" t="n">
        <f aca="false">'Student Headcount'!I34/'Student Headcount'!$I$30</f>
        <v>0.459865092748735</v>
      </c>
      <c r="H27" s="89" t="n">
        <f aca="false">'Student Headcount'!I35/'Student Headcount'!$I$30</f>
        <v>0.363406408094435</v>
      </c>
      <c r="I27" s="89" t="n">
        <f aca="false">'Student Headcount'!I36/'Student Headcount'!$I$30</f>
        <v>0.288701517706577</v>
      </c>
      <c r="J27" s="89" t="n">
        <f aca="false">'Student Headcount'!I37/'Student Headcount'!$I$30</f>
        <v>0.233052276559865</v>
      </c>
      <c r="K27" s="89" t="n">
        <f aca="false">'Student Headcount'!I38/'Student Headcount'!$I$30</f>
        <v>0.183305227655987</v>
      </c>
      <c r="L27" s="89" t="n">
        <f aca="false">'Student Headcount'!I39/'Student Headcount'!$I$30</f>
        <v>0.14637436762226</v>
      </c>
      <c r="M27" s="89" t="n">
        <f aca="false">'Student Headcount'!I40/'Student Headcount'!$I$30</f>
        <v>0.116188870151771</v>
      </c>
    </row>
    <row r="28" customFormat="false" ht="15" hidden="false" customHeight="true" outlineLevel="0" collapsed="false">
      <c r="A28" s="67" t="s">
        <v>8</v>
      </c>
      <c r="B28" s="89" t="n">
        <f aca="false">'Student Headcount'!K29/'Student Headcount'!$K$30</f>
        <v>0.761363636363636</v>
      </c>
      <c r="C28" s="89" t="n">
        <f aca="false">'Student Headcount'!K30/'Student Headcount'!$K$30</f>
        <v>1</v>
      </c>
      <c r="D28" s="89" t="n">
        <f aca="false">'Student Headcount'!K31/'Student Headcount'!$K$30</f>
        <v>0.986888111888112</v>
      </c>
      <c r="E28" s="89" t="n">
        <f aca="false">'Student Headcount'!K32/'Student Headcount'!$K$30</f>
        <v>0.984265734265734</v>
      </c>
      <c r="F28" s="89" t="n">
        <f aca="false">'Student Headcount'!K33/'Student Headcount'!$K$30</f>
        <v>0.993006993006993</v>
      </c>
      <c r="G28" s="89" t="n">
        <f aca="false">'Student Headcount'!K34/'Student Headcount'!$K$30</f>
        <v>1.05332167832168</v>
      </c>
      <c r="H28" s="89" t="n">
        <f aca="false">'Student Headcount'!K35/'Student Headcount'!$K$30</f>
        <v>1.05856643356643</v>
      </c>
      <c r="I28" s="89" t="n">
        <f aca="false">'Student Headcount'!K36/'Student Headcount'!$K$30</f>
        <v>1.0708041958042</v>
      </c>
      <c r="J28" s="89" t="n">
        <f aca="false">'Student Headcount'!K37/'Student Headcount'!$K$30</f>
        <v>1.04982517482517</v>
      </c>
      <c r="K28" s="89" t="n">
        <f aca="false">'Student Headcount'!K38/'Student Headcount'!$K$30</f>
        <v>1.0506993006993</v>
      </c>
      <c r="L28" s="89" t="n">
        <f aca="false">'Student Headcount'!K39/'Student Headcount'!$K$30</f>
        <v>1.05506993006993</v>
      </c>
      <c r="M28" s="89" t="n">
        <f aca="false">'Student Headcount'!K40/'Student Headcount'!$K$30</f>
        <v>0.816433566433567</v>
      </c>
    </row>
    <row r="30" customFormat="false" ht="15" hidden="false" customHeight="true" outlineLevel="0" collapsed="false">
      <c r="A30" s="65" t="s">
        <v>206</v>
      </c>
      <c r="B30" s="65"/>
      <c r="C30" s="65"/>
      <c r="D30" s="65"/>
      <c r="E30" s="65"/>
      <c r="F30" s="65"/>
      <c r="G30" s="65"/>
      <c r="H30" s="65"/>
      <c r="I30" s="65"/>
      <c r="J30" s="65"/>
      <c r="K30" s="65"/>
      <c r="L30" s="65"/>
      <c r="M30" s="65"/>
    </row>
    <row r="31" customFormat="false" ht="30" hidden="false" customHeight="true" outlineLevel="0" collapsed="false">
      <c r="A31" s="66" t="s">
        <v>15</v>
      </c>
      <c r="B31" s="66" t="s">
        <v>207</v>
      </c>
      <c r="C31" s="66" t="s">
        <v>155</v>
      </c>
      <c r="D31" s="66" t="s">
        <v>156</v>
      </c>
      <c r="E31" s="66" t="s">
        <v>157</v>
      </c>
    </row>
    <row r="32" customFormat="false" ht="15" hidden="false" customHeight="true" outlineLevel="0" collapsed="false">
      <c r="A32" s="67" t="s">
        <v>3</v>
      </c>
      <c r="B32" s="68" t="n">
        <f aca="false">'Student Headcount'!C30</f>
        <v>9250</v>
      </c>
      <c r="C32" s="68" t="n">
        <f aca="false">B32*(H6/'Student Flow Summary'!D7)</f>
        <v>9435</v>
      </c>
      <c r="D32" s="68" t="n">
        <f aca="false">C32*(H7/H6)</f>
        <v>9623.7</v>
      </c>
      <c r="E32" s="68" t="n">
        <f aca="false">D32*(H8/H7)</f>
        <v>9974.49938709677</v>
      </c>
    </row>
    <row r="33" customFormat="false" ht="15" hidden="false" customHeight="true" outlineLevel="0" collapsed="false">
      <c r="A33" s="67" t="s">
        <v>5</v>
      </c>
      <c r="B33" s="68" t="n">
        <f aca="false">'Student Headcount'!E30</f>
        <v>2082</v>
      </c>
      <c r="C33" s="68" t="n">
        <f aca="false">B33*(H9/'Student Flow Summary'!D10)</f>
        <v>2102.82</v>
      </c>
      <c r="D33" s="68" t="n">
        <f aca="false">C33*(H10/H9)</f>
        <v>2123.8482</v>
      </c>
      <c r="E33" s="68" t="n">
        <f aca="false">D33*(H11/H10)</f>
        <v>2215.55982681818</v>
      </c>
    </row>
    <row r="34" customFormat="false" ht="15" hidden="false" customHeight="true" outlineLevel="0" collapsed="false">
      <c r="A34" s="67" t="s">
        <v>6</v>
      </c>
      <c r="B34" s="68" t="n">
        <f aca="false">'Student Headcount'!G30</f>
        <v>7552</v>
      </c>
      <c r="C34" s="68" t="n">
        <f aca="false">B34*(H12/'Student Flow Summary'!D13)</f>
        <v>7703.04</v>
      </c>
      <c r="D34" s="68" t="n">
        <f aca="false">C34*(H13/H12)</f>
        <v>7857.1008</v>
      </c>
      <c r="E34" s="68" t="n">
        <f aca="false">D34*(H14/H13)</f>
        <v>8132.099328</v>
      </c>
    </row>
    <row r="35" customFormat="false" ht="15" hidden="false" customHeight="true" outlineLevel="0" collapsed="false">
      <c r="A35" s="67" t="s">
        <v>7</v>
      </c>
      <c r="B35" s="68" t="n">
        <f aca="false">'Student Headcount'!I30</f>
        <v>5930</v>
      </c>
      <c r="C35" s="68" t="n">
        <f aca="false">B35*(H15/'Student Flow Summary'!D16)</f>
        <v>5989.3</v>
      </c>
      <c r="D35" s="68" t="n">
        <f aca="false">C35*(H16/H15)</f>
        <v>6163.49739250614</v>
      </c>
      <c r="E35" s="68" t="n">
        <f aca="false">D35*(H17/H16)</f>
        <v>6286.76734035627</v>
      </c>
    </row>
    <row r="36" customFormat="false" ht="15" hidden="false" customHeight="true" outlineLevel="0" collapsed="false">
      <c r="A36" s="67" t="s">
        <v>8</v>
      </c>
      <c r="B36" s="68" t="n">
        <f aca="false">'Student Headcount'!K30</f>
        <v>1144</v>
      </c>
      <c r="C36" s="68" t="n">
        <f aca="false">B36*(H18/'Student Flow Summary'!D19)</f>
        <v>1166.88</v>
      </c>
      <c r="D36" s="68" t="n">
        <f aca="false">C36*(H19/H18)</f>
        <v>1190.2176</v>
      </c>
      <c r="E36" s="68" t="n">
        <f aca="false">D36*(H20/H19)</f>
        <v>1214.021952</v>
      </c>
    </row>
    <row r="38" customFormat="false" ht="15" hidden="false" customHeight="true" outlineLevel="0" collapsed="false">
      <c r="A38" s="65" t="s">
        <v>208</v>
      </c>
      <c r="B38" s="65"/>
      <c r="C38" s="65"/>
      <c r="D38" s="65"/>
      <c r="E38" s="65"/>
      <c r="F38" s="65"/>
      <c r="G38" s="65"/>
      <c r="H38" s="65"/>
    </row>
    <row r="39" customFormat="false" ht="30" hidden="false" customHeight="true" outlineLevel="0" collapsed="false">
      <c r="A39" s="66" t="s">
        <v>1</v>
      </c>
      <c r="B39" s="66" t="s">
        <v>2</v>
      </c>
      <c r="C39" s="66" t="s">
        <v>3</v>
      </c>
      <c r="D39" s="66" t="s">
        <v>5</v>
      </c>
      <c r="E39" s="66" t="s">
        <v>6</v>
      </c>
      <c r="F39" s="66" t="s">
        <v>7</v>
      </c>
      <c r="G39" s="66" t="s">
        <v>8</v>
      </c>
      <c r="H39" s="66" t="s">
        <v>129</v>
      </c>
    </row>
    <row r="40" customFormat="false" ht="15" hidden="false" customHeight="true" outlineLevel="0" collapsed="false">
      <c r="A40" s="90" t="n">
        <v>46235</v>
      </c>
      <c r="B40" s="73" t="s">
        <v>155</v>
      </c>
      <c r="C40" s="68" t="n">
        <f aca="false">B24*C32</f>
        <v>6298.5</v>
      </c>
      <c r="D40" s="68" t="n">
        <f aca="false">B25*C33</f>
        <v>1463.49</v>
      </c>
      <c r="E40" s="68" t="n">
        <f aca="false">B26*C34</f>
        <v>755.82</v>
      </c>
      <c r="F40" s="68" t="n">
        <f aca="false">B27*C35</f>
        <v>643.37</v>
      </c>
      <c r="G40" s="68" t="n">
        <f aca="false">B28*C36</f>
        <v>888.42</v>
      </c>
      <c r="H40" s="91" t="n">
        <f aca="false">SUM(C40:G40)</f>
        <v>10049.6</v>
      </c>
    </row>
    <row r="41" customFormat="false" ht="15" hidden="false" customHeight="true" outlineLevel="0" collapsed="false">
      <c r="A41" s="90" t="n">
        <v>46266</v>
      </c>
      <c r="B41" s="73" t="s">
        <v>155</v>
      </c>
      <c r="C41" s="68" t="n">
        <f aca="false">C24*C32</f>
        <v>9435</v>
      </c>
      <c r="D41" s="68" t="n">
        <f aca="false">C25*C33</f>
        <v>2102.82</v>
      </c>
      <c r="E41" s="68" t="n">
        <f aca="false">C26*C34</f>
        <v>7703.04</v>
      </c>
      <c r="F41" s="68" t="n">
        <f aca="false">C27*C35</f>
        <v>5989.3</v>
      </c>
      <c r="G41" s="68" t="n">
        <f aca="false">C28*C36</f>
        <v>1166.88</v>
      </c>
      <c r="H41" s="91" t="n">
        <f aca="false">SUM(C41:G41)</f>
        <v>26397.04</v>
      </c>
    </row>
    <row r="42" customFormat="false" ht="15" hidden="false" customHeight="true" outlineLevel="0" collapsed="false">
      <c r="A42" s="90" t="n">
        <v>46296</v>
      </c>
      <c r="B42" s="73" t="s">
        <v>155</v>
      </c>
      <c r="C42" s="68" t="n">
        <f aca="false">D24*C32</f>
        <v>9289.14</v>
      </c>
      <c r="D42" s="68" t="n">
        <f aca="false">D25*C33</f>
        <v>2104.84</v>
      </c>
      <c r="E42" s="68" t="n">
        <f aca="false">D26*C34</f>
        <v>6266.88</v>
      </c>
      <c r="F42" s="68" t="n">
        <f aca="false">D27*C35</f>
        <v>4737.91</v>
      </c>
      <c r="G42" s="68" t="n">
        <f aca="false">D28*C36</f>
        <v>1151.58</v>
      </c>
      <c r="H42" s="91" t="n">
        <f aca="false">SUM(C42:G42)</f>
        <v>23550.35</v>
      </c>
    </row>
    <row r="43" customFormat="false" ht="15" hidden="false" customHeight="true" outlineLevel="0" collapsed="false">
      <c r="A43" s="90" t="n">
        <v>46327</v>
      </c>
      <c r="B43" s="73" t="s">
        <v>155</v>
      </c>
      <c r="C43" s="68" t="n">
        <f aca="false">E24*C32</f>
        <v>9386.04</v>
      </c>
      <c r="D43" s="68" t="n">
        <f aca="false">E25*C33</f>
        <v>2082.62</v>
      </c>
      <c r="E43" s="68" t="n">
        <f aca="false">E26*C34</f>
        <v>5019.42</v>
      </c>
      <c r="F43" s="68" t="n">
        <f aca="false">E27*C35</f>
        <v>3794.57</v>
      </c>
      <c r="G43" s="68" t="n">
        <f aca="false">E28*C36</f>
        <v>1148.52</v>
      </c>
      <c r="H43" s="91" t="n">
        <f aca="false">SUM(C43:G43)</f>
        <v>21431.17</v>
      </c>
    </row>
    <row r="44" customFormat="false" ht="15" hidden="false" customHeight="true" outlineLevel="0" collapsed="false">
      <c r="A44" s="90" t="n">
        <v>46357</v>
      </c>
      <c r="B44" s="73" t="s">
        <v>155</v>
      </c>
      <c r="C44" s="68" t="n">
        <f aca="false">F24*C32</f>
        <v>9400.32</v>
      </c>
      <c r="D44" s="68" t="n">
        <f aca="false">F25*C33</f>
        <v>2083.63</v>
      </c>
      <c r="E44" s="68" t="n">
        <f aca="false">F26*C34</f>
        <v>3979.02</v>
      </c>
      <c r="F44" s="68" t="n">
        <f aca="false">F27*C35</f>
        <v>2998.69</v>
      </c>
      <c r="G44" s="68" t="n">
        <f aca="false">F28*C36</f>
        <v>1158.72</v>
      </c>
      <c r="H44" s="91" t="n">
        <f aca="false">SUM(C44:G44)</f>
        <v>19620.38</v>
      </c>
    </row>
    <row r="45" customFormat="false" ht="15" hidden="false" customHeight="true" outlineLevel="0" collapsed="false">
      <c r="A45" s="90" t="n">
        <v>46388</v>
      </c>
      <c r="B45" s="73" t="s">
        <v>155</v>
      </c>
      <c r="C45" s="68" t="n">
        <f aca="false">G24*C32</f>
        <v>9395.22</v>
      </c>
      <c r="D45" s="68" t="n">
        <f aca="false">G25*C33</f>
        <v>2082.62</v>
      </c>
      <c r="E45" s="68" t="n">
        <f aca="false">G26*C34</f>
        <v>3680.16</v>
      </c>
      <c r="F45" s="68" t="n">
        <f aca="false">G27*C35</f>
        <v>2754.27</v>
      </c>
      <c r="G45" s="68" t="n">
        <f aca="false">G28*C36</f>
        <v>1229.1</v>
      </c>
      <c r="H45" s="91" t="n">
        <f aca="false">SUM(C45:G45)</f>
        <v>19141.37</v>
      </c>
    </row>
    <row r="46" customFormat="false" ht="15" hidden="false" customHeight="true" outlineLevel="0" collapsed="false">
      <c r="A46" s="90" t="n">
        <v>46419</v>
      </c>
      <c r="B46" s="73" t="s">
        <v>155</v>
      </c>
      <c r="C46" s="68" t="n">
        <f aca="false">H24*C32</f>
        <v>9288.12</v>
      </c>
      <c r="D46" s="68" t="n">
        <f aca="false">H25*C33</f>
        <v>2090.7</v>
      </c>
      <c r="E46" s="68" t="n">
        <f aca="false">H26*C34</f>
        <v>2945.76</v>
      </c>
      <c r="F46" s="68" t="n">
        <f aca="false">H27*C35</f>
        <v>2176.55</v>
      </c>
      <c r="G46" s="68" t="n">
        <f aca="false">H28*C36</f>
        <v>1235.22</v>
      </c>
      <c r="H46" s="91" t="n">
        <f aca="false">SUM(C46:G46)</f>
        <v>17736.35</v>
      </c>
    </row>
    <row r="47" customFormat="false" ht="15" hidden="false" customHeight="true" outlineLevel="0" collapsed="false">
      <c r="A47" s="90" t="n">
        <v>46447</v>
      </c>
      <c r="B47" s="73" t="s">
        <v>155</v>
      </c>
      <c r="C47" s="68" t="n">
        <f aca="false">I24*C32</f>
        <v>9334.02</v>
      </c>
      <c r="D47" s="68" t="n">
        <f aca="false">I25*C33</f>
        <v>2087.67</v>
      </c>
      <c r="E47" s="68" t="n">
        <f aca="false">I26*C34</f>
        <v>2344.98</v>
      </c>
      <c r="F47" s="68" t="n">
        <f aca="false">I27*C35</f>
        <v>1729.12</v>
      </c>
      <c r="G47" s="68" t="n">
        <f aca="false">I28*C36</f>
        <v>1249.5</v>
      </c>
      <c r="H47" s="91" t="n">
        <f aca="false">SUM(C47:G47)</f>
        <v>16745.29</v>
      </c>
    </row>
    <row r="48" customFormat="false" ht="15" hidden="false" customHeight="true" outlineLevel="0" collapsed="false">
      <c r="A48" s="90" t="n">
        <v>46478</v>
      </c>
      <c r="B48" s="73" t="s">
        <v>155</v>
      </c>
      <c r="C48" s="68" t="n">
        <f aca="false">J24*C32</f>
        <v>9291.18</v>
      </c>
      <c r="D48" s="68" t="n">
        <f aca="false">J25*C33</f>
        <v>2051.31</v>
      </c>
      <c r="E48" s="68" t="n">
        <f aca="false">J26*C34</f>
        <v>1899.24</v>
      </c>
      <c r="F48" s="68" t="n">
        <f aca="false">J27*C35</f>
        <v>1395.82</v>
      </c>
      <c r="G48" s="68" t="n">
        <f aca="false">J28*C36</f>
        <v>1225.02</v>
      </c>
      <c r="H48" s="91" t="n">
        <f aca="false">SUM(C48:G48)</f>
        <v>15862.57</v>
      </c>
    </row>
    <row r="49" customFormat="false" ht="15" hidden="false" customHeight="true" outlineLevel="0" collapsed="false">
      <c r="A49" s="90" t="n">
        <v>46508</v>
      </c>
      <c r="B49" s="73" t="s">
        <v>155</v>
      </c>
      <c r="C49" s="68" t="n">
        <f aca="false">K24*C32</f>
        <v>9287.1</v>
      </c>
      <c r="D49" s="68" t="n">
        <f aca="false">K25*C33</f>
        <v>2052.32</v>
      </c>
      <c r="E49" s="68" t="n">
        <f aca="false">K26*C34</f>
        <v>1504.5</v>
      </c>
      <c r="F49" s="68" t="n">
        <f aca="false">K27*C35</f>
        <v>1097.87</v>
      </c>
      <c r="G49" s="68" t="n">
        <f aca="false">K28*C36</f>
        <v>1226.04</v>
      </c>
      <c r="H49" s="91" t="n">
        <f aca="false">SUM(C49:G49)</f>
        <v>15167.83</v>
      </c>
    </row>
    <row r="50" customFormat="false" ht="15" hidden="false" customHeight="true" outlineLevel="0" collapsed="false">
      <c r="A50" s="90" t="n">
        <v>46539</v>
      </c>
      <c r="B50" s="73" t="s">
        <v>155</v>
      </c>
      <c r="C50" s="68" t="n">
        <f aca="false">L24*C32</f>
        <v>9377.88</v>
      </c>
      <c r="D50" s="68" t="n">
        <f aca="false">L25*C33</f>
        <v>2064.44</v>
      </c>
      <c r="E50" s="68" t="n">
        <f aca="false">L26*C34</f>
        <v>1207.68</v>
      </c>
      <c r="F50" s="68" t="n">
        <f aca="false">L27*C35</f>
        <v>876.68</v>
      </c>
      <c r="G50" s="68" t="n">
        <f aca="false">L28*C36</f>
        <v>1231.14</v>
      </c>
      <c r="H50" s="91" t="n">
        <f aca="false">SUM(C50:G50)</f>
        <v>14757.82</v>
      </c>
    </row>
    <row r="51" customFormat="false" ht="15" hidden="false" customHeight="true" outlineLevel="0" collapsed="false">
      <c r="A51" s="90" t="n">
        <v>46569</v>
      </c>
      <c r="B51" s="73" t="s">
        <v>155</v>
      </c>
      <c r="C51" s="68" t="n">
        <f aca="false">M24*C32</f>
        <v>6366.84</v>
      </c>
      <c r="D51" s="68" t="n">
        <f aca="false">M25*C33</f>
        <v>1405.92</v>
      </c>
      <c r="E51" s="68" t="n">
        <f aca="false">M26*C34</f>
        <v>961.86</v>
      </c>
      <c r="F51" s="68" t="n">
        <f aca="false">M27*C35</f>
        <v>695.89</v>
      </c>
      <c r="G51" s="68" t="n">
        <f aca="false">M28*C36</f>
        <v>952.68</v>
      </c>
      <c r="H51" s="91" t="n">
        <f aca="false">SUM(C51:G51)</f>
        <v>10383.19</v>
      </c>
    </row>
    <row r="52" customFormat="false" ht="15" hidden="false" customHeight="true" outlineLevel="0" collapsed="false">
      <c r="A52" s="90" t="n">
        <v>46600</v>
      </c>
      <c r="B52" s="73" t="s">
        <v>156</v>
      </c>
      <c r="C52" s="68" t="n">
        <f aca="false">B24*D32</f>
        <v>6424.47</v>
      </c>
      <c r="D52" s="68" t="n">
        <f aca="false">B25*D33</f>
        <v>1478.1249</v>
      </c>
      <c r="E52" s="68" t="n">
        <f aca="false">B26*D34</f>
        <v>770.9364</v>
      </c>
      <c r="F52" s="68" t="n">
        <f aca="false">B27*D35</f>
        <v>662.082266277641</v>
      </c>
      <c r="G52" s="68" t="n">
        <f aca="false">B28*D36</f>
        <v>906.1884</v>
      </c>
      <c r="H52" s="91" t="n">
        <f aca="false">SUM(C52:G52)</f>
        <v>10241.8019662776</v>
      </c>
    </row>
    <row r="53" customFormat="false" ht="15" hidden="false" customHeight="true" outlineLevel="0" collapsed="false">
      <c r="A53" s="90" t="n">
        <v>46631</v>
      </c>
      <c r="B53" s="73" t="s">
        <v>156</v>
      </c>
      <c r="C53" s="68" t="n">
        <f aca="false">C24*D32</f>
        <v>9623.7</v>
      </c>
      <c r="D53" s="68" t="n">
        <f aca="false">C25*D33</f>
        <v>2123.8482</v>
      </c>
      <c r="E53" s="68" t="n">
        <f aca="false">C26*D34</f>
        <v>7857.1008</v>
      </c>
      <c r="F53" s="68" t="n">
        <f aca="false">C27*D35</f>
        <v>6163.49739250614</v>
      </c>
      <c r="G53" s="68" t="n">
        <f aca="false">C28*D36</f>
        <v>1190.2176</v>
      </c>
      <c r="H53" s="91" t="n">
        <f aca="false">SUM(C53:G53)</f>
        <v>26958.3639925061</v>
      </c>
    </row>
    <row r="54" customFormat="false" ht="15" hidden="false" customHeight="true" outlineLevel="0" collapsed="false">
      <c r="A54" s="90" t="n">
        <v>46661</v>
      </c>
      <c r="B54" s="73" t="s">
        <v>156</v>
      </c>
      <c r="C54" s="68" t="n">
        <f aca="false">D24*D32</f>
        <v>9474.9228</v>
      </c>
      <c r="D54" s="68" t="n">
        <f aca="false">D25*D33</f>
        <v>2125.8884</v>
      </c>
      <c r="E54" s="68" t="n">
        <f aca="false">D26*D34</f>
        <v>6392.2176</v>
      </c>
      <c r="F54" s="68" t="n">
        <f aca="false">D27*D35</f>
        <v>4875.71100644963</v>
      </c>
      <c r="G54" s="68" t="n">
        <f aca="false">D28*D36</f>
        <v>1174.6116</v>
      </c>
      <c r="H54" s="91" t="n">
        <f aca="false">SUM(C54:G54)</f>
        <v>24043.3514064496</v>
      </c>
    </row>
    <row r="55" customFormat="false" ht="15" hidden="false" customHeight="true" outlineLevel="0" collapsed="false">
      <c r="A55" s="90" t="n">
        <v>46692</v>
      </c>
      <c r="B55" s="73" t="s">
        <v>156</v>
      </c>
      <c r="C55" s="68" t="n">
        <f aca="false">E24*D32</f>
        <v>9573.7608</v>
      </c>
      <c r="D55" s="68" t="n">
        <f aca="false">E25*D33</f>
        <v>2103.4462</v>
      </c>
      <c r="E55" s="68" t="n">
        <f aca="false">E26*D34</f>
        <v>5119.8084</v>
      </c>
      <c r="F55" s="68" t="n">
        <f aca="false">E27*D35</f>
        <v>3904.93418273956</v>
      </c>
      <c r="G55" s="68" t="n">
        <f aca="false">E28*D36</f>
        <v>1171.4904</v>
      </c>
      <c r="H55" s="91" t="n">
        <f aca="false">SUM(C55:G55)</f>
        <v>21873.4399827396</v>
      </c>
    </row>
    <row r="56" customFormat="false" ht="15" hidden="false" customHeight="true" outlineLevel="0" collapsed="false">
      <c r="A56" s="90" t="n">
        <v>46722</v>
      </c>
      <c r="B56" s="73" t="s">
        <v>156</v>
      </c>
      <c r="C56" s="68" t="n">
        <f aca="false">F24*D32</f>
        <v>9588.3264</v>
      </c>
      <c r="D56" s="68" t="n">
        <f aca="false">F25*D33</f>
        <v>2104.4663</v>
      </c>
      <c r="E56" s="68" t="n">
        <f aca="false">F26*D34</f>
        <v>4058.6004</v>
      </c>
      <c r="F56" s="68" t="n">
        <f aca="false">F27*D35</f>
        <v>3085.90619871007</v>
      </c>
      <c r="G56" s="68" t="n">
        <f aca="false">F28*D36</f>
        <v>1181.8944</v>
      </c>
      <c r="H56" s="91" t="n">
        <f aca="false">SUM(C56:G56)</f>
        <v>20019.1936987101</v>
      </c>
    </row>
    <row r="57" customFormat="false" ht="15" hidden="false" customHeight="true" outlineLevel="0" collapsed="false">
      <c r="A57" s="90" t="n">
        <v>46753</v>
      </c>
      <c r="B57" s="73" t="s">
        <v>156</v>
      </c>
      <c r="C57" s="68" t="n">
        <f aca="false">G24*D32</f>
        <v>9583.1244</v>
      </c>
      <c r="D57" s="68" t="n">
        <f aca="false">G25*D33</f>
        <v>2103.4462</v>
      </c>
      <c r="E57" s="68" t="n">
        <f aca="false">G26*D34</f>
        <v>3753.7632</v>
      </c>
      <c r="F57" s="68" t="n">
        <f aca="false">G27*D35</f>
        <v>2834.37730006143</v>
      </c>
      <c r="G57" s="68" t="n">
        <f aca="false">G28*D36</f>
        <v>1253.682</v>
      </c>
      <c r="H57" s="91" t="n">
        <f aca="false">SUM(C57:G57)</f>
        <v>19528.3931000614</v>
      </c>
    </row>
    <row r="58" customFormat="false" ht="15" hidden="false" customHeight="true" outlineLevel="0" collapsed="false">
      <c r="A58" s="90" t="n">
        <v>46784</v>
      </c>
      <c r="B58" s="73" t="s">
        <v>156</v>
      </c>
      <c r="C58" s="68" t="n">
        <f aca="false">H24*D32</f>
        <v>9473.8824</v>
      </c>
      <c r="D58" s="68" t="n">
        <f aca="false">H25*D33</f>
        <v>2111.607</v>
      </c>
      <c r="E58" s="68" t="n">
        <f aca="false">H26*D34</f>
        <v>3004.6752</v>
      </c>
      <c r="F58" s="68" t="n">
        <f aca="false">H27*D35</f>
        <v>2239.85444871007</v>
      </c>
      <c r="G58" s="68" t="n">
        <f aca="false">H28*D36</f>
        <v>1259.9244</v>
      </c>
      <c r="H58" s="91" t="n">
        <f aca="false">SUM(C58:G58)</f>
        <v>18089.9434487101</v>
      </c>
    </row>
    <row r="59" customFormat="false" ht="15" hidden="false" customHeight="true" outlineLevel="0" collapsed="false">
      <c r="A59" s="90" t="n">
        <v>46813</v>
      </c>
      <c r="B59" s="73" t="s">
        <v>156</v>
      </c>
      <c r="C59" s="68" t="n">
        <f aca="false">I24*D32</f>
        <v>9520.7004</v>
      </c>
      <c r="D59" s="68" t="n">
        <f aca="false">I25*D33</f>
        <v>2108.5467</v>
      </c>
      <c r="E59" s="68" t="n">
        <f aca="false">I26*D34</f>
        <v>2391.8796</v>
      </c>
      <c r="F59" s="68" t="n">
        <f aca="false">I27*D35</f>
        <v>1779.41105159705</v>
      </c>
      <c r="G59" s="68" t="n">
        <f aca="false">I28*D36</f>
        <v>1274.49</v>
      </c>
      <c r="H59" s="91" t="n">
        <f aca="false">SUM(C59:G59)</f>
        <v>17075.0277515971</v>
      </c>
    </row>
    <row r="60" customFormat="false" ht="15" hidden="false" customHeight="true" outlineLevel="0" collapsed="false">
      <c r="A60" s="90" t="n">
        <v>46844</v>
      </c>
      <c r="B60" s="73" t="s">
        <v>156</v>
      </c>
      <c r="C60" s="68" t="n">
        <f aca="false">J24*D32</f>
        <v>9477.0036</v>
      </c>
      <c r="D60" s="68" t="n">
        <f aca="false">J25*D33</f>
        <v>2071.8231</v>
      </c>
      <c r="E60" s="68" t="n">
        <f aca="false">J26*D34</f>
        <v>1937.2248</v>
      </c>
      <c r="F60" s="68" t="n">
        <f aca="false">J27*D35</f>
        <v>1436.41709889435</v>
      </c>
      <c r="G60" s="68" t="n">
        <f aca="false">J28*D36</f>
        <v>1249.5204</v>
      </c>
      <c r="H60" s="91" t="n">
        <f aca="false">SUM(C60:G60)</f>
        <v>16171.9889988944</v>
      </c>
    </row>
    <row r="61" customFormat="false" ht="15" hidden="false" customHeight="true" outlineLevel="0" collapsed="false">
      <c r="A61" s="90" t="n">
        <v>46874</v>
      </c>
      <c r="B61" s="73" t="s">
        <v>156</v>
      </c>
      <c r="C61" s="68" t="n">
        <f aca="false">K24*D32</f>
        <v>9472.842</v>
      </c>
      <c r="D61" s="68" t="n">
        <f aca="false">K25*D33</f>
        <v>2072.8432</v>
      </c>
      <c r="E61" s="68" t="n">
        <f aca="false">K26*D34</f>
        <v>1534.59</v>
      </c>
      <c r="F61" s="68" t="n">
        <f aca="false">K27*D35</f>
        <v>1129.80129269042</v>
      </c>
      <c r="G61" s="68" t="n">
        <f aca="false">K28*D36</f>
        <v>1250.5608</v>
      </c>
      <c r="H61" s="91" t="n">
        <f aca="false">SUM(C61:G61)</f>
        <v>15460.6372926904</v>
      </c>
    </row>
    <row r="62" customFormat="false" ht="15" hidden="false" customHeight="true" outlineLevel="0" collapsed="false">
      <c r="A62" s="90" t="n">
        <v>46905</v>
      </c>
      <c r="B62" s="73" t="s">
        <v>156</v>
      </c>
      <c r="C62" s="68" t="n">
        <f aca="false">L24*D32</f>
        <v>9565.4376</v>
      </c>
      <c r="D62" s="68" t="n">
        <f aca="false">L25*D33</f>
        <v>2085.0844</v>
      </c>
      <c r="E62" s="68" t="n">
        <f aca="false">L26*D34</f>
        <v>1231.8336</v>
      </c>
      <c r="F62" s="68" t="n">
        <f aca="false">L27*D35</f>
        <v>902.178033169533</v>
      </c>
      <c r="G62" s="68" t="n">
        <f aca="false">L28*D36</f>
        <v>1255.7628</v>
      </c>
      <c r="H62" s="91" t="n">
        <f aca="false">SUM(C62:G62)</f>
        <v>15040.2964331695</v>
      </c>
    </row>
    <row r="63" customFormat="false" ht="15" hidden="false" customHeight="true" outlineLevel="0" collapsed="false">
      <c r="A63" s="90" t="n">
        <v>46935</v>
      </c>
      <c r="B63" s="73" t="s">
        <v>156</v>
      </c>
      <c r="C63" s="68" t="n">
        <f aca="false">M24*D32</f>
        <v>6494.1768</v>
      </c>
      <c r="D63" s="68" t="n">
        <f aca="false">M25*D33</f>
        <v>1419.9792</v>
      </c>
      <c r="E63" s="68" t="n">
        <f aca="false">M26*D34</f>
        <v>981.0972</v>
      </c>
      <c r="F63" s="68" t="n">
        <f aca="false">M27*D35</f>
        <v>716.129798218673</v>
      </c>
      <c r="G63" s="68" t="n">
        <f aca="false">M28*D36</f>
        <v>971.7336</v>
      </c>
      <c r="H63" s="91" t="n">
        <f aca="false">SUM(C63:G63)</f>
        <v>10583.1165982187</v>
      </c>
    </row>
    <row r="64" customFormat="false" ht="15" hidden="false" customHeight="true" outlineLevel="0" collapsed="false">
      <c r="A64" s="90" t="n">
        <v>46966</v>
      </c>
      <c r="B64" s="73" t="s">
        <v>157</v>
      </c>
      <c r="C64" s="68" t="n">
        <f aca="false">B24*E32</f>
        <v>6658.65229354839</v>
      </c>
      <c r="D64" s="68" t="n">
        <f aca="false">B25*E33</f>
        <v>1541.95302068182</v>
      </c>
      <c r="E64" s="68" t="n">
        <f aca="false">B26*E34</f>
        <v>797.919174</v>
      </c>
      <c r="F64" s="68" t="n">
        <f aca="false">B27*E35</f>
        <v>675.323911603194</v>
      </c>
      <c r="G64" s="68" t="n">
        <f aca="false">B28*E36</f>
        <v>924.312168</v>
      </c>
      <c r="H64" s="91" t="n">
        <f aca="false">SUM(C64:G64)</f>
        <v>10598.1605678334</v>
      </c>
    </row>
    <row r="65" customFormat="false" ht="15" hidden="false" customHeight="true" outlineLevel="0" collapsed="false">
      <c r="A65" s="90" t="n">
        <v>46997</v>
      </c>
      <c r="B65" s="73" t="s">
        <v>157</v>
      </c>
      <c r="C65" s="68" t="n">
        <f aca="false">C24*E32</f>
        <v>9974.49938709677</v>
      </c>
      <c r="D65" s="68" t="n">
        <f aca="false">C25*E33</f>
        <v>2215.55982681818</v>
      </c>
      <c r="E65" s="68" t="n">
        <f aca="false">C26*E34</f>
        <v>8132.099328</v>
      </c>
      <c r="F65" s="68" t="n">
        <f aca="false">C27*E35</f>
        <v>6286.76734035627</v>
      </c>
      <c r="G65" s="68" t="n">
        <f aca="false">C28*E36</f>
        <v>1214.021952</v>
      </c>
      <c r="H65" s="91" t="n">
        <f aca="false">SUM(C65:G65)</f>
        <v>27822.9478342712</v>
      </c>
    </row>
    <row r="66" customFormat="false" ht="15" hidden="false" customHeight="true" outlineLevel="0" collapsed="false">
      <c r="A66" s="90" t="n">
        <v>47027</v>
      </c>
      <c r="B66" s="73" t="s">
        <v>157</v>
      </c>
      <c r="C66" s="68" t="n">
        <f aca="false">D24*E32</f>
        <v>9820.29901819355</v>
      </c>
      <c r="D66" s="68" t="n">
        <f aca="false">D25*E33</f>
        <v>2217.68812636364</v>
      </c>
      <c r="E66" s="68" t="n">
        <f aca="false">D26*E34</f>
        <v>6615.945216</v>
      </c>
      <c r="F66" s="68" t="n">
        <f aca="false">D27*E35</f>
        <v>4973.22522657863</v>
      </c>
      <c r="G66" s="68" t="n">
        <f aca="false">D28*E36</f>
        <v>1198.103832</v>
      </c>
      <c r="H66" s="91" t="n">
        <f aca="false">SUM(C66:G66)</f>
        <v>24825.2614191358</v>
      </c>
    </row>
    <row r="67" customFormat="false" ht="15" hidden="false" customHeight="true" outlineLevel="0" collapsed="false">
      <c r="A67" s="90" t="n">
        <v>47058</v>
      </c>
      <c r="B67" s="73" t="s">
        <v>157</v>
      </c>
      <c r="C67" s="68" t="n">
        <f aca="false">E24*E32</f>
        <v>9922.73982270968</v>
      </c>
      <c r="D67" s="68" t="n">
        <f aca="false">E25*E33</f>
        <v>2194.27683136364</v>
      </c>
      <c r="E67" s="68" t="n">
        <f aca="false">E26*E34</f>
        <v>5299.001694</v>
      </c>
      <c r="F67" s="68" t="n">
        <f aca="false">E27*E35</f>
        <v>3983.03286639435</v>
      </c>
      <c r="G67" s="68" t="n">
        <f aca="false">E28*E36</f>
        <v>1194.920208</v>
      </c>
      <c r="H67" s="91" t="n">
        <f aca="false">SUM(C67:G67)</f>
        <v>22593.9714224677</v>
      </c>
    </row>
    <row r="68" customFormat="false" ht="15" hidden="false" customHeight="true" outlineLevel="0" collapsed="false">
      <c r="A68" s="90" t="n">
        <v>47088</v>
      </c>
      <c r="B68" s="73" t="s">
        <v>157</v>
      </c>
      <c r="C68" s="68" t="n">
        <f aca="false">F24*E32</f>
        <v>9937.83636232258</v>
      </c>
      <c r="D68" s="68" t="n">
        <f aca="false">F25*E33</f>
        <v>2195.34098113636</v>
      </c>
      <c r="E68" s="68" t="n">
        <f aca="false">F26*E34</f>
        <v>4200.651414</v>
      </c>
      <c r="F68" s="68" t="n">
        <f aca="false">F27*E35</f>
        <v>3147.62432268428</v>
      </c>
      <c r="G68" s="68" t="n">
        <f aca="false">F28*E36</f>
        <v>1205.532288</v>
      </c>
      <c r="H68" s="91" t="n">
        <f aca="false">SUM(C68:G68)</f>
        <v>20686.9853681432</v>
      </c>
    </row>
    <row r="69" customFormat="false" ht="15" hidden="false" customHeight="true" outlineLevel="0" collapsed="false">
      <c r="A69" s="90" t="n">
        <v>47119</v>
      </c>
      <c r="B69" s="73" t="s">
        <v>157</v>
      </c>
      <c r="C69" s="68" t="n">
        <f aca="false">G24*E32</f>
        <v>9932.44474103226</v>
      </c>
      <c r="D69" s="68" t="n">
        <f aca="false">G25*E33</f>
        <v>2194.27683136364</v>
      </c>
      <c r="E69" s="68" t="n">
        <f aca="false">G26*E34</f>
        <v>3885.144912</v>
      </c>
      <c r="F69" s="68" t="n">
        <f aca="false">G27*E35</f>
        <v>2891.06484606265</v>
      </c>
      <c r="G69" s="68" t="n">
        <f aca="false">G28*E36</f>
        <v>1278.75564</v>
      </c>
      <c r="H69" s="91" t="n">
        <f aca="false">SUM(C69:G69)</f>
        <v>20181.6869704585</v>
      </c>
    </row>
    <row r="70" customFormat="false" ht="15" hidden="false" customHeight="true" outlineLevel="0" collapsed="false">
      <c r="A70" s="90" t="n">
        <v>47150</v>
      </c>
      <c r="B70" s="73" t="s">
        <v>157</v>
      </c>
      <c r="C70" s="68" t="n">
        <f aca="false">H24*E32</f>
        <v>9819.22069393548</v>
      </c>
      <c r="D70" s="68" t="n">
        <f aca="false">H25*E33</f>
        <v>2202.79002954545</v>
      </c>
      <c r="E70" s="68" t="n">
        <f aca="false">H26*E34</f>
        <v>3109.838832</v>
      </c>
      <c r="F70" s="68" t="n">
        <f aca="false">H27*E35</f>
        <v>2284.65153768428</v>
      </c>
      <c r="G70" s="68" t="n">
        <f aca="false">H28*E36</f>
        <v>1285.122888</v>
      </c>
      <c r="H70" s="91" t="n">
        <f aca="false">SUM(C70:G70)</f>
        <v>18701.6239811652</v>
      </c>
    </row>
    <row r="71" customFormat="false" ht="15" hidden="false" customHeight="true" outlineLevel="0" collapsed="false">
      <c r="A71" s="90" t="n">
        <v>47178</v>
      </c>
      <c r="B71" s="73" t="s">
        <v>157</v>
      </c>
      <c r="C71" s="68" t="n">
        <f aca="false">I24*E32</f>
        <v>9867.74528554839</v>
      </c>
      <c r="D71" s="68" t="n">
        <f aca="false">I25*E33</f>
        <v>2199.59758022727</v>
      </c>
      <c r="E71" s="68" t="n">
        <f aca="false">I26*E34</f>
        <v>2475.595386</v>
      </c>
      <c r="F71" s="68" t="n">
        <f aca="false">I27*E35</f>
        <v>1814.99927262899</v>
      </c>
      <c r="G71" s="68" t="n">
        <f aca="false">I28*E36</f>
        <v>1299.9798</v>
      </c>
      <c r="H71" s="91" t="n">
        <f aca="false">SUM(C71:G71)</f>
        <v>17657.9173244047</v>
      </c>
    </row>
    <row r="72" customFormat="false" ht="15" hidden="false" customHeight="true" outlineLevel="0" collapsed="false">
      <c r="A72" s="90" t="n">
        <v>47209</v>
      </c>
      <c r="B72" s="73" t="s">
        <v>157</v>
      </c>
      <c r="C72" s="68" t="n">
        <f aca="false">J24*E32</f>
        <v>9822.45566670968</v>
      </c>
      <c r="D72" s="68" t="n">
        <f aca="false">J25*E33</f>
        <v>2161.28818840909</v>
      </c>
      <c r="E72" s="68" t="n">
        <f aca="false">J26*E34</f>
        <v>2005.027668</v>
      </c>
      <c r="F72" s="68" t="n">
        <f aca="false">J27*E35</f>
        <v>1465.14544087224</v>
      </c>
      <c r="G72" s="68" t="n">
        <f aca="false">J28*E36</f>
        <v>1274.510808</v>
      </c>
      <c r="H72" s="91" t="n">
        <f aca="false">SUM(C72:G72)</f>
        <v>16728.427771991</v>
      </c>
    </row>
    <row r="73" customFormat="false" ht="15" hidden="false" customHeight="true" outlineLevel="0" collapsed="false">
      <c r="A73" s="90" t="n">
        <v>47239</v>
      </c>
      <c r="B73" s="73" t="s">
        <v>157</v>
      </c>
      <c r="C73" s="68" t="n">
        <f aca="false">K24*E32</f>
        <v>9818.14236967742</v>
      </c>
      <c r="D73" s="68" t="n">
        <f aca="false">K25*E33</f>
        <v>2162.35233818182</v>
      </c>
      <c r="E73" s="68" t="n">
        <f aca="false">K26*E34</f>
        <v>1588.30065</v>
      </c>
      <c r="F73" s="68" t="n">
        <f aca="false">K27*E35</f>
        <v>1152.39731854423</v>
      </c>
      <c r="G73" s="68" t="n">
        <f aca="false">K28*E36</f>
        <v>1275.572016</v>
      </c>
      <c r="H73" s="91" t="n">
        <f aca="false">SUM(C73:G73)</f>
        <v>15996.7646924035</v>
      </c>
    </row>
    <row r="74" customFormat="false" ht="15" hidden="false" customHeight="true" outlineLevel="0" collapsed="false">
      <c r="A74" s="90" t="n">
        <v>47270</v>
      </c>
      <c r="B74" s="73" t="s">
        <v>157</v>
      </c>
      <c r="C74" s="68" t="n">
        <f aca="false">L24*E32</f>
        <v>9914.11322864516</v>
      </c>
      <c r="D74" s="68" t="n">
        <f aca="false">L25*E33</f>
        <v>2175.12213545454</v>
      </c>
      <c r="E74" s="68" t="n">
        <f aca="false">L26*E34</f>
        <v>1274.947776</v>
      </c>
      <c r="F74" s="68" t="n">
        <f aca="false">L27*E35</f>
        <v>920.221593832924</v>
      </c>
      <c r="G74" s="68" t="n">
        <f aca="false">L28*E36</f>
        <v>1280.878056</v>
      </c>
      <c r="H74" s="91" t="n">
        <f aca="false">SUM(C74:G74)</f>
        <v>15565.2827899326</v>
      </c>
    </row>
    <row r="75" customFormat="false" ht="15" hidden="false" customHeight="true" outlineLevel="0" collapsed="false">
      <c r="A75" s="90" t="n">
        <v>47300</v>
      </c>
      <c r="B75" s="73" t="s">
        <v>157</v>
      </c>
      <c r="C75" s="68" t="n">
        <f aca="false">M24*E32</f>
        <v>6730.90001883871</v>
      </c>
      <c r="D75" s="68" t="n">
        <f aca="false">M25*E33</f>
        <v>1481.29648363636</v>
      </c>
      <c r="E75" s="68" t="n">
        <f aca="false">M26*E34</f>
        <v>1015.435602</v>
      </c>
      <c r="F75" s="68" t="n">
        <f aca="false">M27*E35</f>
        <v>730.452394183047</v>
      </c>
      <c r="G75" s="68" t="n">
        <f aca="false">M28*E36</f>
        <v>991.168272</v>
      </c>
      <c r="H75" s="91" t="n">
        <f aca="false">SUM(C75:G75)</f>
        <v>10949.2527706581</v>
      </c>
    </row>
    <row r="77" customFormat="false" ht="34.5" hidden="false" customHeight="true" outlineLevel="0" collapsed="false">
      <c r="A77" s="79" t="s">
        <v>209</v>
      </c>
      <c r="B77" s="79"/>
      <c r="C77" s="79"/>
      <c r="D77" s="79"/>
      <c r="E77" s="79"/>
      <c r="F77" s="79"/>
      <c r="G77" s="79"/>
      <c r="H77" s="79"/>
    </row>
  </sheetData>
  <mergeCells count="7">
    <mergeCell ref="A1:M1"/>
    <mergeCell ref="A2:M2"/>
    <mergeCell ref="A4:M4"/>
    <mergeCell ref="A22:M22"/>
    <mergeCell ref="A30:M30"/>
    <mergeCell ref="A38:H38"/>
    <mergeCell ref="A77:H7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4" activeCellId="0" sqref="A14"/>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13" min="3" style="1" width="15"/>
  </cols>
  <sheetData>
    <row r="1" customFormat="false" ht="21.75" hidden="false" customHeight="true" outlineLevel="0" collapsed="false">
      <c r="A1" s="16" t="s">
        <v>210</v>
      </c>
      <c r="B1" s="16"/>
      <c r="C1" s="16"/>
      <c r="D1" s="16"/>
      <c r="E1" s="16"/>
      <c r="F1" s="16"/>
      <c r="G1" s="16"/>
      <c r="H1" s="16"/>
      <c r="I1" s="16"/>
      <c r="J1" s="16"/>
      <c r="K1" s="16"/>
      <c r="L1" s="16"/>
      <c r="M1" s="16"/>
    </row>
    <row r="2" customFormat="false" ht="33.75" hidden="false" customHeight="true" outlineLevel="0" collapsed="false">
      <c r="A2" s="64" t="s">
        <v>211</v>
      </c>
      <c r="B2" s="64"/>
      <c r="C2" s="64"/>
      <c r="D2" s="64"/>
      <c r="E2" s="64"/>
      <c r="F2" s="64"/>
      <c r="G2" s="64"/>
      <c r="H2" s="64"/>
      <c r="I2" s="64"/>
      <c r="J2" s="64"/>
      <c r="K2" s="64"/>
      <c r="L2" s="64"/>
      <c r="M2" s="64"/>
    </row>
    <row r="4" customFormat="false" ht="15" hidden="false" customHeight="true" outlineLevel="0" collapsed="false">
      <c r="A4" s="65" t="s">
        <v>212</v>
      </c>
      <c r="B4" s="65"/>
      <c r="C4" s="65"/>
      <c r="D4" s="65"/>
      <c r="E4" s="65"/>
      <c r="F4" s="65"/>
      <c r="G4" s="65"/>
      <c r="H4" s="65"/>
    </row>
    <row r="5" customFormat="false" ht="30" hidden="false" customHeight="true" outlineLevel="0" collapsed="false">
      <c r="A5" s="66" t="s">
        <v>15</v>
      </c>
      <c r="B5" s="66" t="s">
        <v>213</v>
      </c>
      <c r="C5" s="66" t="s">
        <v>214</v>
      </c>
      <c r="D5" s="66" t="s">
        <v>215</v>
      </c>
      <c r="E5" s="66" t="s">
        <v>216</v>
      </c>
      <c r="F5" s="66" t="s">
        <v>217</v>
      </c>
      <c r="G5" s="66" t="s">
        <v>218</v>
      </c>
      <c r="H5" s="66" t="s">
        <v>219</v>
      </c>
    </row>
    <row r="6" customFormat="false" ht="15" hidden="false" customHeight="true" outlineLevel="0" collapsed="false">
      <c r="A6" s="67" t="s">
        <v>3</v>
      </c>
      <c r="B6" s="68" t="n">
        <f aca="false">'Tuition Fee Rates'!D6</f>
        <v>9535</v>
      </c>
      <c r="C6" s="69" t="n">
        <f aca="false">'Forecast Assumptions'!B34</f>
        <v>0</v>
      </c>
      <c r="D6" s="68" t="n">
        <f aca="false">B6*(1+C6)</f>
        <v>9535</v>
      </c>
      <c r="E6" s="69" t="n">
        <f aca="false">'Forecast Assumptions'!C34</f>
        <v>0.02</v>
      </c>
      <c r="F6" s="68" t="n">
        <f aca="false">D6*(1+E6)</f>
        <v>9725.7</v>
      </c>
      <c r="G6" s="69" t="n">
        <f aca="false">'Forecast Assumptions'!D34</f>
        <v>0.02</v>
      </c>
      <c r="H6" s="68" t="n">
        <f aca="false">F6*(1+G6)</f>
        <v>9920.214</v>
      </c>
    </row>
    <row r="7" customFormat="false" ht="15" hidden="false" customHeight="true" outlineLevel="0" collapsed="false">
      <c r="A7" s="67" t="s">
        <v>5</v>
      </c>
      <c r="B7" s="68" t="n">
        <f aca="false">'Tuition Fee Rates'!D7</f>
        <v>20950</v>
      </c>
      <c r="C7" s="69" t="n">
        <f aca="false">'Forecast Assumptions'!B35</f>
        <v>0.04</v>
      </c>
      <c r="D7" s="68" t="n">
        <f aca="false">B7*(1+C7)</f>
        <v>21788</v>
      </c>
      <c r="E7" s="69" t="n">
        <f aca="false">'Forecast Assumptions'!C35</f>
        <v>0.04</v>
      </c>
      <c r="F7" s="68" t="n">
        <f aca="false">D7*(1+E7)</f>
        <v>22659.52</v>
      </c>
      <c r="G7" s="69" t="n">
        <f aca="false">'Forecast Assumptions'!D35</f>
        <v>0.045</v>
      </c>
      <c r="H7" s="68" t="n">
        <f aca="false">F7*(1+G7)</f>
        <v>23679.1984</v>
      </c>
    </row>
    <row r="8" customFormat="false" ht="15" hidden="false" customHeight="true" outlineLevel="0" collapsed="false">
      <c r="A8" s="67" t="s">
        <v>6</v>
      </c>
      <c r="B8" s="68" t="n">
        <f aca="false">'Tuition Fee Rates'!D8</f>
        <v>10350</v>
      </c>
      <c r="C8" s="69" t="n">
        <f aca="false">'Forecast Assumptions'!B36</f>
        <v>0.03</v>
      </c>
      <c r="D8" s="68" t="n">
        <f aca="false">B8*(1+C8)</f>
        <v>10660.5</v>
      </c>
      <c r="E8" s="69" t="n">
        <f aca="false">'Forecast Assumptions'!C36</f>
        <v>0.03</v>
      </c>
      <c r="F8" s="68" t="n">
        <f aca="false">D8*(1+E8)</f>
        <v>10980.315</v>
      </c>
      <c r="G8" s="69" t="n">
        <f aca="false">'Forecast Assumptions'!D36</f>
        <v>0.03</v>
      </c>
      <c r="H8" s="68" t="n">
        <f aca="false">F8*(1+G8)</f>
        <v>11309.72445</v>
      </c>
    </row>
    <row r="9" customFormat="false" ht="15" hidden="false" customHeight="true" outlineLevel="0" collapsed="false">
      <c r="A9" s="67" t="s">
        <v>7</v>
      </c>
      <c r="B9" s="68" t="n">
        <f aca="false">'Tuition Fee Rates'!D9</f>
        <v>21500</v>
      </c>
      <c r="C9" s="69" t="n">
        <f aca="false">'Forecast Assumptions'!B37</f>
        <v>0.04</v>
      </c>
      <c r="D9" s="68" t="n">
        <f aca="false">B9*(1+C9)</f>
        <v>22360</v>
      </c>
      <c r="E9" s="69" t="n">
        <f aca="false">'Forecast Assumptions'!C37</f>
        <v>0.04</v>
      </c>
      <c r="F9" s="68" t="n">
        <f aca="false">D9*(1+E9)</f>
        <v>23254.4</v>
      </c>
      <c r="G9" s="69" t="n">
        <f aca="false">'Forecast Assumptions'!D37</f>
        <v>0.045</v>
      </c>
      <c r="H9" s="68" t="n">
        <f aca="false">F9*(1+G9)</f>
        <v>24300.848</v>
      </c>
    </row>
    <row r="10" customFormat="false" ht="15" hidden="false" customHeight="true" outlineLevel="0" collapsed="false">
      <c r="A10" s="67" t="s">
        <v>8</v>
      </c>
      <c r="B10" s="68" t="n">
        <f aca="false">'Tuition Fee Rates'!D10</f>
        <v>6950</v>
      </c>
      <c r="C10" s="69" t="n">
        <f aca="false">'Forecast Assumptions'!B38</f>
        <v>0.03</v>
      </c>
      <c r="D10" s="68" t="n">
        <f aca="false">B10*(1+C10)</f>
        <v>7158.5</v>
      </c>
      <c r="E10" s="69" t="n">
        <f aca="false">'Forecast Assumptions'!C38</f>
        <v>0.03</v>
      </c>
      <c r="F10" s="68" t="n">
        <f aca="false">D10*(1+E10)</f>
        <v>7373.255</v>
      </c>
      <c r="G10" s="69" t="n">
        <f aca="false">'Forecast Assumptions'!D38</f>
        <v>0.03</v>
      </c>
      <c r="H10" s="68" t="n">
        <f aca="false">F10*(1+G10)</f>
        <v>7594.45265</v>
      </c>
    </row>
    <row r="12" customFormat="false" ht="15" hidden="false" customHeight="true" outlineLevel="0" collapsed="false">
      <c r="A12" s="65" t="s">
        <v>220</v>
      </c>
      <c r="B12" s="65"/>
      <c r="C12" s="65"/>
      <c r="D12" s="65"/>
      <c r="E12" s="65"/>
      <c r="F12" s="65"/>
      <c r="G12" s="65"/>
      <c r="H12" s="65"/>
      <c r="I12" s="65"/>
      <c r="J12" s="65"/>
      <c r="K12" s="65"/>
      <c r="L12" s="65"/>
      <c r="M12" s="65"/>
    </row>
    <row r="13" customFormat="false" ht="30" hidden="false" customHeight="true" outlineLevel="0" collapsed="false">
      <c r="A13" s="66" t="s">
        <v>1</v>
      </c>
      <c r="B13" s="66" t="s">
        <v>2</v>
      </c>
      <c r="C13" s="66" t="s">
        <v>221</v>
      </c>
      <c r="D13" s="66" t="s">
        <v>222</v>
      </c>
      <c r="E13" s="66" t="s">
        <v>223</v>
      </c>
      <c r="F13" s="66" t="s">
        <v>224</v>
      </c>
      <c r="G13" s="66" t="s">
        <v>225</v>
      </c>
      <c r="H13" s="66" t="s">
        <v>31</v>
      </c>
      <c r="I13" s="66" t="s">
        <v>32</v>
      </c>
      <c r="J13" s="66" t="s">
        <v>33</v>
      </c>
      <c r="K13" s="66" t="s">
        <v>34</v>
      </c>
      <c r="L13" s="66" t="s">
        <v>35</v>
      </c>
      <c r="M13" s="66" t="s">
        <v>36</v>
      </c>
    </row>
    <row r="14" customFormat="false" ht="15" hidden="false" customHeight="true" outlineLevel="0" collapsed="false">
      <c r="A14" s="90" t="n">
        <v>46235</v>
      </c>
      <c r="B14" s="73" t="s">
        <v>155</v>
      </c>
      <c r="C14" s="68" t="n">
        <f aca="false">'Population Forecast'!C40*D6/12</f>
        <v>5004683.125</v>
      </c>
      <c r="D14" s="68" t="n">
        <f aca="false">'Population Forecast'!D40*D7/12</f>
        <v>2657210.01</v>
      </c>
      <c r="E14" s="68" t="n">
        <f aca="false">'Population Forecast'!E40*D8/12</f>
        <v>671451.5925</v>
      </c>
      <c r="F14" s="68" t="n">
        <f aca="false">'Population Forecast'!F40*D9/12</f>
        <v>1198812.76666667</v>
      </c>
      <c r="G14" s="68" t="n">
        <f aca="false">'Population Forecast'!G40*D10/12</f>
        <v>529979.5475</v>
      </c>
      <c r="H14" s="68" t="n">
        <f aca="false">Income!H29*(1+'Forecast Assumptions'!B42)</f>
        <v>2688300</v>
      </c>
      <c r="I14" s="68" t="n">
        <f aca="false">Income!I29*(1+'Forecast Assumptions'!B43)</f>
        <v>3653846</v>
      </c>
      <c r="J14" s="68" t="n">
        <f aca="false">Income!J29*(1+'Forecast Assumptions'!B44)</f>
        <v>1362400</v>
      </c>
      <c r="K14" s="68" t="n">
        <f aca="false">Income!K29*(1+'Forecast Assumptions'!B45)</f>
        <v>780000</v>
      </c>
      <c r="L14" s="68" t="n">
        <f aca="false">Income!L29*(1+'Forecast Assumptions'!B46)</f>
        <v>552500.34</v>
      </c>
      <c r="M14" s="91" t="n">
        <f aca="false">SUM(C14:L14)</f>
        <v>19099183.3816667</v>
      </c>
    </row>
    <row r="15" customFormat="false" ht="15" hidden="false" customHeight="true" outlineLevel="0" collapsed="false">
      <c r="A15" s="90" t="n">
        <v>46266</v>
      </c>
      <c r="B15" s="73" t="s">
        <v>155</v>
      </c>
      <c r="C15" s="68" t="n">
        <f aca="false">'Population Forecast'!C41*D6/12</f>
        <v>7496893.75</v>
      </c>
      <c r="D15" s="68" t="n">
        <f aca="false">'Population Forecast'!D41*D7/12</f>
        <v>3818020.18</v>
      </c>
      <c r="E15" s="68" t="n">
        <f aca="false">'Population Forecast'!E41*D8/12</f>
        <v>6843188.16</v>
      </c>
      <c r="F15" s="68" t="n">
        <f aca="false">'Population Forecast'!F41*D9/12</f>
        <v>11160062.3333333</v>
      </c>
      <c r="G15" s="68" t="n">
        <f aca="false">'Population Forecast'!G41*D10/12</f>
        <v>696092.54</v>
      </c>
      <c r="H15" s="68" t="n">
        <f aca="false">Income!H30*(1+'Forecast Assumptions'!B42)</f>
        <v>2837650</v>
      </c>
      <c r="I15" s="68" t="n">
        <f aca="false">Income!I30*(1+'Forecast Assumptions'!B43)</f>
        <v>548077</v>
      </c>
      <c r="J15" s="68" t="n">
        <f aca="false">Income!J30*(1+'Forecast Assumptions'!B44)</f>
        <v>2951866.32</v>
      </c>
      <c r="K15" s="68" t="n">
        <f aca="false">Income!K30*(1+'Forecast Assumptions'!B45)</f>
        <v>953333.68</v>
      </c>
      <c r="L15" s="68" t="n">
        <f aca="false">Income!L30*(1+'Forecast Assumptions'!B46)</f>
        <v>552500.34</v>
      </c>
      <c r="M15" s="91" t="n">
        <f aca="false">SUM(C15:L15)</f>
        <v>37857684.3033333</v>
      </c>
    </row>
    <row r="16" customFormat="false" ht="15" hidden="false" customHeight="true" outlineLevel="0" collapsed="false">
      <c r="A16" s="90" t="n">
        <v>46296</v>
      </c>
      <c r="B16" s="73" t="s">
        <v>155</v>
      </c>
      <c r="C16" s="68" t="n">
        <f aca="false">'Population Forecast'!C42*D6/12</f>
        <v>7380995.825</v>
      </c>
      <c r="D16" s="68" t="n">
        <f aca="false">'Population Forecast'!D42*D7/12</f>
        <v>3821687.82666667</v>
      </c>
      <c r="E16" s="68" t="n">
        <f aca="false">'Population Forecast'!E42*D8/12</f>
        <v>5567339.52</v>
      </c>
      <c r="F16" s="68" t="n">
        <f aca="false">'Population Forecast'!F42*D9/12</f>
        <v>8828305.63333333</v>
      </c>
      <c r="G16" s="68" t="n">
        <f aca="false">'Population Forecast'!G42*D10/12</f>
        <v>686965.4525</v>
      </c>
      <c r="H16" s="68" t="n">
        <f aca="false">Income!H31*(1+'Forecast Assumptions'!B42)</f>
        <v>2987000</v>
      </c>
      <c r="I16" s="68" t="n">
        <f aca="false">Income!I31*(1+'Forecast Assumptions'!B43)</f>
        <v>548077</v>
      </c>
      <c r="J16" s="68" t="n">
        <f aca="false">Income!J31*(1+'Forecast Assumptions'!B44)</f>
        <v>2951866.32</v>
      </c>
      <c r="K16" s="68" t="n">
        <f aca="false">Income!K31*(1+'Forecast Assumptions'!B45)</f>
        <v>953333.68</v>
      </c>
      <c r="L16" s="68" t="n">
        <f aca="false">Income!L31*(1+'Forecast Assumptions'!B46)</f>
        <v>552500.34</v>
      </c>
      <c r="M16" s="91" t="n">
        <f aca="false">SUM(C16:L16)</f>
        <v>34278071.5975</v>
      </c>
    </row>
    <row r="17" customFormat="false" ht="15" hidden="false" customHeight="true" outlineLevel="0" collapsed="false">
      <c r="A17" s="90" t="n">
        <v>46327</v>
      </c>
      <c r="B17" s="73" t="s">
        <v>155</v>
      </c>
      <c r="C17" s="68" t="n">
        <f aca="false">'Population Forecast'!C43*D6/12</f>
        <v>7457990.95</v>
      </c>
      <c r="D17" s="68" t="n">
        <f aca="false">'Population Forecast'!D43*D7/12</f>
        <v>3781343.71333333</v>
      </c>
      <c r="E17" s="68" t="n">
        <f aca="false">'Population Forecast'!E43*D8/12</f>
        <v>4459127.2425</v>
      </c>
      <c r="F17" s="68" t="n">
        <f aca="false">'Population Forecast'!F43*D9/12</f>
        <v>7070548.76666667</v>
      </c>
      <c r="G17" s="68" t="n">
        <f aca="false">'Population Forecast'!G43*D10/12</f>
        <v>685140.035</v>
      </c>
      <c r="H17" s="68" t="n">
        <f aca="false">Income!H32*(1+'Forecast Assumptions'!B42)</f>
        <v>2987000</v>
      </c>
      <c r="I17" s="68" t="n">
        <f aca="false">Income!I32*(1+'Forecast Assumptions'!B43)</f>
        <v>3653846</v>
      </c>
      <c r="J17" s="68" t="n">
        <f aca="false">Income!J32*(1+'Forecast Assumptions'!B44)</f>
        <v>2838333.68</v>
      </c>
      <c r="K17" s="68" t="n">
        <f aca="false">Income!K32*(1+'Forecast Assumptions'!B45)</f>
        <v>866666.32</v>
      </c>
      <c r="L17" s="68" t="n">
        <f aca="false">Income!L32*(1+'Forecast Assumptions'!B46)</f>
        <v>552500.34</v>
      </c>
      <c r="M17" s="91" t="n">
        <f aca="false">SUM(C17:L17)</f>
        <v>34352497.0475</v>
      </c>
    </row>
    <row r="18" customFormat="false" ht="15" hidden="false" customHeight="true" outlineLevel="0" collapsed="false">
      <c r="A18" s="90" t="n">
        <v>46357</v>
      </c>
      <c r="B18" s="73" t="s">
        <v>155</v>
      </c>
      <c r="C18" s="68" t="n">
        <f aca="false">'Population Forecast'!C44*D6/12</f>
        <v>7469337.6</v>
      </c>
      <c r="D18" s="68" t="n">
        <f aca="false">'Population Forecast'!D44*D7/12</f>
        <v>3783177.53666667</v>
      </c>
      <c r="E18" s="68" t="n">
        <f aca="false">'Population Forecast'!E44*D8/12</f>
        <v>3534861.8925</v>
      </c>
      <c r="F18" s="68" t="n">
        <f aca="false">'Population Forecast'!F44*D9/12</f>
        <v>5587559.03333333</v>
      </c>
      <c r="G18" s="68" t="n">
        <f aca="false">'Population Forecast'!G44*D10/12</f>
        <v>691224.76</v>
      </c>
      <c r="H18" s="68" t="n">
        <f aca="false">Income!H33*(1+'Forecast Assumptions'!B42)</f>
        <v>3136350</v>
      </c>
      <c r="I18" s="68" t="n">
        <f aca="false">Income!I33*(1+'Forecast Assumptions'!B43)</f>
        <v>548077</v>
      </c>
      <c r="J18" s="68" t="n">
        <f aca="false">Income!J33*(1+'Forecast Assumptions'!B44)</f>
        <v>2611266.32</v>
      </c>
      <c r="K18" s="68" t="n">
        <f aca="false">Income!K33*(1+'Forecast Assumptions'!B45)</f>
        <v>780000</v>
      </c>
      <c r="L18" s="68" t="n">
        <f aca="false">Income!L33*(1+'Forecast Assumptions'!B46)</f>
        <v>552500.34</v>
      </c>
      <c r="M18" s="91" t="n">
        <f aca="false">SUM(C18:L18)</f>
        <v>28694354.4825</v>
      </c>
    </row>
    <row r="19" customFormat="false" ht="15" hidden="false" customHeight="true" outlineLevel="0" collapsed="false">
      <c r="A19" s="90" t="n">
        <v>46388</v>
      </c>
      <c r="B19" s="73" t="s">
        <v>155</v>
      </c>
      <c r="C19" s="68" t="n">
        <f aca="false">'Population Forecast'!C45*D6/12</f>
        <v>7465285.225</v>
      </c>
      <c r="D19" s="68" t="n">
        <f aca="false">'Population Forecast'!D45*D7/12</f>
        <v>3781343.71333333</v>
      </c>
      <c r="E19" s="68" t="n">
        <f aca="false">'Population Forecast'!E45*D8/12</f>
        <v>3269362.14</v>
      </c>
      <c r="F19" s="68" t="n">
        <f aca="false">'Population Forecast'!F45*D9/12</f>
        <v>5132123.1</v>
      </c>
      <c r="G19" s="68" t="n">
        <f aca="false">'Population Forecast'!G45*D10/12</f>
        <v>733209.3625</v>
      </c>
      <c r="H19" s="68" t="n">
        <f aca="false">Income!H34*(1+'Forecast Assumptions'!B42)</f>
        <v>3136350</v>
      </c>
      <c r="I19" s="68" t="n">
        <f aca="false">Income!I34*(1+'Forecast Assumptions'!B43)</f>
        <v>548077</v>
      </c>
      <c r="J19" s="68" t="n">
        <f aca="false">Income!J34*(1+'Forecast Assumptions'!B44)</f>
        <v>2497733.68</v>
      </c>
      <c r="K19" s="68" t="n">
        <f aca="false">Income!K34*(1+'Forecast Assumptions'!B45)</f>
        <v>866666.32</v>
      </c>
      <c r="L19" s="68" t="n">
        <f aca="false">Income!L34*(1+'Forecast Assumptions'!B46)</f>
        <v>552500.34</v>
      </c>
      <c r="M19" s="91" t="n">
        <f aca="false">SUM(C19:L19)</f>
        <v>27982650.8808333</v>
      </c>
    </row>
    <row r="20" customFormat="false" ht="15" hidden="false" customHeight="true" outlineLevel="0" collapsed="false">
      <c r="A20" s="90" t="n">
        <v>46419</v>
      </c>
      <c r="B20" s="73" t="s">
        <v>155</v>
      </c>
      <c r="C20" s="68" t="n">
        <f aca="false">'Population Forecast'!C46*D6/12</f>
        <v>7380185.35</v>
      </c>
      <c r="D20" s="68" t="n">
        <f aca="false">'Population Forecast'!D46*D7/12</f>
        <v>3796014.3</v>
      </c>
      <c r="E20" s="68" t="n">
        <f aca="false">'Population Forecast'!E46*D8/12</f>
        <v>2616939.54</v>
      </c>
      <c r="F20" s="68" t="n">
        <f aca="false">'Population Forecast'!F46*D9/12</f>
        <v>4055638.16666667</v>
      </c>
      <c r="G20" s="68" t="n">
        <f aca="false">'Population Forecast'!G46*D10/12</f>
        <v>736860.1975</v>
      </c>
      <c r="H20" s="68" t="n">
        <f aca="false">Income!H35*(1+'Forecast Assumptions'!B42)</f>
        <v>3136350</v>
      </c>
      <c r="I20" s="68" t="n">
        <f aca="false">Income!I35*(1+'Forecast Assumptions'!B43)</f>
        <v>3653846</v>
      </c>
      <c r="J20" s="68" t="n">
        <f aca="false">Income!J35*(1+'Forecast Assumptions'!B44)</f>
        <v>2497733.68</v>
      </c>
      <c r="K20" s="68" t="n">
        <f aca="false">Income!K35*(1+'Forecast Assumptions'!B45)</f>
        <v>953333.68</v>
      </c>
      <c r="L20" s="68" t="n">
        <f aca="false">Income!L35*(1+'Forecast Assumptions'!B46)</f>
        <v>552500.34</v>
      </c>
      <c r="M20" s="91" t="n">
        <f aca="false">SUM(C20:L20)</f>
        <v>29379401.2541667</v>
      </c>
    </row>
    <row r="21" customFormat="false" ht="15" hidden="false" customHeight="true" outlineLevel="0" collapsed="false">
      <c r="A21" s="90" t="n">
        <v>46447</v>
      </c>
      <c r="B21" s="73" t="s">
        <v>155</v>
      </c>
      <c r="C21" s="68" t="n">
        <f aca="false">'Population Forecast'!C47*D6/12</f>
        <v>7416656.725</v>
      </c>
      <c r="D21" s="68" t="n">
        <f aca="false">'Population Forecast'!D47*D7/12</f>
        <v>3790512.83</v>
      </c>
      <c r="E21" s="68" t="n">
        <f aca="false">'Population Forecast'!E47*D8/12</f>
        <v>2083221.6075</v>
      </c>
      <c r="F21" s="68" t="n">
        <f aca="false">'Population Forecast'!F47*D9/12</f>
        <v>3221926.93333333</v>
      </c>
      <c r="G21" s="68" t="n">
        <f aca="false">'Population Forecast'!G47*D10/12</f>
        <v>745378.8125</v>
      </c>
      <c r="H21" s="68" t="n">
        <f aca="false">Income!H36*(1+'Forecast Assumptions'!B42)</f>
        <v>2987000</v>
      </c>
      <c r="I21" s="68" t="n">
        <f aca="false">Income!I36*(1+'Forecast Assumptions'!B43)</f>
        <v>548077</v>
      </c>
      <c r="J21" s="68" t="n">
        <f aca="false">Income!J36*(1+'Forecast Assumptions'!B44)</f>
        <v>2497733.68</v>
      </c>
      <c r="K21" s="68" t="n">
        <f aca="false">Income!K36*(1+'Forecast Assumptions'!B45)</f>
        <v>953333.68</v>
      </c>
      <c r="L21" s="68" t="n">
        <f aca="false">Income!L36*(1+'Forecast Assumptions'!B46)</f>
        <v>552500.34</v>
      </c>
      <c r="M21" s="91" t="n">
        <f aca="false">SUM(C21:L21)</f>
        <v>24796341.6083333</v>
      </c>
    </row>
    <row r="22" customFormat="false" ht="15" hidden="false" customHeight="true" outlineLevel="0" collapsed="false">
      <c r="A22" s="90" t="n">
        <v>46478</v>
      </c>
      <c r="B22" s="73" t="s">
        <v>155</v>
      </c>
      <c r="C22" s="68" t="n">
        <f aca="false">'Population Forecast'!C48*D6/12</f>
        <v>7382616.775</v>
      </c>
      <c r="D22" s="68" t="n">
        <f aca="false">'Population Forecast'!D48*D7/12</f>
        <v>3724495.19</v>
      </c>
      <c r="E22" s="68" t="n">
        <f aca="false">'Population Forecast'!E48*D8/12</f>
        <v>1687237.335</v>
      </c>
      <c r="F22" s="68" t="n">
        <f aca="false">'Population Forecast'!F48*D9/12</f>
        <v>2600877.93333333</v>
      </c>
      <c r="G22" s="68" t="n">
        <f aca="false">'Population Forecast'!G48*D10/12</f>
        <v>730775.4725</v>
      </c>
      <c r="H22" s="68" t="n">
        <f aca="false">Income!H37*(1+'Forecast Assumptions'!B42)</f>
        <v>2987000</v>
      </c>
      <c r="I22" s="68" t="n">
        <f aca="false">Income!I37*(1+'Forecast Assumptions'!B43)</f>
        <v>548077</v>
      </c>
      <c r="J22" s="68" t="n">
        <f aca="false">Income!J37*(1+'Forecast Assumptions'!B44)</f>
        <v>2497733.68</v>
      </c>
      <c r="K22" s="68" t="n">
        <f aca="false">Income!K37*(1+'Forecast Assumptions'!B45)</f>
        <v>866666.32</v>
      </c>
      <c r="L22" s="68" t="n">
        <f aca="false">Income!L37*(1+'Forecast Assumptions'!B46)</f>
        <v>552500.34</v>
      </c>
      <c r="M22" s="91" t="n">
        <f aca="false">SUM(C22:L22)</f>
        <v>23577980.0458333</v>
      </c>
    </row>
    <row r="23" customFormat="false" ht="15" hidden="false" customHeight="true" outlineLevel="0" collapsed="false">
      <c r="A23" s="90" t="n">
        <v>46508</v>
      </c>
      <c r="B23" s="73" t="s">
        <v>155</v>
      </c>
      <c r="C23" s="68" t="n">
        <f aca="false">'Population Forecast'!C49*D6/12</f>
        <v>7379374.875</v>
      </c>
      <c r="D23" s="68" t="n">
        <f aca="false">'Population Forecast'!D49*D7/12</f>
        <v>3726329.01333333</v>
      </c>
      <c r="E23" s="68" t="n">
        <f aca="false">'Population Forecast'!E49*D8/12</f>
        <v>1336560.1875</v>
      </c>
      <c r="F23" s="68" t="n">
        <f aca="false">'Population Forecast'!F49*D9/12</f>
        <v>2045697.76666667</v>
      </c>
      <c r="G23" s="68" t="n">
        <f aca="false">'Population Forecast'!G49*D10/12</f>
        <v>731383.945</v>
      </c>
      <c r="H23" s="68" t="n">
        <f aca="false">Income!H38*(1+'Forecast Assumptions'!B42)</f>
        <v>2837650</v>
      </c>
      <c r="I23" s="68" t="n">
        <f aca="false">Income!I38*(1+'Forecast Assumptions'!B43)</f>
        <v>3653846</v>
      </c>
      <c r="J23" s="68" t="n">
        <f aca="false">Income!J38*(1+'Forecast Assumptions'!B44)</f>
        <v>2270666.32</v>
      </c>
      <c r="K23" s="68" t="n">
        <f aca="false">Income!K38*(1+'Forecast Assumptions'!B45)</f>
        <v>780000</v>
      </c>
      <c r="L23" s="68" t="n">
        <f aca="false">Income!L38*(1+'Forecast Assumptions'!B46)</f>
        <v>552500.34</v>
      </c>
      <c r="M23" s="91" t="n">
        <f aca="false">SUM(C23:L23)</f>
        <v>25314008.4475</v>
      </c>
    </row>
    <row r="24" customFormat="false" ht="15" hidden="false" customHeight="true" outlineLevel="0" collapsed="false">
      <c r="A24" s="90" t="n">
        <v>46539</v>
      </c>
      <c r="B24" s="73" t="s">
        <v>155</v>
      </c>
      <c r="C24" s="68" t="n">
        <f aca="false">'Population Forecast'!C50*D6/12</f>
        <v>7451507.15</v>
      </c>
      <c r="D24" s="68" t="n">
        <f aca="false">'Population Forecast'!D50*D7/12</f>
        <v>3748334.89333333</v>
      </c>
      <c r="E24" s="68" t="n">
        <f aca="false">'Population Forecast'!E50*D8/12</f>
        <v>1072872.72</v>
      </c>
      <c r="F24" s="68" t="n">
        <f aca="false">'Population Forecast'!F50*D9/12</f>
        <v>1633547.06666667</v>
      </c>
      <c r="G24" s="68" t="n">
        <f aca="false">'Population Forecast'!G50*D10/12</f>
        <v>734426.3075</v>
      </c>
      <c r="H24" s="68" t="n">
        <f aca="false">Income!H39*(1+'Forecast Assumptions'!B42)</f>
        <v>2837650</v>
      </c>
      <c r="I24" s="68" t="n">
        <f aca="false">Income!I39*(1+'Forecast Assumptions'!B43)</f>
        <v>548077</v>
      </c>
      <c r="J24" s="68" t="n">
        <f aca="false">Income!J39*(1+'Forecast Assumptions'!B44)</f>
        <v>1135333.68</v>
      </c>
      <c r="K24" s="68" t="n">
        <f aca="false">Income!K39*(1+'Forecast Assumptions'!B45)</f>
        <v>780000</v>
      </c>
      <c r="L24" s="68" t="n">
        <f aca="false">Income!L39*(1+'Forecast Assumptions'!B46)</f>
        <v>552500.34</v>
      </c>
      <c r="M24" s="91" t="n">
        <f aca="false">SUM(C24:L24)</f>
        <v>20494249.1575</v>
      </c>
    </row>
    <row r="25" customFormat="false" ht="15" hidden="false" customHeight="true" outlineLevel="0" collapsed="false">
      <c r="A25" s="90" t="n">
        <v>46569</v>
      </c>
      <c r="B25" s="73" t="s">
        <v>155</v>
      </c>
      <c r="C25" s="68" t="n">
        <f aca="false">'Population Forecast'!C51*D6/12</f>
        <v>5058984.95</v>
      </c>
      <c r="D25" s="68" t="n">
        <f aca="false">'Population Forecast'!D51*D7/12</f>
        <v>2552682.08</v>
      </c>
      <c r="E25" s="68" t="n">
        <f aca="false">'Population Forecast'!E51*D8/12</f>
        <v>854492.3775</v>
      </c>
      <c r="F25" s="68" t="n">
        <f aca="false">'Population Forecast'!F51*D9/12</f>
        <v>1296675.03333333</v>
      </c>
      <c r="G25" s="68" t="n">
        <f aca="false">'Population Forecast'!G51*D10/12</f>
        <v>568313.315</v>
      </c>
      <c r="H25" s="68" t="n">
        <f aca="false">Income!H40*(1+'Forecast Assumptions'!B42)</f>
        <v>3285700</v>
      </c>
      <c r="I25" s="68" t="n">
        <f aca="false">Income!I40*(1+'Forecast Assumptions'!B43)</f>
        <v>548077</v>
      </c>
      <c r="J25" s="68" t="n">
        <f aca="false">Income!J40*(1+'Forecast Assumptions'!B44)</f>
        <v>1135333.68</v>
      </c>
      <c r="K25" s="68" t="n">
        <f aca="false">Income!K40*(1+'Forecast Assumptions'!B45)</f>
        <v>866666.32</v>
      </c>
      <c r="L25" s="68" t="n">
        <f aca="false">Income!L40*(1+'Forecast Assumptions'!B46)</f>
        <v>552500.34</v>
      </c>
      <c r="M25" s="91" t="n">
        <f aca="false">SUM(C25:L25)</f>
        <v>16719425.0958333</v>
      </c>
    </row>
    <row r="26" customFormat="false" ht="15" hidden="false" customHeight="true" outlineLevel="0" collapsed="false">
      <c r="A26" s="90" t="n">
        <v>46600</v>
      </c>
      <c r="B26" s="73" t="s">
        <v>156</v>
      </c>
      <c r="C26" s="68" t="n">
        <f aca="false">'Population Forecast'!C52*F6/12</f>
        <v>5206872.32325</v>
      </c>
      <c r="D26" s="68" t="n">
        <f aca="false">'Population Forecast'!D52*F7/12</f>
        <v>2791133.394504</v>
      </c>
      <c r="E26" s="68" t="n">
        <f aca="false">'Population Forecast'!E52*F8/12</f>
        <v>705427.0430805</v>
      </c>
      <c r="F26" s="68" t="n">
        <f aca="false">'Population Forecast'!F52*F9/12</f>
        <v>1283027.15441057</v>
      </c>
      <c r="G26" s="68" t="n">
        <f aca="false">'Population Forecast'!G52*F10/12</f>
        <v>556796.5126035</v>
      </c>
      <c r="H26" s="68" t="n">
        <f aca="false">H14*(1+'Forecast Assumptions'!C42)</f>
        <v>2768949</v>
      </c>
      <c r="I26" s="68" t="n">
        <f aca="false">I14*(1+'Forecast Assumptions'!C43)</f>
        <v>3653846</v>
      </c>
      <c r="J26" s="68" t="n">
        <f aca="false">J14*(1+'Forecast Assumptions'!C44)</f>
        <v>1416896</v>
      </c>
      <c r="K26" s="68" t="n">
        <f aca="false">K14*(1+'Forecast Assumptions'!C45)</f>
        <v>811200</v>
      </c>
      <c r="L26" s="68" t="n">
        <f aca="false">L14*(1+'Forecast Assumptions'!C46)</f>
        <v>563550.3468</v>
      </c>
      <c r="M26" s="91" t="n">
        <f aca="false">SUM(C26:L26)</f>
        <v>19757697.7746486</v>
      </c>
    </row>
    <row r="27" customFormat="false" ht="15" hidden="false" customHeight="true" outlineLevel="0" collapsed="false">
      <c r="A27" s="90" t="n">
        <v>46631</v>
      </c>
      <c r="B27" s="73" t="s">
        <v>156</v>
      </c>
      <c r="C27" s="68" t="n">
        <f aca="false">'Population Forecast'!C53*F6/12</f>
        <v>7799768.2575</v>
      </c>
      <c r="D27" s="68" t="n">
        <f aca="false">'Population Forecast'!D53*F7/12</f>
        <v>4010448.397072</v>
      </c>
      <c r="E27" s="68" t="n">
        <f aca="false">'Population Forecast'!E53*F8/12</f>
        <v>7189453.480896</v>
      </c>
      <c r="F27" s="68" t="n">
        <f aca="false">'Population Forecast'!F53*F9/12</f>
        <v>11944036.1470246</v>
      </c>
      <c r="G27" s="68" t="n">
        <f aca="false">'Population Forecast'!G53*F10/12</f>
        <v>731314.822524</v>
      </c>
      <c r="H27" s="68" t="n">
        <f aca="false">H15*(1+'Forecast Assumptions'!C42)</f>
        <v>2922779.5</v>
      </c>
      <c r="I27" s="68" t="n">
        <f aca="false">I15*(1+'Forecast Assumptions'!C43)</f>
        <v>548077</v>
      </c>
      <c r="J27" s="68" t="n">
        <f aca="false">J15*(1+'Forecast Assumptions'!C44)</f>
        <v>3069940.9728</v>
      </c>
      <c r="K27" s="68" t="n">
        <f aca="false">K15*(1+'Forecast Assumptions'!C45)</f>
        <v>991467.0272</v>
      </c>
      <c r="L27" s="68" t="n">
        <f aca="false">L15*(1+'Forecast Assumptions'!C46)</f>
        <v>563550.3468</v>
      </c>
      <c r="M27" s="91" t="n">
        <f aca="false">SUM(C27:L27)</f>
        <v>39770835.9518166</v>
      </c>
    </row>
    <row r="28" customFormat="false" ht="15" hidden="false" customHeight="true" outlineLevel="0" collapsed="false">
      <c r="A28" s="90" t="n">
        <v>46661</v>
      </c>
      <c r="B28" s="73" t="s">
        <v>156</v>
      </c>
      <c r="C28" s="68" t="n">
        <f aca="false">'Population Forecast'!C54*F6/12</f>
        <v>7679188.05633</v>
      </c>
      <c r="D28" s="68" t="n">
        <f aca="false">'Population Forecast'!D54*F7/12</f>
        <v>4014300.89313067</v>
      </c>
      <c r="E28" s="68" t="n">
        <f aca="false">'Population Forecast'!E54*F8/12</f>
        <v>5849046.899712</v>
      </c>
      <c r="F28" s="68" t="n">
        <f aca="false">'Population Forecast'!F54*F9/12</f>
        <v>9448477.83569853</v>
      </c>
      <c r="G28" s="68" t="n">
        <f aca="false">'Population Forecast'!G54*F10/12</f>
        <v>721725.9043965</v>
      </c>
      <c r="H28" s="68" t="n">
        <f aca="false">H16*(1+'Forecast Assumptions'!C42)</f>
        <v>3076610</v>
      </c>
      <c r="I28" s="68" t="n">
        <f aca="false">I16*(1+'Forecast Assumptions'!C43)</f>
        <v>548077</v>
      </c>
      <c r="J28" s="68" t="n">
        <f aca="false">J16*(1+'Forecast Assumptions'!C44)</f>
        <v>3069940.9728</v>
      </c>
      <c r="K28" s="68" t="n">
        <f aca="false">K16*(1+'Forecast Assumptions'!C45)</f>
        <v>991467.0272</v>
      </c>
      <c r="L28" s="68" t="n">
        <f aca="false">L16*(1+'Forecast Assumptions'!C46)</f>
        <v>563550.3468</v>
      </c>
      <c r="M28" s="91" t="n">
        <f aca="false">SUM(C28:L28)</f>
        <v>35962384.9360677</v>
      </c>
    </row>
    <row r="29" customFormat="false" ht="15" hidden="false" customHeight="true" outlineLevel="0" collapsed="false">
      <c r="A29" s="90" t="n">
        <v>46692</v>
      </c>
      <c r="B29" s="73" t="s">
        <v>156</v>
      </c>
      <c r="C29" s="68" t="n">
        <f aca="false">'Population Forecast'!C55*F6/12</f>
        <v>7759293.78438</v>
      </c>
      <c r="D29" s="68" t="n">
        <f aca="false">'Population Forecast'!D55*F7/12</f>
        <v>3971923.43648533</v>
      </c>
      <c r="E29" s="68" t="n">
        <f aca="false">'Population Forecast'!E55*F8/12</f>
        <v>4684759.0809705</v>
      </c>
      <c r="F29" s="68" t="n">
        <f aca="false">'Population Forecast'!F55*F9/12</f>
        <v>7567241.78825823</v>
      </c>
      <c r="G29" s="68" t="n">
        <f aca="false">'Population Forecast'!G55*F10/12</f>
        <v>719808.120771</v>
      </c>
      <c r="H29" s="68" t="n">
        <f aca="false">H17*(1+'Forecast Assumptions'!C42)</f>
        <v>3076610</v>
      </c>
      <c r="I29" s="68" t="n">
        <f aca="false">I17*(1+'Forecast Assumptions'!C43)</f>
        <v>3653846</v>
      </c>
      <c r="J29" s="68" t="n">
        <f aca="false">J17*(1+'Forecast Assumptions'!C44)</f>
        <v>2951867.0272</v>
      </c>
      <c r="K29" s="68" t="n">
        <f aca="false">K17*(1+'Forecast Assumptions'!C45)</f>
        <v>901332.9728</v>
      </c>
      <c r="L29" s="68" t="n">
        <f aca="false">L17*(1+'Forecast Assumptions'!C46)</f>
        <v>563550.3468</v>
      </c>
      <c r="M29" s="91" t="n">
        <f aca="false">SUM(C29:L29)</f>
        <v>35850232.5576651</v>
      </c>
    </row>
    <row r="30" customFormat="false" ht="15" hidden="false" customHeight="true" outlineLevel="0" collapsed="false">
      <c r="A30" s="90" t="n">
        <v>46722</v>
      </c>
      <c r="B30" s="73" t="s">
        <v>156</v>
      </c>
      <c r="C30" s="68" t="n">
        <f aca="false">'Population Forecast'!C56*F6/12</f>
        <v>7771098.83904</v>
      </c>
      <c r="D30" s="68" t="n">
        <f aca="false">'Population Forecast'!D56*F7/12</f>
        <v>3973849.68451467</v>
      </c>
      <c r="E30" s="68" t="n">
        <f aca="false">'Population Forecast'!E56*F8/12</f>
        <v>3713725.9042605</v>
      </c>
      <c r="F30" s="68" t="n">
        <f aca="false">'Population Forecast'!F56*F9/12</f>
        <v>5980074.7589403</v>
      </c>
      <c r="G30" s="68" t="n">
        <f aca="false">'Population Forecast'!G56*F10/12</f>
        <v>726200.732856</v>
      </c>
      <c r="H30" s="68" t="n">
        <f aca="false">H18*(1+'Forecast Assumptions'!C42)</f>
        <v>3230440.5</v>
      </c>
      <c r="I30" s="68" t="n">
        <f aca="false">I18*(1+'Forecast Assumptions'!C43)</f>
        <v>548077</v>
      </c>
      <c r="J30" s="68" t="n">
        <f aca="false">J18*(1+'Forecast Assumptions'!C44)</f>
        <v>2715716.9728</v>
      </c>
      <c r="K30" s="68" t="n">
        <f aca="false">K18*(1+'Forecast Assumptions'!C45)</f>
        <v>811200</v>
      </c>
      <c r="L30" s="68" t="n">
        <f aca="false">L18*(1+'Forecast Assumptions'!C46)</f>
        <v>563550.3468</v>
      </c>
      <c r="M30" s="91" t="n">
        <f aca="false">SUM(C30:L30)</f>
        <v>30033934.7392115</v>
      </c>
    </row>
    <row r="31" customFormat="false" ht="15" hidden="false" customHeight="true" outlineLevel="0" collapsed="false">
      <c r="A31" s="90" t="n">
        <v>46753</v>
      </c>
      <c r="B31" s="73" t="s">
        <v>156</v>
      </c>
      <c r="C31" s="68" t="n">
        <f aca="false">'Population Forecast'!C57*F6/12</f>
        <v>7766882.74809</v>
      </c>
      <c r="D31" s="68" t="n">
        <f aca="false">'Population Forecast'!D57*F7/12</f>
        <v>3971923.43648533</v>
      </c>
      <c r="E31" s="68" t="n">
        <f aca="false">'Population Forecast'!E57*F8/12</f>
        <v>3434791.864284</v>
      </c>
      <c r="F31" s="68" t="n">
        <f aca="false">'Population Forecast'!F57*F9/12</f>
        <v>5492645.2905457</v>
      </c>
      <c r="G31" s="68" t="n">
        <f aca="false">'Population Forecast'!G57*F10/12</f>
        <v>770309.7562425</v>
      </c>
      <c r="H31" s="68" t="n">
        <f aca="false">H19*(1+'Forecast Assumptions'!C42)</f>
        <v>3230440.5</v>
      </c>
      <c r="I31" s="68" t="n">
        <f aca="false">I19*(1+'Forecast Assumptions'!C43)</f>
        <v>548077</v>
      </c>
      <c r="J31" s="68" t="n">
        <f aca="false">J19*(1+'Forecast Assumptions'!C44)</f>
        <v>2597643.0272</v>
      </c>
      <c r="K31" s="68" t="n">
        <f aca="false">K19*(1+'Forecast Assumptions'!C45)</f>
        <v>901332.9728</v>
      </c>
      <c r="L31" s="68" t="n">
        <f aca="false">L19*(1+'Forecast Assumptions'!C46)</f>
        <v>563550.3468</v>
      </c>
      <c r="M31" s="91" t="n">
        <f aca="false">SUM(C31:L31)</f>
        <v>29277596.9424475</v>
      </c>
    </row>
    <row r="32" customFormat="false" ht="15" hidden="false" customHeight="true" outlineLevel="0" collapsed="false">
      <c r="A32" s="90" t="n">
        <v>46784</v>
      </c>
      <c r="B32" s="73" t="s">
        <v>156</v>
      </c>
      <c r="C32" s="68" t="n">
        <f aca="false">'Population Forecast'!C58*F6/12</f>
        <v>7678344.83814</v>
      </c>
      <c r="D32" s="68" t="n">
        <f aca="false">'Population Forecast'!D58*F7/12</f>
        <v>3987333.42072</v>
      </c>
      <c r="E32" s="68" t="n">
        <f aca="false">'Population Forecast'!E58*F8/12</f>
        <v>2749356.680724</v>
      </c>
      <c r="F32" s="68" t="n">
        <f aca="false">'Population Forecast'!F58*F9/12</f>
        <v>4340539.2743403</v>
      </c>
      <c r="G32" s="68" t="n">
        <f aca="false">'Population Forecast'!G58*F10/12</f>
        <v>774145.3234935</v>
      </c>
      <c r="H32" s="68" t="n">
        <f aca="false">H20*(1+'Forecast Assumptions'!C42)</f>
        <v>3230440.5</v>
      </c>
      <c r="I32" s="68" t="n">
        <f aca="false">I20*(1+'Forecast Assumptions'!C43)</f>
        <v>3653846</v>
      </c>
      <c r="J32" s="68" t="n">
        <f aca="false">J20*(1+'Forecast Assumptions'!C44)</f>
        <v>2597643.0272</v>
      </c>
      <c r="K32" s="68" t="n">
        <f aca="false">K20*(1+'Forecast Assumptions'!C45)</f>
        <v>991467.0272</v>
      </c>
      <c r="L32" s="68" t="n">
        <f aca="false">L20*(1+'Forecast Assumptions'!C46)</f>
        <v>563550.3468</v>
      </c>
      <c r="M32" s="91" t="n">
        <f aca="false">SUM(C32:L32)</f>
        <v>30566666.4386178</v>
      </c>
    </row>
    <row r="33" customFormat="false" ht="15" hidden="false" customHeight="true" outlineLevel="0" collapsed="false">
      <c r="A33" s="90" t="n">
        <v>46813</v>
      </c>
      <c r="B33" s="73" t="s">
        <v>156</v>
      </c>
      <c r="C33" s="68" t="n">
        <f aca="false">'Population Forecast'!C59*F6/12</f>
        <v>7716289.65669</v>
      </c>
      <c r="D33" s="68" t="n">
        <f aca="false">'Population Forecast'!D59*F7/12</f>
        <v>3981554.676632</v>
      </c>
      <c r="E33" s="68" t="n">
        <f aca="false">'Population Forecast'!E59*F8/12</f>
        <v>2188632.6208395</v>
      </c>
      <c r="F33" s="68" t="n">
        <f aca="false">'Population Forecast'!F59*F9/12</f>
        <v>3448261.36318821</v>
      </c>
      <c r="G33" s="68" t="n">
        <f aca="false">'Population Forecast'!G59*F10/12</f>
        <v>783094.9804125</v>
      </c>
      <c r="H33" s="68" t="n">
        <f aca="false">H21*(1+'Forecast Assumptions'!C42)</f>
        <v>3076610</v>
      </c>
      <c r="I33" s="68" t="n">
        <f aca="false">I21*(1+'Forecast Assumptions'!C43)</f>
        <v>548077</v>
      </c>
      <c r="J33" s="68" t="n">
        <f aca="false">J21*(1+'Forecast Assumptions'!C44)</f>
        <v>2597643.0272</v>
      </c>
      <c r="K33" s="68" t="n">
        <f aca="false">K21*(1+'Forecast Assumptions'!C45)</f>
        <v>991467.0272</v>
      </c>
      <c r="L33" s="68" t="n">
        <f aca="false">L21*(1+'Forecast Assumptions'!C46)</f>
        <v>563550.3468</v>
      </c>
      <c r="M33" s="91" t="n">
        <f aca="false">SUM(C33:L33)</f>
        <v>25895180.6989622</v>
      </c>
    </row>
    <row r="34" customFormat="false" ht="15" hidden="false" customHeight="true" outlineLevel="0" collapsed="false">
      <c r="A34" s="90" t="n">
        <v>46844</v>
      </c>
      <c r="B34" s="73" t="s">
        <v>156</v>
      </c>
      <c r="C34" s="68" t="n">
        <f aca="false">'Population Forecast'!C60*F6/12</f>
        <v>7680874.49271</v>
      </c>
      <c r="D34" s="68" t="n">
        <f aca="false">'Population Forecast'!D60*F7/12</f>
        <v>3912209.747576</v>
      </c>
      <c r="E34" s="68" t="n">
        <f aca="false">'Population Forecast'!E60*F8/12</f>
        <v>1772611.544151</v>
      </c>
      <c r="F34" s="68" t="n">
        <f aca="false">'Population Forecast'!F60*F9/12</f>
        <v>2783584.8153774</v>
      </c>
      <c r="G34" s="68" t="n">
        <f aca="false">'Population Forecast'!G60*F10/12</f>
        <v>767752.7114085</v>
      </c>
      <c r="H34" s="68" t="n">
        <f aca="false">H22*(1+'Forecast Assumptions'!C42)</f>
        <v>3076610</v>
      </c>
      <c r="I34" s="68" t="n">
        <f aca="false">I22*(1+'Forecast Assumptions'!C43)</f>
        <v>548077</v>
      </c>
      <c r="J34" s="68" t="n">
        <f aca="false">J22*(1+'Forecast Assumptions'!C44)</f>
        <v>2597643.0272</v>
      </c>
      <c r="K34" s="68" t="n">
        <f aca="false">K22*(1+'Forecast Assumptions'!C45)</f>
        <v>901332.9728</v>
      </c>
      <c r="L34" s="68" t="n">
        <f aca="false">L22*(1+'Forecast Assumptions'!C46)</f>
        <v>563550.3468</v>
      </c>
      <c r="M34" s="91" t="n">
        <f aca="false">SUM(C34:L34)</f>
        <v>24604246.6580229</v>
      </c>
    </row>
    <row r="35" customFormat="false" ht="15" hidden="false" customHeight="true" outlineLevel="0" collapsed="false">
      <c r="A35" s="90" t="n">
        <v>46874</v>
      </c>
      <c r="B35" s="73" t="s">
        <v>156</v>
      </c>
      <c r="C35" s="68" t="n">
        <f aca="false">'Population Forecast'!C61*F6/12</f>
        <v>7677501.61995</v>
      </c>
      <c r="D35" s="68" t="n">
        <f aca="false">'Population Forecast'!D61*F7/12</f>
        <v>3914135.99560533</v>
      </c>
      <c r="E35" s="68" t="n">
        <f aca="false">'Population Forecast'!E61*F8/12</f>
        <v>1404190.1329875</v>
      </c>
      <c r="F35" s="68" t="n">
        <f aca="false">'Population Forecast'!F61*F9/12</f>
        <v>2189404.26506167</v>
      </c>
      <c r="G35" s="68" t="n">
        <f aca="false">'Population Forecast'!G61*F10/12</f>
        <v>768391.972617</v>
      </c>
      <c r="H35" s="68" t="n">
        <f aca="false">H23*(1+'Forecast Assumptions'!C42)</f>
        <v>2922779.5</v>
      </c>
      <c r="I35" s="68" t="n">
        <f aca="false">I23*(1+'Forecast Assumptions'!C43)</f>
        <v>3653846</v>
      </c>
      <c r="J35" s="68" t="n">
        <f aca="false">J23*(1+'Forecast Assumptions'!C44)</f>
        <v>2361492.9728</v>
      </c>
      <c r="K35" s="68" t="n">
        <f aca="false">K23*(1+'Forecast Assumptions'!C45)</f>
        <v>811200</v>
      </c>
      <c r="L35" s="68" t="n">
        <f aca="false">L23*(1+'Forecast Assumptions'!C46)</f>
        <v>563550.3468</v>
      </c>
      <c r="M35" s="91" t="n">
        <f aca="false">SUM(C35:L35)</f>
        <v>26266492.8058215</v>
      </c>
    </row>
    <row r="36" customFormat="false" ht="15" hidden="false" customHeight="true" outlineLevel="0" collapsed="false">
      <c r="A36" s="90" t="n">
        <v>46905</v>
      </c>
      <c r="B36" s="73" t="s">
        <v>156</v>
      </c>
      <c r="C36" s="68" t="n">
        <f aca="false">'Population Forecast'!C62*F6/12</f>
        <v>7752548.03886</v>
      </c>
      <c r="D36" s="68" t="n">
        <f aca="false">'Population Forecast'!D62*F7/12</f>
        <v>3937250.97195733</v>
      </c>
      <c r="E36" s="68" t="n">
        <f aca="false">'Population Forecast'!E62*F8/12</f>
        <v>1127160.079632</v>
      </c>
      <c r="F36" s="68" t="n">
        <f aca="false">'Population Forecast'!F62*F9/12</f>
        <v>1748300.73787813</v>
      </c>
      <c r="G36" s="68" t="n">
        <f aca="false">'Population Forecast'!G62*F10/12</f>
        <v>771588.2786595</v>
      </c>
      <c r="H36" s="68" t="n">
        <f aca="false">H24*(1+'Forecast Assumptions'!C42)</f>
        <v>2922779.5</v>
      </c>
      <c r="I36" s="68" t="n">
        <f aca="false">I24*(1+'Forecast Assumptions'!C43)</f>
        <v>548077</v>
      </c>
      <c r="J36" s="68" t="n">
        <f aca="false">J24*(1+'Forecast Assumptions'!C44)</f>
        <v>1180747.0272</v>
      </c>
      <c r="K36" s="68" t="n">
        <f aca="false">K24*(1+'Forecast Assumptions'!C45)</f>
        <v>811200</v>
      </c>
      <c r="L36" s="68" t="n">
        <f aca="false">L24*(1+'Forecast Assumptions'!C46)</f>
        <v>563550.3468</v>
      </c>
      <c r="M36" s="91" t="n">
        <f aca="false">SUM(C36:L36)</f>
        <v>21363201.980987</v>
      </c>
    </row>
    <row r="37" customFormat="false" ht="15" hidden="false" customHeight="true" outlineLevel="0" collapsed="false">
      <c r="A37" s="90" t="n">
        <v>46935</v>
      </c>
      <c r="B37" s="73" t="s">
        <v>156</v>
      </c>
      <c r="C37" s="68" t="n">
        <f aca="false">'Population Forecast'!C63*F6/12</f>
        <v>5263367.94198</v>
      </c>
      <c r="D37" s="68" t="n">
        <f aca="false">'Population Forecast'!D63*F7/12</f>
        <v>2681337.256832</v>
      </c>
      <c r="E37" s="68" t="n">
        <f aca="false">'Population Forecast'!E63*F8/12</f>
        <v>897729.6918015</v>
      </c>
      <c r="F37" s="68" t="n">
        <f aca="false">'Population Forecast'!F63*F9/12</f>
        <v>1387764.06497469</v>
      </c>
      <c r="G37" s="68" t="n">
        <f aca="false">'Population Forecast'!G63*F10/12</f>
        <v>597069.968739</v>
      </c>
      <c r="H37" s="68" t="n">
        <f aca="false">H25*(1+'Forecast Assumptions'!C42)</f>
        <v>3384271</v>
      </c>
      <c r="I37" s="68" t="n">
        <f aca="false">I25*(1+'Forecast Assumptions'!C43)</f>
        <v>548077</v>
      </c>
      <c r="J37" s="68" t="n">
        <f aca="false">J25*(1+'Forecast Assumptions'!C44)</f>
        <v>1180747.0272</v>
      </c>
      <c r="K37" s="68" t="n">
        <f aca="false">K25*(1+'Forecast Assumptions'!C45)</f>
        <v>901332.9728</v>
      </c>
      <c r="L37" s="68" t="n">
        <f aca="false">L25*(1+'Forecast Assumptions'!C46)</f>
        <v>563550.3468</v>
      </c>
      <c r="M37" s="91" t="n">
        <f aca="false">SUM(C37:L37)</f>
        <v>17405247.2711272</v>
      </c>
    </row>
    <row r="38" customFormat="false" ht="15" hidden="false" customHeight="true" outlineLevel="0" collapsed="false">
      <c r="A38" s="90" t="n">
        <v>46966</v>
      </c>
      <c r="B38" s="73" t="s">
        <v>157</v>
      </c>
      <c r="C38" s="68" t="n">
        <f aca="false">'Population Forecast'!C64*H6/12</f>
        <v>5504604.6419659</v>
      </c>
      <c r="D38" s="68" t="n">
        <f aca="false">'Population Forecast'!D64*H7/12</f>
        <v>3042684.29168367</v>
      </c>
      <c r="E38" s="68" t="n">
        <f aca="false">'Population Forecast'!E64*H8/12</f>
        <v>752020.499275967</v>
      </c>
      <c r="F38" s="68" t="n">
        <f aca="false">'Population Forecast'!F64*H9/12</f>
        <v>1367578.64388622</v>
      </c>
      <c r="G38" s="68" t="n">
        <f aca="false">'Population Forecast'!G64*H10/12</f>
        <v>584970.416141237</v>
      </c>
      <c r="H38" s="68" t="n">
        <f aca="false">H26*(1+'Forecast Assumptions'!D42)</f>
        <v>2852017.47</v>
      </c>
      <c r="I38" s="68" t="n">
        <f aca="false">I26*(1+'Forecast Assumptions'!D43)</f>
        <v>3690384.46</v>
      </c>
      <c r="J38" s="68" t="n">
        <f aca="false">J26*(1+'Forecast Assumptions'!D44)</f>
        <v>1473571.84</v>
      </c>
      <c r="K38" s="68" t="n">
        <f aca="false">K26*(1+'Forecast Assumptions'!D45)</f>
        <v>843648</v>
      </c>
      <c r="L38" s="68" t="n">
        <f aca="false">L26*(1+'Forecast Assumptions'!D46)</f>
        <v>574821.353736</v>
      </c>
      <c r="M38" s="91" t="n">
        <f aca="false">SUM(C38:L38)</f>
        <v>20686301.616689</v>
      </c>
    </row>
    <row r="39" customFormat="false" ht="15" hidden="false" customHeight="true" outlineLevel="0" collapsed="false">
      <c r="A39" s="90" t="n">
        <v>46997</v>
      </c>
      <c r="B39" s="73" t="s">
        <v>157</v>
      </c>
      <c r="C39" s="68" t="n">
        <f aca="false">'Population Forecast'!C65*H6/12</f>
        <v>8245764.0385724</v>
      </c>
      <c r="D39" s="68" t="n">
        <f aca="false">'Population Forecast'!D65*H7/12</f>
        <v>4371890.05885811</v>
      </c>
      <c r="E39" s="68" t="n">
        <f aca="false">'Population Forecast'!E65*H8/12</f>
        <v>7664316.88330918</v>
      </c>
      <c r="F39" s="68" t="n">
        <f aca="false">'Population Forecast'!F65*H9/12</f>
        <v>12731148.1291135</v>
      </c>
      <c r="G39" s="68" t="n">
        <f aca="false">'Population Forecast'!G65*H10/12</f>
        <v>768319.352543715</v>
      </c>
      <c r="H39" s="68" t="n">
        <f aca="false">H27*(1+'Forecast Assumptions'!D42)</f>
        <v>3010462.885</v>
      </c>
      <c r="I39" s="68" t="n">
        <f aca="false">I27*(1+'Forecast Assumptions'!D43)</f>
        <v>553557.77</v>
      </c>
      <c r="J39" s="68" t="n">
        <f aca="false">J27*(1+'Forecast Assumptions'!D44)</f>
        <v>3192738.611712</v>
      </c>
      <c r="K39" s="68" t="n">
        <f aca="false">K27*(1+'Forecast Assumptions'!D45)</f>
        <v>1031125.708288</v>
      </c>
      <c r="L39" s="68" t="n">
        <f aca="false">L27*(1+'Forecast Assumptions'!D46)</f>
        <v>574821.353736</v>
      </c>
      <c r="M39" s="91" t="n">
        <f aca="false">SUM(C39:L39)</f>
        <v>42144144.7911329</v>
      </c>
    </row>
    <row r="40" customFormat="false" ht="15" hidden="false" customHeight="true" outlineLevel="0" collapsed="false">
      <c r="A40" s="90" t="n">
        <v>47027</v>
      </c>
      <c r="B40" s="73" t="s">
        <v>157</v>
      </c>
      <c r="C40" s="68" t="n">
        <f aca="false">'Population Forecast'!C66*H6/12</f>
        <v>8118288.98370583</v>
      </c>
      <c r="D40" s="68" t="n">
        <f aca="false">'Population Forecast'!D66*H7/12</f>
        <v>4376089.76112407</v>
      </c>
      <c r="E40" s="68" t="n">
        <f aca="false">'Population Forecast'!E66*H8/12</f>
        <v>6235376.44743798</v>
      </c>
      <c r="F40" s="68" t="n">
        <f aca="false">'Population Forecast'!F66*H9/12</f>
        <v>10071132.5250711</v>
      </c>
      <c r="G40" s="68" t="n">
        <f aca="false">'Population Forecast'!G66*H10/12</f>
        <v>758245.235158963</v>
      </c>
      <c r="H40" s="68" t="n">
        <f aca="false">H28*(1+'Forecast Assumptions'!D42)</f>
        <v>3168908.3</v>
      </c>
      <c r="I40" s="68" t="n">
        <f aca="false">I28*(1+'Forecast Assumptions'!D43)</f>
        <v>553557.77</v>
      </c>
      <c r="J40" s="68" t="n">
        <f aca="false">J28*(1+'Forecast Assumptions'!D44)</f>
        <v>3192738.611712</v>
      </c>
      <c r="K40" s="68" t="n">
        <f aca="false">K28*(1+'Forecast Assumptions'!D45)</f>
        <v>1031125.708288</v>
      </c>
      <c r="L40" s="68" t="n">
        <f aca="false">L28*(1+'Forecast Assumptions'!D46)</f>
        <v>574821.353736</v>
      </c>
      <c r="M40" s="91" t="n">
        <f aca="false">SUM(C40:L40)</f>
        <v>38080284.6962339</v>
      </c>
    </row>
    <row r="41" customFormat="false" ht="15" hidden="false" customHeight="true" outlineLevel="0" collapsed="false">
      <c r="A41" s="90" t="n">
        <v>47058</v>
      </c>
      <c r="B41" s="73" t="s">
        <v>157</v>
      </c>
      <c r="C41" s="68" t="n">
        <f aca="false">'Population Forecast'!C67*H6/12</f>
        <v>8202975.20896684</v>
      </c>
      <c r="D41" s="68" t="n">
        <f aca="false">'Population Forecast'!D67*H7/12</f>
        <v>4329893.03619857</v>
      </c>
      <c r="E41" s="68" t="n">
        <f aca="false">'Population Forecast'!E67*H8/12</f>
        <v>4994187.4182686</v>
      </c>
      <c r="F41" s="68" t="n">
        <f aca="false">'Population Forecast'!F67*H9/12</f>
        <v>8065923.02210445</v>
      </c>
      <c r="G41" s="68" t="n">
        <f aca="false">'Population Forecast'!G67*H10/12</f>
        <v>756230.411682013</v>
      </c>
      <c r="H41" s="68" t="n">
        <f aca="false">H29*(1+'Forecast Assumptions'!D42)</f>
        <v>3168908.3</v>
      </c>
      <c r="I41" s="68" t="n">
        <f aca="false">I29*(1+'Forecast Assumptions'!D43)</f>
        <v>3690384.46</v>
      </c>
      <c r="J41" s="68" t="n">
        <f aca="false">J29*(1+'Forecast Assumptions'!D44)</f>
        <v>3069941.708288</v>
      </c>
      <c r="K41" s="68" t="n">
        <f aca="false">K29*(1+'Forecast Assumptions'!D45)</f>
        <v>937386.291712</v>
      </c>
      <c r="L41" s="68" t="n">
        <f aca="false">L29*(1+'Forecast Assumptions'!D46)</f>
        <v>574821.353736</v>
      </c>
      <c r="M41" s="91" t="n">
        <f aca="false">SUM(C41:L41)</f>
        <v>37790651.2109565</v>
      </c>
    </row>
    <row r="42" customFormat="false" ht="15" hidden="false" customHeight="true" outlineLevel="0" collapsed="false">
      <c r="A42" s="90" t="n">
        <v>47088</v>
      </c>
      <c r="B42" s="73" t="s">
        <v>157</v>
      </c>
      <c r="C42" s="68" t="n">
        <f aca="false">'Population Forecast'!C68*H6/12</f>
        <v>8215455.28426846</v>
      </c>
      <c r="D42" s="68" t="n">
        <f aca="false">'Population Forecast'!D68*H7/12</f>
        <v>4331992.88733155</v>
      </c>
      <c r="E42" s="68" t="n">
        <f aca="false">'Population Forecast'!E68*H8/12</f>
        <v>3959017.50023691</v>
      </c>
      <c r="F42" s="68" t="n">
        <f aca="false">'Population Forecast'!F68*H9/12</f>
        <v>6374161.68555446</v>
      </c>
      <c r="G42" s="68" t="n">
        <f aca="false">'Population Forecast'!G68*H10/12</f>
        <v>762946.489938514</v>
      </c>
      <c r="H42" s="68" t="n">
        <f aca="false">H30*(1+'Forecast Assumptions'!D42)</f>
        <v>3327353.715</v>
      </c>
      <c r="I42" s="68" t="n">
        <f aca="false">I30*(1+'Forecast Assumptions'!D43)</f>
        <v>553557.77</v>
      </c>
      <c r="J42" s="68" t="n">
        <f aca="false">J30*(1+'Forecast Assumptions'!D44)</f>
        <v>2824345.651712</v>
      </c>
      <c r="K42" s="68" t="n">
        <f aca="false">K30*(1+'Forecast Assumptions'!D45)</f>
        <v>843648</v>
      </c>
      <c r="L42" s="68" t="n">
        <f aca="false">L30*(1+'Forecast Assumptions'!D46)</f>
        <v>574821.353736</v>
      </c>
      <c r="M42" s="91" t="n">
        <f aca="false">SUM(C42:L42)</f>
        <v>31767300.3377779</v>
      </c>
    </row>
    <row r="43" customFormat="false" ht="15" hidden="false" customHeight="true" outlineLevel="0" collapsed="false">
      <c r="A43" s="90" t="n">
        <v>47119</v>
      </c>
      <c r="B43" s="73" t="s">
        <v>157</v>
      </c>
      <c r="C43" s="68" t="n">
        <f aca="false">'Population Forecast'!C69*H6/12</f>
        <v>8210998.11451788</v>
      </c>
      <c r="D43" s="68" t="n">
        <f aca="false">'Population Forecast'!D69*H7/12</f>
        <v>4329893.03619857</v>
      </c>
      <c r="E43" s="68" t="n">
        <f aca="false">'Population Forecast'!E69*H8/12</f>
        <v>3661659.86691996</v>
      </c>
      <c r="F43" s="68" t="n">
        <f aca="false">'Population Forecast'!F69*H9/12</f>
        <v>5854610.61519266</v>
      </c>
      <c r="G43" s="68" t="n">
        <f aca="false">'Population Forecast'!G69*H10/12</f>
        <v>809287.429908371</v>
      </c>
      <c r="H43" s="68" t="n">
        <f aca="false">H31*(1+'Forecast Assumptions'!D42)</f>
        <v>3327353.715</v>
      </c>
      <c r="I43" s="68" t="n">
        <f aca="false">I31*(1+'Forecast Assumptions'!D43)</f>
        <v>553557.77</v>
      </c>
      <c r="J43" s="68" t="n">
        <f aca="false">J31*(1+'Forecast Assumptions'!D44)</f>
        <v>2701548.748288</v>
      </c>
      <c r="K43" s="68" t="n">
        <f aca="false">K31*(1+'Forecast Assumptions'!D45)</f>
        <v>937386.291712</v>
      </c>
      <c r="L43" s="68" t="n">
        <f aca="false">L31*(1+'Forecast Assumptions'!D46)</f>
        <v>574821.353736</v>
      </c>
      <c r="M43" s="91" t="n">
        <f aca="false">SUM(C43:L43)</f>
        <v>30961116.9414734</v>
      </c>
    </row>
    <row r="44" customFormat="false" ht="15" hidden="false" customHeight="true" outlineLevel="0" collapsed="false">
      <c r="A44" s="90" t="n">
        <v>47150</v>
      </c>
      <c r="B44" s="73" t="s">
        <v>157</v>
      </c>
      <c r="C44" s="68" t="n">
        <f aca="false">'Population Forecast'!C70*H6/12</f>
        <v>8117397.54975571</v>
      </c>
      <c r="D44" s="68" t="n">
        <f aca="false">'Population Forecast'!D70*H7/12</f>
        <v>4346691.84526239</v>
      </c>
      <c r="E44" s="68" t="n">
        <f aca="false">'Population Forecast'!E70*H8/12</f>
        <v>2930951.68948582</v>
      </c>
      <c r="F44" s="68" t="n">
        <f aca="false">'Population Forecast'!F70*H9/12</f>
        <v>4626580.81251932</v>
      </c>
      <c r="G44" s="68" t="n">
        <f aca="false">'Population Forecast'!G70*H10/12</f>
        <v>813317.076862271</v>
      </c>
      <c r="H44" s="68" t="n">
        <f aca="false">H32*(1+'Forecast Assumptions'!D42)</f>
        <v>3327353.715</v>
      </c>
      <c r="I44" s="68" t="n">
        <f aca="false">I32*(1+'Forecast Assumptions'!D43)</f>
        <v>3690384.46</v>
      </c>
      <c r="J44" s="68" t="n">
        <f aca="false">J32*(1+'Forecast Assumptions'!D44)</f>
        <v>2701548.748288</v>
      </c>
      <c r="K44" s="68" t="n">
        <f aca="false">K32*(1+'Forecast Assumptions'!D45)</f>
        <v>1031125.708288</v>
      </c>
      <c r="L44" s="68" t="n">
        <f aca="false">L32*(1+'Forecast Assumptions'!D46)</f>
        <v>574821.353736</v>
      </c>
      <c r="M44" s="91" t="n">
        <f aca="false">SUM(C44:L44)</f>
        <v>32160172.9591975</v>
      </c>
    </row>
    <row r="45" customFormat="false" ht="15" hidden="false" customHeight="true" outlineLevel="0" collapsed="false">
      <c r="A45" s="90" t="n">
        <v>47178</v>
      </c>
      <c r="B45" s="73" t="s">
        <v>157</v>
      </c>
      <c r="C45" s="68" t="n">
        <f aca="false">'Population Forecast'!C71*H6/12</f>
        <v>8157512.07751093</v>
      </c>
      <c r="D45" s="68" t="n">
        <f aca="false">'Population Forecast'!D71*H7/12</f>
        <v>4340392.29186346</v>
      </c>
      <c r="E45" s="68" t="n">
        <f aca="false">'Population Forecast'!E71*H8/12</f>
        <v>2333191.80544595</v>
      </c>
      <c r="F45" s="68" t="n">
        <f aca="false">'Population Forecast'!F71*H9/12</f>
        <v>3675501.78702231</v>
      </c>
      <c r="G45" s="68" t="n">
        <f aca="false">'Population Forecast'!G71*H10/12</f>
        <v>822719.586421373</v>
      </c>
      <c r="H45" s="68" t="n">
        <f aca="false">H33*(1+'Forecast Assumptions'!D42)</f>
        <v>3168908.3</v>
      </c>
      <c r="I45" s="68" t="n">
        <f aca="false">I33*(1+'Forecast Assumptions'!D43)</f>
        <v>553557.77</v>
      </c>
      <c r="J45" s="68" t="n">
        <f aca="false">J33*(1+'Forecast Assumptions'!D44)</f>
        <v>2701548.748288</v>
      </c>
      <c r="K45" s="68" t="n">
        <f aca="false">K33*(1+'Forecast Assumptions'!D45)</f>
        <v>1031125.708288</v>
      </c>
      <c r="L45" s="68" t="n">
        <f aca="false">L33*(1+'Forecast Assumptions'!D46)</f>
        <v>574821.353736</v>
      </c>
      <c r="M45" s="91" t="n">
        <f aca="false">SUM(C45:L45)</f>
        <v>27359279.428576</v>
      </c>
    </row>
    <row r="46" customFormat="false" ht="15" hidden="false" customHeight="true" outlineLevel="0" collapsed="false">
      <c r="A46" s="90" t="n">
        <v>47209</v>
      </c>
      <c r="B46" s="73" t="s">
        <v>157</v>
      </c>
      <c r="C46" s="68" t="n">
        <f aca="false">'Population Forecast'!C72*H6/12</f>
        <v>8120071.85160606</v>
      </c>
      <c r="D46" s="68" t="n">
        <f aca="false">'Population Forecast'!D72*H7/12</f>
        <v>4264797.65107629</v>
      </c>
      <c r="E46" s="68" t="n">
        <f aca="false">'Population Forecast'!E72*H8/12</f>
        <v>1889692.53664217</v>
      </c>
      <c r="F46" s="68" t="n">
        <f aca="false">'Population Forecast'!F72*H9/12</f>
        <v>2967023.05471077</v>
      </c>
      <c r="G46" s="68" t="n">
        <f aca="false">'Population Forecast'!G72*H10/12</f>
        <v>806600.99860577</v>
      </c>
      <c r="H46" s="68" t="n">
        <f aca="false">H34*(1+'Forecast Assumptions'!D42)</f>
        <v>3168908.3</v>
      </c>
      <c r="I46" s="68" t="n">
        <f aca="false">I34*(1+'Forecast Assumptions'!D43)</f>
        <v>553557.77</v>
      </c>
      <c r="J46" s="68" t="n">
        <f aca="false">J34*(1+'Forecast Assumptions'!D44)</f>
        <v>2701548.748288</v>
      </c>
      <c r="K46" s="68" t="n">
        <f aca="false">K34*(1+'Forecast Assumptions'!D45)</f>
        <v>937386.291712</v>
      </c>
      <c r="L46" s="68" t="n">
        <f aca="false">L34*(1+'Forecast Assumptions'!D46)</f>
        <v>574821.353736</v>
      </c>
      <c r="M46" s="91" t="n">
        <f aca="false">SUM(C46:L46)</f>
        <v>25984408.5563771</v>
      </c>
    </row>
    <row r="47" customFormat="false" ht="15" hidden="false" customHeight="true" outlineLevel="0" collapsed="false">
      <c r="A47" s="90" t="n">
        <v>47239</v>
      </c>
      <c r="B47" s="73" t="s">
        <v>157</v>
      </c>
      <c r="C47" s="68" t="n">
        <f aca="false">'Population Forecast'!C73*H6/12</f>
        <v>8116506.1158056</v>
      </c>
      <c r="D47" s="68" t="n">
        <f aca="false">'Population Forecast'!D73*H7/12</f>
        <v>4266897.50220926</v>
      </c>
      <c r="E47" s="68" t="n">
        <f aca="false">'Population Forecast'!E73*H8/12</f>
        <v>1496936.89127132</v>
      </c>
      <c r="F47" s="68" t="n">
        <f aca="false">'Population Forecast'!F73*H9/12</f>
        <v>2333686.00612923</v>
      </c>
      <c r="G47" s="68" t="n">
        <f aca="false">'Population Forecast'!G73*H10/12</f>
        <v>807272.60643142</v>
      </c>
      <c r="H47" s="68" t="n">
        <f aca="false">H35*(1+'Forecast Assumptions'!D42)</f>
        <v>3010462.885</v>
      </c>
      <c r="I47" s="68" t="n">
        <f aca="false">I35*(1+'Forecast Assumptions'!D43)</f>
        <v>3690384.46</v>
      </c>
      <c r="J47" s="68" t="n">
        <f aca="false">J35*(1+'Forecast Assumptions'!D44)</f>
        <v>2455952.691712</v>
      </c>
      <c r="K47" s="68" t="n">
        <f aca="false">K35*(1+'Forecast Assumptions'!D45)</f>
        <v>843648</v>
      </c>
      <c r="L47" s="68" t="n">
        <f aca="false">L35*(1+'Forecast Assumptions'!D46)</f>
        <v>574821.353736</v>
      </c>
      <c r="M47" s="91" t="n">
        <f aca="false">SUM(C47:L47)</f>
        <v>27596568.5122948</v>
      </c>
    </row>
    <row r="48" customFormat="false" ht="15" hidden="false" customHeight="true" outlineLevel="0" collapsed="false">
      <c r="A48" s="90" t="n">
        <v>47270</v>
      </c>
      <c r="B48" s="73" t="s">
        <v>157</v>
      </c>
      <c r="C48" s="68" t="n">
        <f aca="false">'Population Forecast'!C74*H6/12</f>
        <v>8195843.73736591</v>
      </c>
      <c r="D48" s="68" t="n">
        <f aca="false">'Population Forecast'!D74*H7/12</f>
        <v>4292095.71580499</v>
      </c>
      <c r="E48" s="68" t="n">
        <f aca="false">'Population Forecast'!E74*H8/12</f>
        <v>1201609.00289169</v>
      </c>
      <c r="F48" s="68" t="n">
        <f aca="false">'Population Forecast'!F74*H9/12</f>
        <v>1863513.7565043</v>
      </c>
      <c r="G48" s="68" t="n">
        <f aca="false">'Population Forecast'!G74*H10/12</f>
        <v>810630.645559671</v>
      </c>
      <c r="H48" s="68" t="n">
        <f aca="false">H36*(1+'Forecast Assumptions'!D42)</f>
        <v>3010462.885</v>
      </c>
      <c r="I48" s="68" t="n">
        <f aca="false">I36*(1+'Forecast Assumptions'!D43)</f>
        <v>553557.77</v>
      </c>
      <c r="J48" s="68" t="n">
        <f aca="false">J36*(1+'Forecast Assumptions'!D44)</f>
        <v>1227976.908288</v>
      </c>
      <c r="K48" s="68" t="n">
        <f aca="false">K36*(1+'Forecast Assumptions'!D45)</f>
        <v>843648</v>
      </c>
      <c r="L48" s="68" t="n">
        <f aca="false">L36*(1+'Forecast Assumptions'!D46)</f>
        <v>574821.353736</v>
      </c>
      <c r="M48" s="91" t="n">
        <f aca="false">SUM(C48:L48)</f>
        <v>22574159.7751506</v>
      </c>
    </row>
    <row r="49" customFormat="false" ht="15" hidden="false" customHeight="true" outlineLevel="0" collapsed="false">
      <c r="A49" s="90" t="n">
        <v>47300</v>
      </c>
      <c r="B49" s="73" t="s">
        <v>157</v>
      </c>
      <c r="C49" s="68" t="n">
        <f aca="false">'Population Forecast'!C75*H6/12</f>
        <v>5564330.71662367</v>
      </c>
      <c r="D49" s="68" t="n">
        <f aca="false">'Population Forecast'!D75*H7/12</f>
        <v>2922992.77710398</v>
      </c>
      <c r="E49" s="68" t="n">
        <f aca="false">'Population Forecast'!E75*H8/12</f>
        <v>957024.737944989</v>
      </c>
      <c r="F49" s="68" t="n">
        <f aca="false">'Population Forecast'!F75*H9/12</f>
        <v>1479217.71685653</v>
      </c>
      <c r="G49" s="68" t="n">
        <f aca="false">'Population Forecast'!G75*H10/12</f>
        <v>627281.709157194</v>
      </c>
      <c r="H49" s="68" t="n">
        <f aca="false">H37*(1+'Forecast Assumptions'!D42)</f>
        <v>3485799.13</v>
      </c>
      <c r="I49" s="68" t="n">
        <f aca="false">I37*(1+'Forecast Assumptions'!D43)</f>
        <v>553557.77</v>
      </c>
      <c r="J49" s="68" t="n">
        <f aca="false">J37*(1+'Forecast Assumptions'!D44)</f>
        <v>1227976.908288</v>
      </c>
      <c r="K49" s="68" t="n">
        <f aca="false">K37*(1+'Forecast Assumptions'!D45)</f>
        <v>937386.291712</v>
      </c>
      <c r="L49" s="68" t="n">
        <f aca="false">L37*(1+'Forecast Assumptions'!D46)</f>
        <v>574821.353736</v>
      </c>
      <c r="M49" s="91" t="n">
        <f aca="false">SUM(C49:L49)</f>
        <v>18330389.1114224</v>
      </c>
    </row>
    <row r="51" customFormat="false" ht="15" hidden="false" customHeight="true" outlineLevel="0" collapsed="false">
      <c r="A51" s="65" t="s">
        <v>226</v>
      </c>
      <c r="B51" s="65"/>
      <c r="C51" s="65"/>
      <c r="D51" s="65"/>
      <c r="E51" s="65"/>
      <c r="F51" s="65"/>
    </row>
    <row r="52" customFormat="false" ht="30" hidden="false" customHeight="true" outlineLevel="0" collapsed="false">
      <c r="A52" s="66" t="s">
        <v>2</v>
      </c>
      <c r="B52" s="66" t="s">
        <v>227</v>
      </c>
      <c r="C52" s="66" t="s">
        <v>228</v>
      </c>
      <c r="D52" s="66" t="s">
        <v>113</v>
      </c>
      <c r="E52" s="66" t="s">
        <v>114</v>
      </c>
    </row>
    <row r="53" customFormat="false" ht="15" hidden="false" customHeight="true" outlineLevel="0" collapsed="false">
      <c r="A53" s="67" t="s">
        <v>229</v>
      </c>
      <c r="B53" s="68" t="n">
        <f aca="false">SUMIFS(Income!C:C,Income!$B:$B,"FY25/26")+SUMIFS(Income!D:D,Income!$B:$B,"FY25/26")+SUMIFS(Income!E:E,Income!$B:$B,"FY25/26")+SUMIFS(Income!F:F,Income!$B:$B,"FY25/26")+SUMIFS(Income!G:G,Income!$B:$B,"FY25/26")</f>
        <v>215089102.5</v>
      </c>
      <c r="C53" s="68" t="n">
        <f aca="false">SUMIFS(Income!H:H,Income!$B:$B,"FY25/26")+SUMIFS(Income!I:I,Income!$B:$B,"FY25/26")+SUMIFS(Income!J:J,Income!$B:$B,"FY25/26")+SUMIFS(Income!K:K,Income!$B:$B,"FY25/26")+SUMIFS(Income!L:L,Income!$B:$B,"FY25/26")</f>
        <v>96500005</v>
      </c>
      <c r="D53" s="68" t="n">
        <f aca="false">B53+C53</f>
        <v>311589107.5</v>
      </c>
      <c r="E53" s="69"/>
    </row>
    <row r="54" customFormat="false" ht="15" hidden="false" customHeight="true" outlineLevel="0" collapsed="false">
      <c r="A54" s="67" t="s">
        <v>155</v>
      </c>
      <c r="B54" s="68" t="n">
        <f aca="false">SUM(C14:G25)</f>
        <v>223423842.1825</v>
      </c>
      <c r="C54" s="68" t="n">
        <f aca="false">SUM(H14:L25)</f>
        <v>99122005.12</v>
      </c>
      <c r="D54" s="68" t="n">
        <f aca="false">B54+C54</f>
        <v>322545847.3025</v>
      </c>
      <c r="E54" s="69" t="n">
        <f aca="false">D54/D53-1</f>
        <v>0.0351640655554688</v>
      </c>
    </row>
    <row r="55" customFormat="false" ht="15" hidden="false" customHeight="true" outlineLevel="0" collapsed="false">
      <c r="A55" s="67" t="s">
        <v>156</v>
      </c>
      <c r="B55" s="68" t="n">
        <f aca="false">SUM(C26:G37)</f>
        <v>234917873.512195</v>
      </c>
      <c r="C55" s="68" t="n">
        <f aca="false">SUM(H26:L37)</f>
        <v>101835845.2432</v>
      </c>
      <c r="D55" s="68" t="n">
        <f aca="false">B55+C55</f>
        <v>336753718.755396</v>
      </c>
      <c r="E55" s="69" t="n">
        <f aca="false">D55/D54-1</f>
        <v>0.0440491532342395</v>
      </c>
    </row>
    <row r="56" customFormat="false" ht="15" hidden="false" customHeight="true" outlineLevel="0" collapsed="false">
      <c r="A56" s="67" t="s">
        <v>157</v>
      </c>
      <c r="B56" s="68" t="n">
        <f aca="false">SUM(C38:G49)</f>
        <v>250599944.167586</v>
      </c>
      <c r="C56" s="68" t="n">
        <f aca="false">SUM(H38:L49)</f>
        <v>104834833.769696</v>
      </c>
      <c r="D56" s="68" t="n">
        <f aca="false">B56+C56</f>
        <v>355434777.937282</v>
      </c>
      <c r="E56" s="69" t="n">
        <f aca="false">D56/D55-1</f>
        <v>0.0554739506691406</v>
      </c>
    </row>
    <row r="58" customFormat="false" ht="23.25" hidden="false" customHeight="true" outlineLevel="0" collapsed="false">
      <c r="A58" s="79" t="s">
        <v>230</v>
      </c>
      <c r="B58" s="79"/>
      <c r="C58" s="79"/>
      <c r="D58" s="79"/>
      <c r="E58" s="79"/>
      <c r="F58" s="79"/>
      <c r="G58" s="79"/>
      <c r="H58" s="79"/>
      <c r="I58" s="79"/>
      <c r="J58" s="79"/>
      <c r="K58" s="79"/>
      <c r="L58" s="79"/>
      <c r="M58" s="79"/>
    </row>
  </sheetData>
  <mergeCells count="6">
    <mergeCell ref="A1:M1"/>
    <mergeCell ref="A2:M2"/>
    <mergeCell ref="A4:H4"/>
    <mergeCell ref="A12:M12"/>
    <mergeCell ref="A51:F51"/>
    <mergeCell ref="A58:M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1" activeCellId="0" sqref="A1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3" min="3" style="1" width="22"/>
    <col collapsed="false" customWidth="true" hidden="false" outlineLevel="0" max="4" min="4" style="1" width="26"/>
    <col collapsed="false" customWidth="true" hidden="false" outlineLevel="0" max="5" min="5" style="1" width="18"/>
    <col collapsed="false" customWidth="true" hidden="false" outlineLevel="0" max="6" min="6" style="1" width="14"/>
    <col collapsed="false" customWidth="true" hidden="false" outlineLevel="0" max="9" min="7" style="1" width="20"/>
    <col collapsed="false" customWidth="true" hidden="false" outlineLevel="0" max="10" min="10" style="1" width="14"/>
  </cols>
  <sheetData>
    <row r="1" customFormat="false" ht="21.75" hidden="false" customHeight="true" outlineLevel="0" collapsed="false">
      <c r="A1" s="16" t="s">
        <v>231</v>
      </c>
      <c r="B1" s="16"/>
      <c r="C1" s="16"/>
      <c r="D1" s="16"/>
      <c r="E1" s="16"/>
      <c r="F1" s="16"/>
      <c r="G1" s="16"/>
    </row>
    <row r="2" customFormat="false" ht="33.75" hidden="false" customHeight="true" outlineLevel="0" collapsed="false">
      <c r="A2" s="64" t="s">
        <v>232</v>
      </c>
      <c r="B2" s="64"/>
      <c r="C2" s="64"/>
      <c r="D2" s="64"/>
      <c r="E2" s="64"/>
      <c r="F2" s="64"/>
      <c r="G2" s="64"/>
    </row>
    <row r="4" customFormat="false" ht="15" hidden="false" customHeight="true" outlineLevel="0" collapsed="false">
      <c r="A4" s="65" t="s">
        <v>233</v>
      </c>
      <c r="B4" s="65"/>
      <c r="C4" s="65"/>
      <c r="D4" s="65"/>
      <c r="E4" s="65"/>
      <c r="F4" s="65"/>
      <c r="G4" s="65"/>
      <c r="H4" s="65"/>
      <c r="I4" s="65"/>
      <c r="J4" s="65"/>
    </row>
    <row r="5" customFormat="false" ht="30" hidden="false" customHeight="true" outlineLevel="0" collapsed="false">
      <c r="A5" s="66" t="s">
        <v>234</v>
      </c>
      <c r="B5" s="66" t="s">
        <v>235</v>
      </c>
      <c r="C5" s="66" t="s">
        <v>236</v>
      </c>
      <c r="D5" s="66" t="s">
        <v>237</v>
      </c>
      <c r="E5" s="66" t="s">
        <v>238</v>
      </c>
      <c r="F5" s="66" t="s">
        <v>239</v>
      </c>
      <c r="G5" s="66" t="s">
        <v>240</v>
      </c>
      <c r="H5" s="66" t="s">
        <v>241</v>
      </c>
      <c r="I5" s="66" t="s">
        <v>242</v>
      </c>
      <c r="J5" s="66" t="s">
        <v>243</v>
      </c>
    </row>
    <row r="6" customFormat="false" ht="15" hidden="false" customHeight="true" outlineLevel="0" collapsed="false">
      <c r="A6" s="67" t="s">
        <v>160</v>
      </c>
      <c r="B6" s="69" t="n">
        <f aca="false">'Forecast Assumptions'!B50</f>
        <v>0.045</v>
      </c>
      <c r="C6" s="69" t="n">
        <f aca="false">'Forecast Assumptions'!B52</f>
        <v>0.02</v>
      </c>
      <c r="D6" s="92" t="n">
        <f aca="false">'Staff Costs'!F40*(1+C6)</f>
        <v>1254.6</v>
      </c>
      <c r="E6" s="69" t="n">
        <f aca="false">'Forecast Assumptions'!C50</f>
        <v>0.04</v>
      </c>
      <c r="F6" s="69" t="n">
        <f aca="false">'Forecast Assumptions'!C52</f>
        <v>0.02</v>
      </c>
      <c r="G6" s="92" t="n">
        <f aca="false">D6*(1+F6)</f>
        <v>1279.692</v>
      </c>
      <c r="H6" s="69" t="n">
        <f aca="false">'Forecast Assumptions'!D50</f>
        <v>0.04</v>
      </c>
      <c r="I6" s="69" t="n">
        <f aca="false">'Forecast Assumptions'!D52</f>
        <v>0.02</v>
      </c>
      <c r="J6" s="92" t="n">
        <f aca="false">G6*(1+I6)</f>
        <v>1305.28584</v>
      </c>
    </row>
    <row r="7" customFormat="false" ht="15" hidden="false" customHeight="true" outlineLevel="0" collapsed="false">
      <c r="A7" s="67" t="s">
        <v>161</v>
      </c>
      <c r="B7" s="69" t="n">
        <f aca="false">'Forecast Assumptions'!B51</f>
        <v>0.04</v>
      </c>
      <c r="C7" s="69" t="n">
        <f aca="false">'Forecast Assumptions'!B53</f>
        <v>0.015</v>
      </c>
      <c r="D7" s="92" t="n">
        <f aca="false">'Staff Costs'!G40*(1+C7)</f>
        <v>1055.6</v>
      </c>
      <c r="E7" s="69" t="n">
        <f aca="false">'Forecast Assumptions'!C51</f>
        <v>0.04</v>
      </c>
      <c r="F7" s="69" t="n">
        <f aca="false">'Forecast Assumptions'!C53</f>
        <v>0.015</v>
      </c>
      <c r="G7" s="92" t="n">
        <f aca="false">D7*(1+F7)</f>
        <v>1071.434</v>
      </c>
      <c r="H7" s="69" t="n">
        <f aca="false">'Forecast Assumptions'!D51</f>
        <v>0.04</v>
      </c>
      <c r="I7" s="69" t="n">
        <f aca="false">'Forecast Assumptions'!D53</f>
        <v>0.015</v>
      </c>
      <c r="J7" s="92" t="n">
        <f aca="false">G7*(1+I7)</f>
        <v>1087.50551</v>
      </c>
    </row>
    <row r="9" customFormat="false" ht="15" hidden="false" customHeight="true" outlineLevel="0" collapsed="false">
      <c r="A9" s="65" t="s">
        <v>244</v>
      </c>
      <c r="B9" s="65"/>
      <c r="C9" s="65"/>
      <c r="D9" s="65"/>
      <c r="E9" s="65"/>
      <c r="F9" s="65"/>
      <c r="G9" s="65"/>
    </row>
    <row r="10" customFormat="false" ht="30" hidden="false" customHeight="true" outlineLevel="0" collapsed="false">
      <c r="A10" s="66" t="s">
        <v>1</v>
      </c>
      <c r="B10" s="66" t="s">
        <v>2</v>
      </c>
      <c r="C10" s="66" t="s">
        <v>245</v>
      </c>
      <c r="D10" s="66" t="s">
        <v>246</v>
      </c>
      <c r="E10" s="66" t="s">
        <v>115</v>
      </c>
      <c r="F10" s="66" t="s">
        <v>44</v>
      </c>
      <c r="G10" s="66" t="s">
        <v>45</v>
      </c>
    </row>
    <row r="11" customFormat="false" ht="15" hidden="false" customHeight="true" outlineLevel="0" collapsed="false">
      <c r="A11" s="90" t="n">
        <v>46235</v>
      </c>
      <c r="B11" s="73" t="s">
        <v>155</v>
      </c>
      <c r="C11" s="68" t="n">
        <f aca="false">'Staff Costs'!C29*(1+B6)*(1+C6)</f>
        <v>11591662.5</v>
      </c>
      <c r="D11" s="68" t="n">
        <f aca="false">'Staff Costs'!D29*(1+B7)*(1+C7)</f>
        <v>5999326.3148</v>
      </c>
      <c r="E11" s="91" t="n">
        <f aca="false">C11+D11</f>
        <v>17590988.8148</v>
      </c>
      <c r="F11" s="92" t="n">
        <f aca="false">D6</f>
        <v>1254.6</v>
      </c>
      <c r="G11" s="92" t="n">
        <f aca="false">D7</f>
        <v>1055.6</v>
      </c>
    </row>
    <row r="12" customFormat="false" ht="15" hidden="false" customHeight="true" outlineLevel="0" collapsed="false">
      <c r="A12" s="90" t="n">
        <v>46266</v>
      </c>
      <c r="B12" s="73" t="s">
        <v>155</v>
      </c>
      <c r="C12" s="68" t="n">
        <f aca="false">'Staff Costs'!C30*(1+B6)*(1+C6)</f>
        <v>11591662.5</v>
      </c>
      <c r="D12" s="68" t="n">
        <f aca="false">'Staff Costs'!D30*(1+B7)*(1+C7)</f>
        <v>5999326.3148</v>
      </c>
      <c r="E12" s="91" t="n">
        <f aca="false">C12+D12</f>
        <v>17590988.8148</v>
      </c>
      <c r="F12" s="92" t="n">
        <f aca="false">D6</f>
        <v>1254.6</v>
      </c>
      <c r="G12" s="92" t="n">
        <f aca="false">D7</f>
        <v>1055.6</v>
      </c>
    </row>
    <row r="13" customFormat="false" ht="15" hidden="false" customHeight="true" outlineLevel="0" collapsed="false">
      <c r="A13" s="90" t="n">
        <v>46296</v>
      </c>
      <c r="B13" s="73" t="s">
        <v>155</v>
      </c>
      <c r="C13" s="68" t="n">
        <f aca="false">'Staff Costs'!C31*(1+B6)*(1+C6)</f>
        <v>11591662.5</v>
      </c>
      <c r="D13" s="68" t="n">
        <f aca="false">'Staff Costs'!D31*(1+B7)*(1+C7)</f>
        <v>5999326.3148</v>
      </c>
      <c r="E13" s="91" t="n">
        <f aca="false">C13+D13</f>
        <v>17590988.8148</v>
      </c>
      <c r="F13" s="92" t="n">
        <f aca="false">D6</f>
        <v>1254.6</v>
      </c>
      <c r="G13" s="92" t="n">
        <f aca="false">D7</f>
        <v>1055.6</v>
      </c>
    </row>
    <row r="14" customFormat="false" ht="15" hidden="false" customHeight="true" outlineLevel="0" collapsed="false">
      <c r="A14" s="90" t="n">
        <v>46327</v>
      </c>
      <c r="B14" s="73" t="s">
        <v>155</v>
      </c>
      <c r="C14" s="68" t="n">
        <f aca="false">'Staff Costs'!C32*(1+B6)*(1+C6)</f>
        <v>11591662.5</v>
      </c>
      <c r="D14" s="68" t="n">
        <f aca="false">'Staff Costs'!D32*(1+B7)*(1+C7)</f>
        <v>5999326.3148</v>
      </c>
      <c r="E14" s="91" t="n">
        <f aca="false">C14+D14</f>
        <v>17590988.8148</v>
      </c>
      <c r="F14" s="92" t="n">
        <f aca="false">D6</f>
        <v>1254.6</v>
      </c>
      <c r="G14" s="92" t="n">
        <f aca="false">D7</f>
        <v>1055.6</v>
      </c>
    </row>
    <row r="15" customFormat="false" ht="15" hidden="false" customHeight="true" outlineLevel="0" collapsed="false">
      <c r="A15" s="90" t="n">
        <v>46357</v>
      </c>
      <c r="B15" s="73" t="s">
        <v>155</v>
      </c>
      <c r="C15" s="68" t="n">
        <f aca="false">'Staff Costs'!C33*(1+B6)*(1+C6)</f>
        <v>11591662.5</v>
      </c>
      <c r="D15" s="68" t="n">
        <f aca="false">'Staff Costs'!D33*(1+B7)*(1+C7)</f>
        <v>5999326.3148</v>
      </c>
      <c r="E15" s="91" t="n">
        <f aca="false">C15+D15</f>
        <v>17590988.8148</v>
      </c>
      <c r="F15" s="92" t="n">
        <f aca="false">D6</f>
        <v>1254.6</v>
      </c>
      <c r="G15" s="92" t="n">
        <f aca="false">D7</f>
        <v>1055.6</v>
      </c>
    </row>
    <row r="16" customFormat="false" ht="15" hidden="false" customHeight="true" outlineLevel="0" collapsed="false">
      <c r="A16" s="90" t="n">
        <v>46388</v>
      </c>
      <c r="B16" s="73" t="s">
        <v>155</v>
      </c>
      <c r="C16" s="68" t="n">
        <f aca="false">'Staff Costs'!C34*(1+B6)*(1+C6)</f>
        <v>11591662.5</v>
      </c>
      <c r="D16" s="68" t="n">
        <f aca="false">'Staff Costs'!D34*(1+B7)*(1+C7)</f>
        <v>5999326.3148</v>
      </c>
      <c r="E16" s="91" t="n">
        <f aca="false">C16+D16</f>
        <v>17590988.8148</v>
      </c>
      <c r="F16" s="92" t="n">
        <f aca="false">D6</f>
        <v>1254.6</v>
      </c>
      <c r="G16" s="92" t="n">
        <f aca="false">D7</f>
        <v>1055.6</v>
      </c>
    </row>
    <row r="17" customFormat="false" ht="15" hidden="false" customHeight="true" outlineLevel="0" collapsed="false">
      <c r="A17" s="90" t="n">
        <v>46419</v>
      </c>
      <c r="B17" s="73" t="s">
        <v>155</v>
      </c>
      <c r="C17" s="68" t="n">
        <f aca="false">'Staff Costs'!C35*(1+B6)*(1+C6)</f>
        <v>11591662.5</v>
      </c>
      <c r="D17" s="68" t="n">
        <f aca="false">'Staff Costs'!D35*(1+B7)*(1+C7)</f>
        <v>5999326.3148</v>
      </c>
      <c r="E17" s="91" t="n">
        <f aca="false">C17+D17</f>
        <v>17590988.8148</v>
      </c>
      <c r="F17" s="92" t="n">
        <f aca="false">D6</f>
        <v>1254.6</v>
      </c>
      <c r="G17" s="92" t="n">
        <f aca="false">D7</f>
        <v>1055.6</v>
      </c>
    </row>
    <row r="18" customFormat="false" ht="15" hidden="false" customHeight="true" outlineLevel="0" collapsed="false">
      <c r="A18" s="90" t="n">
        <v>46447</v>
      </c>
      <c r="B18" s="73" t="s">
        <v>155</v>
      </c>
      <c r="C18" s="68" t="n">
        <f aca="false">'Staff Costs'!C36*(1+B6)*(1+C6)</f>
        <v>11591662.5</v>
      </c>
      <c r="D18" s="68" t="n">
        <f aca="false">'Staff Costs'!D36*(1+B7)*(1+C7)</f>
        <v>5999326.3148</v>
      </c>
      <c r="E18" s="91" t="n">
        <f aca="false">C18+D18</f>
        <v>17590988.8148</v>
      </c>
      <c r="F18" s="92" t="n">
        <f aca="false">D6</f>
        <v>1254.6</v>
      </c>
      <c r="G18" s="92" t="n">
        <f aca="false">D7</f>
        <v>1055.6</v>
      </c>
    </row>
    <row r="19" customFormat="false" ht="15" hidden="false" customHeight="true" outlineLevel="0" collapsed="false">
      <c r="A19" s="90" t="n">
        <v>46478</v>
      </c>
      <c r="B19" s="73" t="s">
        <v>155</v>
      </c>
      <c r="C19" s="68" t="n">
        <f aca="false">'Staff Costs'!C37*(1+B6)*(1+C6)</f>
        <v>11591662.5</v>
      </c>
      <c r="D19" s="68" t="n">
        <f aca="false">'Staff Costs'!D37*(1+B7)*(1+C7)</f>
        <v>5999326.3148</v>
      </c>
      <c r="E19" s="91" t="n">
        <f aca="false">C19+D19</f>
        <v>17590988.8148</v>
      </c>
      <c r="F19" s="92" t="n">
        <f aca="false">D6</f>
        <v>1254.6</v>
      </c>
      <c r="G19" s="92" t="n">
        <f aca="false">D7</f>
        <v>1055.6</v>
      </c>
    </row>
    <row r="20" customFormat="false" ht="15" hidden="false" customHeight="true" outlineLevel="0" collapsed="false">
      <c r="A20" s="90" t="n">
        <v>46508</v>
      </c>
      <c r="B20" s="73" t="s">
        <v>155</v>
      </c>
      <c r="C20" s="68" t="n">
        <f aca="false">'Staff Costs'!C38*(1+B6)*(1+C6)</f>
        <v>11591662.5</v>
      </c>
      <c r="D20" s="68" t="n">
        <f aca="false">'Staff Costs'!D38*(1+B7)*(1+C7)</f>
        <v>5999326.3148</v>
      </c>
      <c r="E20" s="91" t="n">
        <f aca="false">C20+D20</f>
        <v>17590988.8148</v>
      </c>
      <c r="F20" s="92" t="n">
        <f aca="false">D6</f>
        <v>1254.6</v>
      </c>
      <c r="G20" s="92" t="n">
        <f aca="false">D7</f>
        <v>1055.6</v>
      </c>
    </row>
    <row r="21" customFormat="false" ht="15" hidden="false" customHeight="true" outlineLevel="0" collapsed="false">
      <c r="A21" s="90" t="n">
        <v>46539</v>
      </c>
      <c r="B21" s="73" t="s">
        <v>155</v>
      </c>
      <c r="C21" s="68" t="n">
        <f aca="false">'Staff Costs'!C39*(1+B6)*(1+C6)</f>
        <v>11591662.5</v>
      </c>
      <c r="D21" s="68" t="n">
        <f aca="false">'Staff Costs'!D39*(1+B7)*(1+C7)</f>
        <v>5999326.3148</v>
      </c>
      <c r="E21" s="91" t="n">
        <f aca="false">C21+D21</f>
        <v>17590988.8148</v>
      </c>
      <c r="F21" s="92" t="n">
        <f aca="false">D6</f>
        <v>1254.6</v>
      </c>
      <c r="G21" s="92" t="n">
        <f aca="false">D7</f>
        <v>1055.6</v>
      </c>
    </row>
    <row r="22" customFormat="false" ht="15" hidden="false" customHeight="true" outlineLevel="0" collapsed="false">
      <c r="A22" s="90" t="n">
        <v>46569</v>
      </c>
      <c r="B22" s="73" t="s">
        <v>155</v>
      </c>
      <c r="C22" s="68" t="n">
        <f aca="false">'Staff Costs'!C40*(1+B6)*(1+C6)</f>
        <v>11591662.5</v>
      </c>
      <c r="D22" s="68" t="n">
        <f aca="false">'Staff Costs'!D40*(1+B7)*(1+C7)</f>
        <v>5999326.3148</v>
      </c>
      <c r="E22" s="91" t="n">
        <f aca="false">C22+D22</f>
        <v>17590988.8148</v>
      </c>
      <c r="F22" s="92" t="n">
        <f aca="false">D6</f>
        <v>1254.6</v>
      </c>
      <c r="G22" s="92" t="n">
        <f aca="false">D7</f>
        <v>1055.6</v>
      </c>
    </row>
    <row r="23" customFormat="false" ht="15" hidden="false" customHeight="true" outlineLevel="0" collapsed="false">
      <c r="A23" s="90" t="n">
        <v>46600</v>
      </c>
      <c r="B23" s="73" t="s">
        <v>156</v>
      </c>
      <c r="C23" s="68" t="n">
        <f aca="false">C11*(1+E6)*(1+F6)</f>
        <v>12296435.58</v>
      </c>
      <c r="D23" s="68" t="n">
        <f aca="false">D11*(1+E7)*(1+F7)</f>
        <v>6332888.85790288</v>
      </c>
      <c r="E23" s="91" t="n">
        <f aca="false">C23+D23</f>
        <v>18629324.4379029</v>
      </c>
      <c r="F23" s="92" t="n">
        <f aca="false">G6</f>
        <v>1279.692</v>
      </c>
      <c r="G23" s="92" t="n">
        <f aca="false">G7</f>
        <v>1071.434</v>
      </c>
    </row>
    <row r="24" customFormat="false" ht="15" hidden="false" customHeight="true" outlineLevel="0" collapsed="false">
      <c r="A24" s="90" t="n">
        <v>46631</v>
      </c>
      <c r="B24" s="73" t="s">
        <v>156</v>
      </c>
      <c r="C24" s="68" t="n">
        <f aca="false">C12*(1+E6)*(1+F6)</f>
        <v>12296435.58</v>
      </c>
      <c r="D24" s="68" t="n">
        <f aca="false">D12*(1+E7)*(1+F7)</f>
        <v>6332888.85790288</v>
      </c>
      <c r="E24" s="91" t="n">
        <f aca="false">C24+D24</f>
        <v>18629324.4379029</v>
      </c>
      <c r="F24" s="92" t="n">
        <f aca="false">G6</f>
        <v>1279.692</v>
      </c>
      <c r="G24" s="92" t="n">
        <f aca="false">G7</f>
        <v>1071.434</v>
      </c>
    </row>
    <row r="25" customFormat="false" ht="15" hidden="false" customHeight="true" outlineLevel="0" collapsed="false">
      <c r="A25" s="90" t="n">
        <v>46661</v>
      </c>
      <c r="B25" s="73" t="s">
        <v>156</v>
      </c>
      <c r="C25" s="68" t="n">
        <f aca="false">C13*(1+E6)*(1+F6)</f>
        <v>12296435.58</v>
      </c>
      <c r="D25" s="68" t="n">
        <f aca="false">D13*(1+E7)*(1+F7)</f>
        <v>6332888.85790288</v>
      </c>
      <c r="E25" s="91" t="n">
        <f aca="false">C25+D25</f>
        <v>18629324.4379029</v>
      </c>
      <c r="F25" s="92" t="n">
        <f aca="false">G6</f>
        <v>1279.692</v>
      </c>
      <c r="G25" s="92" t="n">
        <f aca="false">G7</f>
        <v>1071.434</v>
      </c>
    </row>
    <row r="26" customFormat="false" ht="15" hidden="false" customHeight="true" outlineLevel="0" collapsed="false">
      <c r="A26" s="90" t="n">
        <v>46692</v>
      </c>
      <c r="B26" s="73" t="s">
        <v>156</v>
      </c>
      <c r="C26" s="68" t="n">
        <f aca="false">C14*(1+E6)*(1+F6)</f>
        <v>12296435.58</v>
      </c>
      <c r="D26" s="68" t="n">
        <f aca="false">D14*(1+E7)*(1+F7)</f>
        <v>6332888.85790288</v>
      </c>
      <c r="E26" s="91" t="n">
        <f aca="false">C26+D26</f>
        <v>18629324.4379029</v>
      </c>
      <c r="F26" s="92" t="n">
        <f aca="false">G6</f>
        <v>1279.692</v>
      </c>
      <c r="G26" s="92" t="n">
        <f aca="false">G7</f>
        <v>1071.434</v>
      </c>
    </row>
    <row r="27" customFormat="false" ht="15" hidden="false" customHeight="true" outlineLevel="0" collapsed="false">
      <c r="A27" s="90" t="n">
        <v>46722</v>
      </c>
      <c r="B27" s="73" t="s">
        <v>156</v>
      </c>
      <c r="C27" s="68" t="n">
        <f aca="false">C15*(1+E6)*(1+F6)</f>
        <v>12296435.58</v>
      </c>
      <c r="D27" s="68" t="n">
        <f aca="false">D15*(1+E7)*(1+F7)</f>
        <v>6332888.85790288</v>
      </c>
      <c r="E27" s="91" t="n">
        <f aca="false">C27+D27</f>
        <v>18629324.4379029</v>
      </c>
      <c r="F27" s="92" t="n">
        <f aca="false">G6</f>
        <v>1279.692</v>
      </c>
      <c r="G27" s="92" t="n">
        <f aca="false">G7</f>
        <v>1071.434</v>
      </c>
    </row>
    <row r="28" customFormat="false" ht="15" hidden="false" customHeight="true" outlineLevel="0" collapsed="false">
      <c r="A28" s="90" t="n">
        <v>46753</v>
      </c>
      <c r="B28" s="73" t="s">
        <v>156</v>
      </c>
      <c r="C28" s="68" t="n">
        <f aca="false">C16*(1+E6)*(1+F6)</f>
        <v>12296435.58</v>
      </c>
      <c r="D28" s="68" t="n">
        <f aca="false">D16*(1+E7)*(1+F7)</f>
        <v>6332888.85790288</v>
      </c>
      <c r="E28" s="91" t="n">
        <f aca="false">C28+D28</f>
        <v>18629324.4379029</v>
      </c>
      <c r="F28" s="92" t="n">
        <f aca="false">G6</f>
        <v>1279.692</v>
      </c>
      <c r="G28" s="92" t="n">
        <f aca="false">G7</f>
        <v>1071.434</v>
      </c>
    </row>
    <row r="29" customFormat="false" ht="15" hidden="false" customHeight="true" outlineLevel="0" collapsed="false">
      <c r="A29" s="90" t="n">
        <v>46784</v>
      </c>
      <c r="B29" s="73" t="s">
        <v>156</v>
      </c>
      <c r="C29" s="68" t="n">
        <f aca="false">C17*(1+E6)*(1+F6)</f>
        <v>12296435.58</v>
      </c>
      <c r="D29" s="68" t="n">
        <f aca="false">D17*(1+E7)*(1+F7)</f>
        <v>6332888.85790288</v>
      </c>
      <c r="E29" s="91" t="n">
        <f aca="false">C29+D29</f>
        <v>18629324.4379029</v>
      </c>
      <c r="F29" s="92" t="n">
        <f aca="false">G6</f>
        <v>1279.692</v>
      </c>
      <c r="G29" s="92" t="n">
        <f aca="false">G7</f>
        <v>1071.434</v>
      </c>
    </row>
    <row r="30" customFormat="false" ht="15" hidden="false" customHeight="true" outlineLevel="0" collapsed="false">
      <c r="A30" s="90" t="n">
        <v>46813</v>
      </c>
      <c r="B30" s="73" t="s">
        <v>156</v>
      </c>
      <c r="C30" s="68" t="n">
        <f aca="false">C18*(1+E6)*(1+F6)</f>
        <v>12296435.58</v>
      </c>
      <c r="D30" s="68" t="n">
        <f aca="false">D18*(1+E7)*(1+F7)</f>
        <v>6332888.85790288</v>
      </c>
      <c r="E30" s="91" t="n">
        <f aca="false">C30+D30</f>
        <v>18629324.4379029</v>
      </c>
      <c r="F30" s="92" t="n">
        <f aca="false">G6</f>
        <v>1279.692</v>
      </c>
      <c r="G30" s="92" t="n">
        <f aca="false">G7</f>
        <v>1071.434</v>
      </c>
    </row>
    <row r="31" customFormat="false" ht="15" hidden="false" customHeight="true" outlineLevel="0" collapsed="false">
      <c r="A31" s="90" t="n">
        <v>46844</v>
      </c>
      <c r="B31" s="73" t="s">
        <v>156</v>
      </c>
      <c r="C31" s="68" t="n">
        <f aca="false">C19*(1+E6)*(1+F6)</f>
        <v>12296435.58</v>
      </c>
      <c r="D31" s="68" t="n">
        <f aca="false">D19*(1+E7)*(1+F7)</f>
        <v>6332888.85790288</v>
      </c>
      <c r="E31" s="91" t="n">
        <f aca="false">C31+D31</f>
        <v>18629324.4379029</v>
      </c>
      <c r="F31" s="92" t="n">
        <f aca="false">G6</f>
        <v>1279.692</v>
      </c>
      <c r="G31" s="92" t="n">
        <f aca="false">G7</f>
        <v>1071.434</v>
      </c>
    </row>
    <row r="32" customFormat="false" ht="15" hidden="false" customHeight="true" outlineLevel="0" collapsed="false">
      <c r="A32" s="90" t="n">
        <v>46874</v>
      </c>
      <c r="B32" s="73" t="s">
        <v>156</v>
      </c>
      <c r="C32" s="68" t="n">
        <f aca="false">C20*(1+E6)*(1+F6)</f>
        <v>12296435.58</v>
      </c>
      <c r="D32" s="68" t="n">
        <f aca="false">D20*(1+E7)*(1+F7)</f>
        <v>6332888.85790288</v>
      </c>
      <c r="E32" s="91" t="n">
        <f aca="false">C32+D32</f>
        <v>18629324.4379029</v>
      </c>
      <c r="F32" s="92" t="n">
        <f aca="false">G6</f>
        <v>1279.692</v>
      </c>
      <c r="G32" s="92" t="n">
        <f aca="false">G7</f>
        <v>1071.434</v>
      </c>
    </row>
    <row r="33" customFormat="false" ht="15" hidden="false" customHeight="true" outlineLevel="0" collapsed="false">
      <c r="A33" s="90" t="n">
        <v>46905</v>
      </c>
      <c r="B33" s="73" t="s">
        <v>156</v>
      </c>
      <c r="C33" s="68" t="n">
        <f aca="false">C21*(1+E6)*(1+F6)</f>
        <v>12296435.58</v>
      </c>
      <c r="D33" s="68" t="n">
        <f aca="false">D21*(1+E7)*(1+F7)</f>
        <v>6332888.85790288</v>
      </c>
      <c r="E33" s="91" t="n">
        <f aca="false">C33+D33</f>
        <v>18629324.4379029</v>
      </c>
      <c r="F33" s="92" t="n">
        <f aca="false">G6</f>
        <v>1279.692</v>
      </c>
      <c r="G33" s="92" t="n">
        <f aca="false">G7</f>
        <v>1071.434</v>
      </c>
    </row>
    <row r="34" customFormat="false" ht="15" hidden="false" customHeight="true" outlineLevel="0" collapsed="false">
      <c r="A34" s="90" t="n">
        <v>46935</v>
      </c>
      <c r="B34" s="73" t="s">
        <v>156</v>
      </c>
      <c r="C34" s="68" t="n">
        <f aca="false">C22*(1+E6)*(1+F6)</f>
        <v>12296435.58</v>
      </c>
      <c r="D34" s="68" t="n">
        <f aca="false">D22*(1+E7)*(1+F7)</f>
        <v>6332888.85790288</v>
      </c>
      <c r="E34" s="91" t="n">
        <f aca="false">C34+D34</f>
        <v>18629324.4379029</v>
      </c>
      <c r="F34" s="92" t="n">
        <f aca="false">G6</f>
        <v>1279.692</v>
      </c>
      <c r="G34" s="92" t="n">
        <f aca="false">G7</f>
        <v>1071.434</v>
      </c>
    </row>
    <row r="35" customFormat="false" ht="15" hidden="false" customHeight="true" outlineLevel="0" collapsed="false">
      <c r="A35" s="90" t="n">
        <v>46966</v>
      </c>
      <c r="B35" s="73" t="s">
        <v>157</v>
      </c>
      <c r="C35" s="68" t="n">
        <f aca="false">C23*(1+H6)*(1+I6)</f>
        <v>13044058.863264</v>
      </c>
      <c r="D35" s="68" t="n">
        <f aca="false">D23*(1+H7)*(1+I7)</f>
        <v>6684997.47840228</v>
      </c>
      <c r="E35" s="91" t="n">
        <f aca="false">C35+D35</f>
        <v>19729056.3416663</v>
      </c>
      <c r="F35" s="92" t="n">
        <f aca="false">J6</f>
        <v>1305.28584</v>
      </c>
      <c r="G35" s="92" t="n">
        <f aca="false">J7</f>
        <v>1087.50551</v>
      </c>
    </row>
    <row r="36" customFormat="false" ht="15" hidden="false" customHeight="true" outlineLevel="0" collapsed="false">
      <c r="A36" s="90" t="n">
        <v>46997</v>
      </c>
      <c r="B36" s="73" t="s">
        <v>157</v>
      </c>
      <c r="C36" s="68" t="n">
        <f aca="false">C24*(1+H6)*(1+I6)</f>
        <v>13044058.863264</v>
      </c>
      <c r="D36" s="68" t="n">
        <f aca="false">D24*(1+H7)*(1+I7)</f>
        <v>6684997.47840228</v>
      </c>
      <c r="E36" s="91" t="n">
        <f aca="false">C36+D36</f>
        <v>19729056.3416663</v>
      </c>
      <c r="F36" s="92" t="n">
        <f aca="false">J6</f>
        <v>1305.28584</v>
      </c>
      <c r="G36" s="92" t="n">
        <f aca="false">J7</f>
        <v>1087.50551</v>
      </c>
    </row>
    <row r="37" customFormat="false" ht="15" hidden="false" customHeight="true" outlineLevel="0" collapsed="false">
      <c r="A37" s="90" t="n">
        <v>47027</v>
      </c>
      <c r="B37" s="73" t="s">
        <v>157</v>
      </c>
      <c r="C37" s="68" t="n">
        <f aca="false">C25*(1+H6)*(1+I6)</f>
        <v>13044058.863264</v>
      </c>
      <c r="D37" s="68" t="n">
        <f aca="false">D25*(1+H7)*(1+I7)</f>
        <v>6684997.47840228</v>
      </c>
      <c r="E37" s="91" t="n">
        <f aca="false">C37+D37</f>
        <v>19729056.3416663</v>
      </c>
      <c r="F37" s="92" t="n">
        <f aca="false">J6</f>
        <v>1305.28584</v>
      </c>
      <c r="G37" s="92" t="n">
        <f aca="false">J7</f>
        <v>1087.50551</v>
      </c>
    </row>
    <row r="38" customFormat="false" ht="15" hidden="false" customHeight="true" outlineLevel="0" collapsed="false">
      <c r="A38" s="90" t="n">
        <v>47058</v>
      </c>
      <c r="B38" s="73" t="s">
        <v>157</v>
      </c>
      <c r="C38" s="68" t="n">
        <f aca="false">C26*(1+H6)*(1+I6)</f>
        <v>13044058.863264</v>
      </c>
      <c r="D38" s="68" t="n">
        <f aca="false">D26*(1+H7)*(1+I7)</f>
        <v>6684997.47840228</v>
      </c>
      <c r="E38" s="91" t="n">
        <f aca="false">C38+D38</f>
        <v>19729056.3416663</v>
      </c>
      <c r="F38" s="92" t="n">
        <f aca="false">J6</f>
        <v>1305.28584</v>
      </c>
      <c r="G38" s="92" t="n">
        <f aca="false">J7</f>
        <v>1087.50551</v>
      </c>
    </row>
    <row r="39" customFormat="false" ht="15" hidden="false" customHeight="true" outlineLevel="0" collapsed="false">
      <c r="A39" s="90" t="n">
        <v>47088</v>
      </c>
      <c r="B39" s="73" t="s">
        <v>157</v>
      </c>
      <c r="C39" s="68" t="n">
        <f aca="false">C27*(1+H6)*(1+I6)</f>
        <v>13044058.863264</v>
      </c>
      <c r="D39" s="68" t="n">
        <f aca="false">D27*(1+H7)*(1+I7)</f>
        <v>6684997.47840228</v>
      </c>
      <c r="E39" s="91" t="n">
        <f aca="false">C39+D39</f>
        <v>19729056.3416663</v>
      </c>
      <c r="F39" s="92" t="n">
        <f aca="false">J6</f>
        <v>1305.28584</v>
      </c>
      <c r="G39" s="92" t="n">
        <f aca="false">J7</f>
        <v>1087.50551</v>
      </c>
    </row>
    <row r="40" customFormat="false" ht="15" hidden="false" customHeight="true" outlineLevel="0" collapsed="false">
      <c r="A40" s="90" t="n">
        <v>47119</v>
      </c>
      <c r="B40" s="73" t="s">
        <v>157</v>
      </c>
      <c r="C40" s="68" t="n">
        <f aca="false">C28*(1+H6)*(1+I6)</f>
        <v>13044058.863264</v>
      </c>
      <c r="D40" s="68" t="n">
        <f aca="false">D28*(1+H7)*(1+I7)</f>
        <v>6684997.47840228</v>
      </c>
      <c r="E40" s="91" t="n">
        <f aca="false">C40+D40</f>
        <v>19729056.3416663</v>
      </c>
      <c r="F40" s="92" t="n">
        <f aca="false">J6</f>
        <v>1305.28584</v>
      </c>
      <c r="G40" s="92" t="n">
        <f aca="false">J7</f>
        <v>1087.50551</v>
      </c>
    </row>
    <row r="41" customFormat="false" ht="15" hidden="false" customHeight="true" outlineLevel="0" collapsed="false">
      <c r="A41" s="90" t="n">
        <v>47150</v>
      </c>
      <c r="B41" s="73" t="s">
        <v>157</v>
      </c>
      <c r="C41" s="68" t="n">
        <f aca="false">C29*(1+H6)*(1+I6)</f>
        <v>13044058.863264</v>
      </c>
      <c r="D41" s="68" t="n">
        <f aca="false">D29*(1+H7)*(1+I7)</f>
        <v>6684997.47840228</v>
      </c>
      <c r="E41" s="91" t="n">
        <f aca="false">C41+D41</f>
        <v>19729056.3416663</v>
      </c>
      <c r="F41" s="92" t="n">
        <f aca="false">J6</f>
        <v>1305.28584</v>
      </c>
      <c r="G41" s="92" t="n">
        <f aca="false">J7</f>
        <v>1087.50551</v>
      </c>
    </row>
    <row r="42" customFormat="false" ht="15" hidden="false" customHeight="true" outlineLevel="0" collapsed="false">
      <c r="A42" s="90" t="n">
        <v>47178</v>
      </c>
      <c r="B42" s="73" t="s">
        <v>157</v>
      </c>
      <c r="C42" s="68" t="n">
        <f aca="false">C30*(1+H6)*(1+I6)</f>
        <v>13044058.863264</v>
      </c>
      <c r="D42" s="68" t="n">
        <f aca="false">D30*(1+H7)*(1+I7)</f>
        <v>6684997.47840228</v>
      </c>
      <c r="E42" s="91" t="n">
        <f aca="false">C42+D42</f>
        <v>19729056.3416663</v>
      </c>
      <c r="F42" s="92" t="n">
        <f aca="false">J6</f>
        <v>1305.28584</v>
      </c>
      <c r="G42" s="92" t="n">
        <f aca="false">J7</f>
        <v>1087.50551</v>
      </c>
    </row>
    <row r="43" customFormat="false" ht="15" hidden="false" customHeight="true" outlineLevel="0" collapsed="false">
      <c r="A43" s="90" t="n">
        <v>47209</v>
      </c>
      <c r="B43" s="73" t="s">
        <v>157</v>
      </c>
      <c r="C43" s="68" t="n">
        <f aca="false">C31*(1+H6)*(1+I6)</f>
        <v>13044058.863264</v>
      </c>
      <c r="D43" s="68" t="n">
        <f aca="false">D31*(1+H7)*(1+I7)</f>
        <v>6684997.47840228</v>
      </c>
      <c r="E43" s="91" t="n">
        <f aca="false">C43+D43</f>
        <v>19729056.3416663</v>
      </c>
      <c r="F43" s="92" t="n">
        <f aca="false">J6</f>
        <v>1305.28584</v>
      </c>
      <c r="G43" s="92" t="n">
        <f aca="false">J7</f>
        <v>1087.50551</v>
      </c>
    </row>
    <row r="44" customFormat="false" ht="15" hidden="false" customHeight="true" outlineLevel="0" collapsed="false">
      <c r="A44" s="90" t="n">
        <v>47239</v>
      </c>
      <c r="B44" s="73" t="s">
        <v>157</v>
      </c>
      <c r="C44" s="68" t="n">
        <f aca="false">C32*(1+H6)*(1+I6)</f>
        <v>13044058.863264</v>
      </c>
      <c r="D44" s="68" t="n">
        <f aca="false">D32*(1+H7)*(1+I7)</f>
        <v>6684997.47840228</v>
      </c>
      <c r="E44" s="91" t="n">
        <f aca="false">C44+D44</f>
        <v>19729056.3416663</v>
      </c>
      <c r="F44" s="92" t="n">
        <f aca="false">J6</f>
        <v>1305.28584</v>
      </c>
      <c r="G44" s="92" t="n">
        <f aca="false">J7</f>
        <v>1087.50551</v>
      </c>
    </row>
    <row r="45" customFormat="false" ht="15" hidden="false" customHeight="true" outlineLevel="0" collapsed="false">
      <c r="A45" s="90" t="n">
        <v>47270</v>
      </c>
      <c r="B45" s="73" t="s">
        <v>157</v>
      </c>
      <c r="C45" s="68" t="n">
        <f aca="false">C33*(1+H6)*(1+I6)</f>
        <v>13044058.863264</v>
      </c>
      <c r="D45" s="68" t="n">
        <f aca="false">D33*(1+H7)*(1+I7)</f>
        <v>6684997.47840228</v>
      </c>
      <c r="E45" s="91" t="n">
        <f aca="false">C45+D45</f>
        <v>19729056.3416663</v>
      </c>
      <c r="F45" s="92" t="n">
        <f aca="false">J6</f>
        <v>1305.28584</v>
      </c>
      <c r="G45" s="92" t="n">
        <f aca="false">J7</f>
        <v>1087.50551</v>
      </c>
    </row>
    <row r="46" customFormat="false" ht="15" hidden="false" customHeight="true" outlineLevel="0" collapsed="false">
      <c r="A46" s="90" t="n">
        <v>47300</v>
      </c>
      <c r="B46" s="73" t="s">
        <v>157</v>
      </c>
      <c r="C46" s="68" t="n">
        <f aca="false">C34*(1+H6)*(1+I6)</f>
        <v>13044058.863264</v>
      </c>
      <c r="D46" s="68" t="n">
        <f aca="false">D34*(1+H7)*(1+I7)</f>
        <v>6684997.47840228</v>
      </c>
      <c r="E46" s="91" t="n">
        <f aca="false">C46+D46</f>
        <v>19729056.3416663</v>
      </c>
      <c r="F46" s="92" t="n">
        <f aca="false">J6</f>
        <v>1305.28584</v>
      </c>
      <c r="G46" s="92" t="n">
        <f aca="false">J7</f>
        <v>1087.50551</v>
      </c>
    </row>
    <row r="48" customFormat="false" ht="23.25" hidden="false" customHeight="true" outlineLevel="0" collapsed="false">
      <c r="A48" s="79" t="s">
        <v>247</v>
      </c>
      <c r="B48" s="79"/>
      <c r="C48" s="79"/>
      <c r="D48" s="79"/>
      <c r="E48" s="79"/>
      <c r="F48" s="79"/>
      <c r="G48" s="79"/>
    </row>
  </sheetData>
  <mergeCells count="5">
    <mergeCell ref="A1:G1"/>
    <mergeCell ref="A2:G2"/>
    <mergeCell ref="A4:J4"/>
    <mergeCell ref="A9:G9"/>
    <mergeCell ref="A48:G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7" activeCellId="0" sqref="A17"/>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11" min="3" style="1" width="17"/>
  </cols>
  <sheetData>
    <row r="1" customFormat="false" ht="21.75" hidden="false" customHeight="true" outlineLevel="0" collapsed="false">
      <c r="A1" s="16" t="s">
        <v>248</v>
      </c>
      <c r="B1" s="16"/>
      <c r="C1" s="16"/>
      <c r="D1" s="16"/>
      <c r="E1" s="16"/>
      <c r="F1" s="16"/>
      <c r="G1" s="16"/>
      <c r="H1" s="16"/>
      <c r="I1" s="16"/>
      <c r="J1" s="16"/>
      <c r="K1" s="16"/>
    </row>
    <row r="2" customFormat="false" ht="33.75" hidden="false" customHeight="true" outlineLevel="0" collapsed="false">
      <c r="A2" s="64" t="s">
        <v>249</v>
      </c>
      <c r="B2" s="64"/>
      <c r="C2" s="64"/>
      <c r="D2" s="64"/>
      <c r="E2" s="64"/>
      <c r="F2" s="64"/>
      <c r="G2" s="64"/>
      <c r="H2" s="64"/>
      <c r="I2" s="64"/>
      <c r="J2" s="64"/>
      <c r="K2" s="64"/>
    </row>
    <row r="4" customFormat="false" ht="15" hidden="false" customHeight="true" outlineLevel="0" collapsed="false">
      <c r="A4" s="65" t="s">
        <v>250</v>
      </c>
      <c r="B4" s="65"/>
      <c r="C4" s="65"/>
      <c r="D4" s="65"/>
    </row>
    <row r="5" customFormat="false" ht="30" hidden="false" customHeight="true" outlineLevel="0" collapsed="false">
      <c r="A5" s="66" t="s">
        <v>251</v>
      </c>
      <c r="B5" s="66" t="s">
        <v>252</v>
      </c>
      <c r="C5" s="66" t="s">
        <v>253</v>
      </c>
      <c r="D5" s="66" t="s">
        <v>254</v>
      </c>
    </row>
    <row r="6" customFormat="false" ht="15" hidden="false" customHeight="true" outlineLevel="0" collapsed="false">
      <c r="A6" s="67" t="s">
        <v>47</v>
      </c>
      <c r="B6" s="69" t="n">
        <f aca="false">'Forecast Assumptions'!B57</f>
        <v>0.05</v>
      </c>
      <c r="C6" s="69" t="n">
        <f aca="false">'Forecast Assumptions'!C57</f>
        <v>0.04</v>
      </c>
      <c r="D6" s="69" t="n">
        <f aca="false">'Forecast Assumptions'!D57</f>
        <v>0.035</v>
      </c>
    </row>
    <row r="7" customFormat="false" ht="15" hidden="false" customHeight="true" outlineLevel="0" collapsed="false">
      <c r="A7" s="67" t="s">
        <v>49</v>
      </c>
      <c r="B7" s="69" t="n">
        <f aca="false">'Forecast Assumptions'!B58</f>
        <v>0.035</v>
      </c>
      <c r="C7" s="69" t="n">
        <f aca="false">'Forecast Assumptions'!C58</f>
        <v>0.035</v>
      </c>
      <c r="D7" s="69" t="n">
        <f aca="false">'Forecast Assumptions'!D58</f>
        <v>0.035</v>
      </c>
    </row>
    <row r="8" customFormat="false" ht="15" hidden="false" customHeight="true" outlineLevel="0" collapsed="false">
      <c r="A8" s="67" t="s">
        <v>51</v>
      </c>
      <c r="B8" s="69" t="n">
        <f aca="false">'Forecast Assumptions'!B58</f>
        <v>0.035</v>
      </c>
      <c r="C8" s="69" t="n">
        <f aca="false">'Forecast Assumptions'!C58</f>
        <v>0.035</v>
      </c>
      <c r="D8" s="69" t="n">
        <f aca="false">'Forecast Assumptions'!D58</f>
        <v>0.035</v>
      </c>
    </row>
    <row r="9" customFormat="false" ht="15" hidden="false" customHeight="true" outlineLevel="0" collapsed="false">
      <c r="A9" s="67" t="s">
        <v>53</v>
      </c>
      <c r="B9" s="69" t="n">
        <f aca="false">'Forecast Assumptions'!B58</f>
        <v>0.035</v>
      </c>
      <c r="C9" s="69" t="n">
        <f aca="false">'Forecast Assumptions'!C58</f>
        <v>0.035</v>
      </c>
      <c r="D9" s="69" t="n">
        <f aca="false">'Forecast Assumptions'!D58</f>
        <v>0.035</v>
      </c>
    </row>
    <row r="10" customFormat="false" ht="15" hidden="false" customHeight="true" outlineLevel="0" collapsed="false">
      <c r="A10" s="67" t="s">
        <v>55</v>
      </c>
      <c r="B10" s="69" t="n">
        <f aca="false">'Forecast Assumptions'!B58</f>
        <v>0.035</v>
      </c>
      <c r="C10" s="69" t="n">
        <f aca="false">'Forecast Assumptions'!C58</f>
        <v>0.035</v>
      </c>
      <c r="D10" s="69" t="n">
        <f aca="false">'Forecast Assumptions'!D58</f>
        <v>0.035</v>
      </c>
    </row>
    <row r="11" customFormat="false" ht="15" hidden="false" customHeight="true" outlineLevel="0" collapsed="false">
      <c r="A11" s="67" t="s">
        <v>57</v>
      </c>
      <c r="B11" s="69" t="n">
        <f aca="false">'Forecast Assumptions'!B58</f>
        <v>0.035</v>
      </c>
      <c r="C11" s="69" t="n">
        <f aca="false">'Forecast Assumptions'!C58</f>
        <v>0.035</v>
      </c>
      <c r="D11" s="69" t="n">
        <f aca="false">'Forecast Assumptions'!D58</f>
        <v>0.035</v>
      </c>
    </row>
    <row r="12" customFormat="false" ht="15" hidden="false" customHeight="true" outlineLevel="0" collapsed="false">
      <c r="A12" s="67" t="s">
        <v>59</v>
      </c>
      <c r="B12" s="69" t="n">
        <f aca="false">'Forecast Assumptions'!B58</f>
        <v>0.035</v>
      </c>
      <c r="C12" s="69" t="n">
        <f aca="false">'Forecast Assumptions'!C58</f>
        <v>0.035</v>
      </c>
      <c r="D12" s="69" t="n">
        <f aca="false">'Forecast Assumptions'!D58</f>
        <v>0.035</v>
      </c>
    </row>
    <row r="13" customFormat="false" ht="15" hidden="false" customHeight="true" outlineLevel="0" collapsed="false">
      <c r="A13" s="67" t="s">
        <v>61</v>
      </c>
      <c r="B13" s="69" t="n">
        <f aca="false">'Forecast Assumptions'!B58</f>
        <v>0.035</v>
      </c>
      <c r="C13" s="69" t="n">
        <f aca="false">'Forecast Assumptions'!C58</f>
        <v>0.035</v>
      </c>
      <c r="D13" s="69" t="n">
        <f aca="false">'Forecast Assumptions'!D58</f>
        <v>0.035</v>
      </c>
    </row>
    <row r="15" customFormat="false" ht="15" hidden="false" customHeight="true" outlineLevel="0" collapsed="false">
      <c r="A15" s="65" t="s">
        <v>255</v>
      </c>
      <c r="B15" s="65"/>
      <c r="C15" s="65"/>
      <c r="D15" s="65"/>
      <c r="E15" s="65"/>
      <c r="F15" s="65"/>
      <c r="G15" s="65"/>
      <c r="H15" s="65"/>
      <c r="I15" s="65"/>
      <c r="J15" s="65"/>
      <c r="K15" s="65"/>
    </row>
    <row r="16" customFormat="false" ht="30" hidden="false" customHeight="true" outlineLevel="0" collapsed="false">
      <c r="A16" s="66" t="s">
        <v>1</v>
      </c>
      <c r="B16" s="66" t="s">
        <v>2</v>
      </c>
      <c r="C16" s="66" t="s">
        <v>47</v>
      </c>
      <c r="D16" s="66" t="s">
        <v>49</v>
      </c>
      <c r="E16" s="66" t="s">
        <v>51</v>
      </c>
      <c r="F16" s="66" t="s">
        <v>53</v>
      </c>
      <c r="G16" s="66" t="s">
        <v>55</v>
      </c>
      <c r="H16" s="66" t="s">
        <v>57</v>
      </c>
      <c r="I16" s="66" t="s">
        <v>59</v>
      </c>
      <c r="J16" s="66" t="s">
        <v>61</v>
      </c>
      <c r="K16" s="66" t="s">
        <v>63</v>
      </c>
    </row>
    <row r="17" customFormat="false" ht="15" hidden="false" customHeight="true" outlineLevel="0" collapsed="false">
      <c r="A17" s="90" t="n">
        <v>46235</v>
      </c>
      <c r="B17" s="73" t="s">
        <v>155</v>
      </c>
      <c r="C17" s="68" t="n">
        <f aca="false">'Operating Expenditure'!C29*(1+B6)</f>
        <v>1169317.8</v>
      </c>
      <c r="D17" s="68" t="n">
        <f aca="false">'Operating Expenditure'!E29*(1+B7)</f>
        <v>1518000.345</v>
      </c>
      <c r="E17" s="68" t="n">
        <f aca="false">'Operating Expenditure'!G29*(1+B8)</f>
        <v>2603487.645</v>
      </c>
      <c r="F17" s="68" t="n">
        <f aca="false">'Operating Expenditure'!I29*(1+B9)</f>
        <v>1652578.29</v>
      </c>
      <c r="G17" s="68" t="n">
        <f aca="false">'Operating Expenditure'!K29*(1+B10)</f>
        <v>1324800</v>
      </c>
      <c r="H17" s="68" t="n">
        <f aca="false">'Operating Expenditure'!M29*(1+B11)</f>
        <v>358800.345</v>
      </c>
      <c r="I17" s="68" t="n">
        <f aca="false">'Operating Expenditure'!O29*(1+B12)</f>
        <v>828000</v>
      </c>
      <c r="J17" s="68" t="n">
        <f aca="false">'Operating Expenditure'!Q29*(1+B13)</f>
        <v>724500</v>
      </c>
      <c r="K17" s="91" t="n">
        <f aca="false">SUM(C17:J17)</f>
        <v>10179484.425</v>
      </c>
    </row>
    <row r="18" customFormat="false" ht="15" hidden="false" customHeight="true" outlineLevel="0" collapsed="false">
      <c r="A18" s="90" t="n">
        <v>46266</v>
      </c>
      <c r="B18" s="73" t="s">
        <v>155</v>
      </c>
      <c r="C18" s="68" t="n">
        <f aca="false">'Operating Expenditure'!C30*(1+B6)</f>
        <v>1336363.35</v>
      </c>
      <c r="D18" s="68" t="n">
        <f aca="false">'Operating Expenditure'!E30*(1+B7)</f>
        <v>1518000.345</v>
      </c>
      <c r="E18" s="68" t="n">
        <f aca="false">'Operating Expenditure'!G30*(1+B8)</f>
        <v>2603487.645</v>
      </c>
      <c r="F18" s="68" t="n">
        <f aca="false">'Operating Expenditure'!I30*(1+B9)</f>
        <v>1180413.36</v>
      </c>
      <c r="G18" s="68" t="n">
        <f aca="false">'Operating Expenditure'!K30*(1+B10)</f>
        <v>662400</v>
      </c>
      <c r="H18" s="68" t="n">
        <f aca="false">'Operating Expenditure'!M30*(1+B11)</f>
        <v>358800.345</v>
      </c>
      <c r="I18" s="68" t="n">
        <f aca="false">'Operating Expenditure'!O30*(1+B12)</f>
        <v>828000</v>
      </c>
      <c r="J18" s="68" t="n">
        <f aca="false">'Operating Expenditure'!Q30*(1+B13)</f>
        <v>724500</v>
      </c>
      <c r="K18" s="91" t="n">
        <f aca="false">SUM(C18:J18)</f>
        <v>9211965.045</v>
      </c>
    </row>
    <row r="19" customFormat="false" ht="15" hidden="false" customHeight="true" outlineLevel="0" collapsed="false">
      <c r="A19" s="90" t="n">
        <v>46296</v>
      </c>
      <c r="B19" s="73" t="s">
        <v>155</v>
      </c>
      <c r="C19" s="68" t="n">
        <f aca="false">'Operating Expenditure'!C31*(1+B6)</f>
        <v>1670454.45</v>
      </c>
      <c r="D19" s="68" t="n">
        <f aca="false">'Operating Expenditure'!E31*(1+B7)</f>
        <v>1518000.345</v>
      </c>
      <c r="E19" s="68" t="n">
        <f aca="false">'Operating Expenditure'!G31*(1+B8)</f>
        <v>1602145.845</v>
      </c>
      <c r="F19" s="68" t="n">
        <f aca="false">'Operating Expenditure'!I31*(1+B9)</f>
        <v>1062371.61</v>
      </c>
      <c r="G19" s="68" t="n">
        <f aca="false">'Operating Expenditure'!K31*(1+B10)</f>
        <v>579600</v>
      </c>
      <c r="H19" s="68" t="n">
        <f aca="false">'Operating Expenditure'!M31*(1+B11)</f>
        <v>358800.345</v>
      </c>
      <c r="I19" s="68" t="n">
        <f aca="false">'Operating Expenditure'!O31*(1+B12)</f>
        <v>828000</v>
      </c>
      <c r="J19" s="68" t="n">
        <f aca="false">'Operating Expenditure'!Q31*(1+B13)</f>
        <v>724500</v>
      </c>
      <c r="K19" s="91" t="n">
        <f aca="false">SUM(C19:J19)</f>
        <v>8343872.595</v>
      </c>
    </row>
    <row r="20" customFormat="false" ht="15" hidden="false" customHeight="true" outlineLevel="0" collapsed="false">
      <c r="A20" s="90" t="n">
        <v>46327</v>
      </c>
      <c r="B20" s="73" t="s">
        <v>155</v>
      </c>
      <c r="C20" s="68" t="n">
        <f aca="false">'Operating Expenditure'!C32*(1+B6)</f>
        <v>2171591.1</v>
      </c>
      <c r="D20" s="68" t="n">
        <f aca="false">'Operating Expenditure'!E32*(1+B7)</f>
        <v>1518000.345</v>
      </c>
      <c r="E20" s="68" t="n">
        <f aca="false">'Operating Expenditure'!G32*(1+B8)</f>
        <v>1602145.845</v>
      </c>
      <c r="F20" s="68" t="n">
        <f aca="false">'Operating Expenditure'!I32*(1+B9)</f>
        <v>1062371.61</v>
      </c>
      <c r="G20" s="68" t="n">
        <f aca="false">'Operating Expenditure'!K32*(1+B10)</f>
        <v>579600</v>
      </c>
      <c r="H20" s="68" t="n">
        <f aca="false">'Operating Expenditure'!M32*(1+B11)</f>
        <v>358800.345</v>
      </c>
      <c r="I20" s="68" t="n">
        <f aca="false">'Operating Expenditure'!O32*(1+B12)</f>
        <v>828000</v>
      </c>
      <c r="J20" s="68" t="n">
        <f aca="false">'Operating Expenditure'!Q32*(1+B13)</f>
        <v>724500</v>
      </c>
      <c r="K20" s="91" t="n">
        <f aca="false">SUM(C20:J20)</f>
        <v>8845009.245</v>
      </c>
    </row>
    <row r="21" customFormat="false" ht="15" hidden="false" customHeight="true" outlineLevel="0" collapsed="false">
      <c r="A21" s="90" t="n">
        <v>46357</v>
      </c>
      <c r="B21" s="73" t="s">
        <v>155</v>
      </c>
      <c r="C21" s="68" t="n">
        <f aca="false">'Operating Expenditure'!C33*(1+B6)</f>
        <v>2338636.65</v>
      </c>
      <c r="D21" s="68" t="n">
        <f aca="false">'Operating Expenditure'!E33*(1+B7)</f>
        <v>1518000.345</v>
      </c>
      <c r="E21" s="68" t="n">
        <f aca="false">'Operating Expenditure'!G33*(1+B8)</f>
        <v>1602145.845</v>
      </c>
      <c r="F21" s="68" t="n">
        <f aca="false">'Operating Expenditure'!I33*(1+B9)</f>
        <v>1534537.575</v>
      </c>
      <c r="G21" s="68" t="n">
        <f aca="false">'Operating Expenditure'!K33*(1+B10)</f>
        <v>1076400</v>
      </c>
      <c r="H21" s="68" t="n">
        <f aca="false">'Operating Expenditure'!M33*(1+B11)</f>
        <v>358800.345</v>
      </c>
      <c r="I21" s="68" t="n">
        <f aca="false">'Operating Expenditure'!O33*(1+B12)</f>
        <v>828000</v>
      </c>
      <c r="J21" s="68" t="n">
        <f aca="false">'Operating Expenditure'!Q33*(1+B13)</f>
        <v>724500</v>
      </c>
      <c r="K21" s="91" t="n">
        <f aca="false">SUM(C21:J21)</f>
        <v>9981020.76</v>
      </c>
    </row>
    <row r="22" customFormat="false" ht="15" hidden="false" customHeight="true" outlineLevel="0" collapsed="false">
      <c r="A22" s="90" t="n">
        <v>46388</v>
      </c>
      <c r="B22" s="73" t="s">
        <v>155</v>
      </c>
      <c r="C22" s="68" t="n">
        <f aca="false">'Operating Expenditure'!C34*(1+B6)</f>
        <v>2171591.1</v>
      </c>
      <c r="D22" s="68" t="n">
        <f aca="false">'Operating Expenditure'!E34*(1+B7)</f>
        <v>1518000.345</v>
      </c>
      <c r="E22" s="68" t="n">
        <f aca="false">'Operating Expenditure'!G34*(1+B8)</f>
        <v>1602145.845</v>
      </c>
      <c r="F22" s="68" t="n">
        <f aca="false">'Operating Expenditure'!I34*(1+B9)</f>
        <v>1180413.36</v>
      </c>
      <c r="G22" s="68" t="n">
        <f aca="false">'Operating Expenditure'!K34*(1+B10)</f>
        <v>1159200</v>
      </c>
      <c r="H22" s="68" t="n">
        <f aca="false">'Operating Expenditure'!M34*(1+B11)</f>
        <v>358800.345</v>
      </c>
      <c r="I22" s="68" t="n">
        <f aca="false">'Operating Expenditure'!O34*(1+B12)</f>
        <v>828000</v>
      </c>
      <c r="J22" s="68" t="n">
        <f aca="false">'Operating Expenditure'!Q34*(1+B13)</f>
        <v>724500</v>
      </c>
      <c r="K22" s="91" t="n">
        <f aca="false">SUM(C22:J22)</f>
        <v>9542650.995</v>
      </c>
    </row>
    <row r="23" customFormat="false" ht="15" hidden="false" customHeight="true" outlineLevel="0" collapsed="false">
      <c r="A23" s="90" t="n">
        <v>46419</v>
      </c>
      <c r="B23" s="73" t="s">
        <v>155</v>
      </c>
      <c r="C23" s="68" t="n">
        <f aca="false">'Operating Expenditure'!C35*(1+B6)</f>
        <v>1837500</v>
      </c>
      <c r="D23" s="68" t="n">
        <f aca="false">'Operating Expenditure'!E35*(1+B7)</f>
        <v>1518000.345</v>
      </c>
      <c r="E23" s="68" t="n">
        <f aca="false">'Operating Expenditure'!G35*(1+B8)</f>
        <v>1602145.845</v>
      </c>
      <c r="F23" s="68" t="n">
        <f aca="false">'Operating Expenditure'!I35*(1+B9)</f>
        <v>1062371.61</v>
      </c>
      <c r="G23" s="68" t="n">
        <f aca="false">'Operating Expenditure'!K35*(1+B10)</f>
        <v>1076400</v>
      </c>
      <c r="H23" s="68" t="n">
        <f aca="false">'Operating Expenditure'!M35*(1+B11)</f>
        <v>1345500</v>
      </c>
      <c r="I23" s="68" t="n">
        <f aca="false">'Operating Expenditure'!O35*(1+B12)</f>
        <v>828000</v>
      </c>
      <c r="J23" s="68" t="n">
        <f aca="false">'Operating Expenditure'!Q35*(1+B13)</f>
        <v>724500</v>
      </c>
      <c r="K23" s="91" t="n">
        <f aca="false">SUM(C23:J23)</f>
        <v>9994417.8</v>
      </c>
    </row>
    <row r="24" customFormat="false" ht="15" hidden="false" customHeight="true" outlineLevel="0" collapsed="false">
      <c r="A24" s="90" t="n">
        <v>46447</v>
      </c>
      <c r="B24" s="73" t="s">
        <v>155</v>
      </c>
      <c r="C24" s="68" t="n">
        <f aca="false">'Operating Expenditure'!C36*(1+B6)</f>
        <v>1503408.9</v>
      </c>
      <c r="D24" s="68" t="n">
        <f aca="false">'Operating Expenditure'!E36*(1+B7)</f>
        <v>1518000.345</v>
      </c>
      <c r="E24" s="68" t="n">
        <f aca="false">'Operating Expenditure'!G36*(1+B8)</f>
        <v>1802414.205</v>
      </c>
      <c r="F24" s="68" t="n">
        <f aca="false">'Operating Expenditure'!I36*(1+B9)</f>
        <v>1062371.61</v>
      </c>
      <c r="G24" s="68" t="n">
        <f aca="false">'Operating Expenditure'!K36*(1+B10)</f>
        <v>745200</v>
      </c>
      <c r="H24" s="68" t="n">
        <f aca="false">'Operating Expenditure'!M36*(1+B11)</f>
        <v>358800.345</v>
      </c>
      <c r="I24" s="68" t="n">
        <f aca="false">'Operating Expenditure'!O36*(1+B12)</f>
        <v>828000</v>
      </c>
      <c r="J24" s="68" t="n">
        <f aca="false">'Operating Expenditure'!Q36*(1+B13)</f>
        <v>724500</v>
      </c>
      <c r="K24" s="91" t="n">
        <f aca="false">SUM(C24:J24)</f>
        <v>8542695.405</v>
      </c>
    </row>
    <row r="25" customFormat="false" ht="15" hidden="false" customHeight="true" outlineLevel="0" collapsed="false">
      <c r="A25" s="90" t="n">
        <v>46478</v>
      </c>
      <c r="B25" s="73" t="s">
        <v>155</v>
      </c>
      <c r="C25" s="68" t="n">
        <f aca="false">'Operating Expenditure'!C37*(1+B6)</f>
        <v>1169317.8</v>
      </c>
      <c r="D25" s="68" t="n">
        <f aca="false">'Operating Expenditure'!E37*(1+B7)</f>
        <v>1518000.345</v>
      </c>
      <c r="E25" s="68" t="n">
        <f aca="false">'Operating Expenditure'!G37*(1+B8)</f>
        <v>1802414.205</v>
      </c>
      <c r="F25" s="68" t="n">
        <f aca="false">'Operating Expenditure'!I37*(1+B9)</f>
        <v>1062371.61</v>
      </c>
      <c r="G25" s="68" t="n">
        <f aca="false">'Operating Expenditure'!K37*(1+B10)</f>
        <v>579600</v>
      </c>
      <c r="H25" s="68" t="n">
        <f aca="false">'Operating Expenditure'!M37*(1+B11)</f>
        <v>358800.345</v>
      </c>
      <c r="I25" s="68" t="n">
        <f aca="false">'Operating Expenditure'!O37*(1+B12)</f>
        <v>828000</v>
      </c>
      <c r="J25" s="68" t="n">
        <f aca="false">'Operating Expenditure'!Q37*(1+B13)</f>
        <v>724500</v>
      </c>
      <c r="K25" s="91" t="n">
        <f aca="false">SUM(C25:J25)</f>
        <v>8043004.305</v>
      </c>
    </row>
    <row r="26" customFormat="false" ht="15" hidden="false" customHeight="true" outlineLevel="0" collapsed="false">
      <c r="A26" s="90" t="n">
        <v>46508</v>
      </c>
      <c r="B26" s="73" t="s">
        <v>155</v>
      </c>
      <c r="C26" s="68" t="n">
        <f aca="false">'Operating Expenditure'!C38*(1+B6)</f>
        <v>1002272.25</v>
      </c>
      <c r="D26" s="68" t="n">
        <f aca="false">'Operating Expenditure'!E38*(1+B7)</f>
        <v>1518000.345</v>
      </c>
      <c r="E26" s="68" t="n">
        <f aca="false">'Operating Expenditure'!G38*(1+B8)</f>
        <v>2202950.925</v>
      </c>
      <c r="F26" s="68" t="n">
        <f aca="false">'Operating Expenditure'!I38*(1+B9)</f>
        <v>1062371.61</v>
      </c>
      <c r="G26" s="68" t="n">
        <f aca="false">'Operating Expenditure'!K38*(1+B10)</f>
        <v>496800</v>
      </c>
      <c r="H26" s="68" t="n">
        <f aca="false">'Operating Expenditure'!M38*(1+B11)</f>
        <v>358800.345</v>
      </c>
      <c r="I26" s="68" t="n">
        <f aca="false">'Operating Expenditure'!O38*(1+B12)</f>
        <v>828000</v>
      </c>
      <c r="J26" s="68" t="n">
        <f aca="false">'Operating Expenditure'!Q38*(1+B13)</f>
        <v>724500</v>
      </c>
      <c r="K26" s="91" t="n">
        <f aca="false">SUM(C26:J26)</f>
        <v>8193695.475</v>
      </c>
    </row>
    <row r="27" customFormat="false" ht="15" hidden="false" customHeight="true" outlineLevel="0" collapsed="false">
      <c r="A27" s="90" t="n">
        <v>46539</v>
      </c>
      <c r="B27" s="73" t="s">
        <v>155</v>
      </c>
      <c r="C27" s="68" t="n">
        <f aca="false">'Operating Expenditure'!C39*(1+B6)</f>
        <v>1002272.25</v>
      </c>
      <c r="D27" s="68" t="n">
        <f aca="false">'Operating Expenditure'!E39*(1+B7)</f>
        <v>1518000.345</v>
      </c>
      <c r="E27" s="68" t="n">
        <f aca="false">'Operating Expenditure'!G39*(1+B8)</f>
        <v>2803756.005</v>
      </c>
      <c r="F27" s="68" t="n">
        <f aca="false">'Operating Expenditure'!I39*(1+B9)</f>
        <v>1180413.36</v>
      </c>
      <c r="G27" s="68" t="n">
        <f aca="false">'Operating Expenditure'!K39*(1+B10)</f>
        <v>496800</v>
      </c>
      <c r="H27" s="68" t="n">
        <f aca="false">'Operating Expenditure'!M39*(1+B11)</f>
        <v>358800.345</v>
      </c>
      <c r="I27" s="68" t="n">
        <f aca="false">'Operating Expenditure'!O39*(1+B12)</f>
        <v>828000</v>
      </c>
      <c r="J27" s="68" t="n">
        <f aca="false">'Operating Expenditure'!Q39*(1+B13)</f>
        <v>724500</v>
      </c>
      <c r="K27" s="91" t="n">
        <f aca="false">SUM(C27:J27)</f>
        <v>8912542.305</v>
      </c>
    </row>
    <row r="28" customFormat="false" ht="15" hidden="false" customHeight="true" outlineLevel="0" collapsed="false">
      <c r="A28" s="90" t="n">
        <v>46569</v>
      </c>
      <c r="B28" s="73" t="s">
        <v>155</v>
      </c>
      <c r="C28" s="68" t="n">
        <f aca="false">'Operating Expenditure'!C40*(1+B6)</f>
        <v>1002272.25</v>
      </c>
      <c r="D28" s="68" t="n">
        <f aca="false">'Operating Expenditure'!E40*(1+B7)</f>
        <v>1518000.345</v>
      </c>
      <c r="E28" s="68" t="n">
        <f aca="false">'Operating Expenditure'!G40*(1+B8)</f>
        <v>2803756.005</v>
      </c>
      <c r="F28" s="68" t="n">
        <f aca="false">'Operating Expenditure'!I40*(1+B9)</f>
        <v>1180413.36</v>
      </c>
      <c r="G28" s="68" t="n">
        <f aca="false">'Operating Expenditure'!K40*(1+B10)</f>
        <v>1159200</v>
      </c>
      <c r="H28" s="68" t="n">
        <f aca="false">'Operating Expenditure'!M40*(1+B11)</f>
        <v>448499.655</v>
      </c>
      <c r="I28" s="68" t="n">
        <f aca="false">'Operating Expenditure'!O40*(1+B12)</f>
        <v>828000</v>
      </c>
      <c r="J28" s="68" t="n">
        <f aca="false">'Operating Expenditure'!Q40*(1+B13)</f>
        <v>724500</v>
      </c>
      <c r="K28" s="91" t="n">
        <f aca="false">SUM(C28:J28)</f>
        <v>9664641.615</v>
      </c>
    </row>
    <row r="29" customFormat="false" ht="15" hidden="false" customHeight="true" outlineLevel="0" collapsed="false">
      <c r="A29" s="90" t="n">
        <v>46600</v>
      </c>
      <c r="B29" s="73" t="s">
        <v>156</v>
      </c>
      <c r="C29" s="68" t="n">
        <f aca="false">C17*(1+C6)</f>
        <v>1216090.512</v>
      </c>
      <c r="D29" s="68" t="n">
        <f aca="false">D17*(1+C7)</f>
        <v>1571130.357075</v>
      </c>
      <c r="E29" s="68" t="n">
        <f aca="false">E17*(1+C8)</f>
        <v>2694609.712575</v>
      </c>
      <c r="F29" s="68" t="n">
        <f aca="false">F17*(1+C9)</f>
        <v>1710418.53015</v>
      </c>
      <c r="G29" s="68" t="n">
        <f aca="false">G17*(1+C10)</f>
        <v>1371168</v>
      </c>
      <c r="H29" s="68" t="n">
        <f aca="false">H17*(1+C11)</f>
        <v>371358.357075</v>
      </c>
      <c r="I29" s="68" t="n">
        <f aca="false">I17*(1+C12)</f>
        <v>856980</v>
      </c>
      <c r="J29" s="68" t="n">
        <f aca="false">J17*(1+C13)</f>
        <v>749857.5</v>
      </c>
      <c r="K29" s="91" t="n">
        <f aca="false">SUM(C29:J29)</f>
        <v>10541612.968875</v>
      </c>
    </row>
    <row r="30" customFormat="false" ht="15" hidden="false" customHeight="true" outlineLevel="0" collapsed="false">
      <c r="A30" s="90" t="n">
        <v>46631</v>
      </c>
      <c r="B30" s="73" t="s">
        <v>156</v>
      </c>
      <c r="C30" s="68" t="n">
        <f aca="false">C18*(1+C6)</f>
        <v>1389817.884</v>
      </c>
      <c r="D30" s="68" t="n">
        <f aca="false">D18*(1+C7)</f>
        <v>1571130.357075</v>
      </c>
      <c r="E30" s="68" t="n">
        <f aca="false">E18*(1+C8)</f>
        <v>2694609.712575</v>
      </c>
      <c r="F30" s="68" t="n">
        <f aca="false">F18*(1+C9)</f>
        <v>1221727.8276</v>
      </c>
      <c r="G30" s="68" t="n">
        <f aca="false">G18*(1+C10)</f>
        <v>685584</v>
      </c>
      <c r="H30" s="68" t="n">
        <f aca="false">H18*(1+C11)</f>
        <v>371358.357075</v>
      </c>
      <c r="I30" s="68" t="n">
        <f aca="false">I18*(1+C12)</f>
        <v>856980</v>
      </c>
      <c r="J30" s="68" t="n">
        <f aca="false">J18*(1+C13)</f>
        <v>749857.5</v>
      </c>
      <c r="K30" s="91" t="n">
        <f aca="false">SUM(C30:J30)</f>
        <v>9541065.638325</v>
      </c>
    </row>
    <row r="31" customFormat="false" ht="15" hidden="false" customHeight="true" outlineLevel="0" collapsed="false">
      <c r="A31" s="90" t="n">
        <v>46661</v>
      </c>
      <c r="B31" s="73" t="s">
        <v>156</v>
      </c>
      <c r="C31" s="68" t="n">
        <f aca="false">C19*(1+C6)</f>
        <v>1737272.628</v>
      </c>
      <c r="D31" s="68" t="n">
        <f aca="false">D19*(1+C7)</f>
        <v>1571130.357075</v>
      </c>
      <c r="E31" s="68" t="n">
        <f aca="false">E19*(1+C8)</f>
        <v>1658220.949575</v>
      </c>
      <c r="F31" s="68" t="n">
        <f aca="false">F19*(1+C9)</f>
        <v>1099554.61635</v>
      </c>
      <c r="G31" s="68" t="n">
        <f aca="false">G19*(1+C10)</f>
        <v>599886</v>
      </c>
      <c r="H31" s="68" t="n">
        <f aca="false">H19*(1+C11)</f>
        <v>371358.357075</v>
      </c>
      <c r="I31" s="68" t="n">
        <f aca="false">I19*(1+C12)</f>
        <v>856980</v>
      </c>
      <c r="J31" s="68" t="n">
        <f aca="false">J19*(1+C13)</f>
        <v>749857.5</v>
      </c>
      <c r="K31" s="91" t="n">
        <f aca="false">SUM(C31:J31)</f>
        <v>8644260.408075</v>
      </c>
    </row>
    <row r="32" customFormat="false" ht="15" hidden="false" customHeight="true" outlineLevel="0" collapsed="false">
      <c r="A32" s="90" t="n">
        <v>46692</v>
      </c>
      <c r="B32" s="73" t="s">
        <v>156</v>
      </c>
      <c r="C32" s="68" t="n">
        <f aca="false">C20*(1+C6)</f>
        <v>2258454.744</v>
      </c>
      <c r="D32" s="68" t="n">
        <f aca="false">D20*(1+C7)</f>
        <v>1571130.357075</v>
      </c>
      <c r="E32" s="68" t="n">
        <f aca="false">E20*(1+C8)</f>
        <v>1658220.949575</v>
      </c>
      <c r="F32" s="68" t="n">
        <f aca="false">F20*(1+C9)</f>
        <v>1099554.61635</v>
      </c>
      <c r="G32" s="68" t="n">
        <f aca="false">G20*(1+C10)</f>
        <v>599886</v>
      </c>
      <c r="H32" s="68" t="n">
        <f aca="false">H20*(1+C11)</f>
        <v>371358.357075</v>
      </c>
      <c r="I32" s="68" t="n">
        <f aca="false">I20*(1+C12)</f>
        <v>856980</v>
      </c>
      <c r="J32" s="68" t="n">
        <f aca="false">J20*(1+C13)</f>
        <v>749857.5</v>
      </c>
      <c r="K32" s="91" t="n">
        <f aca="false">SUM(C32:J32)</f>
        <v>9165442.524075</v>
      </c>
    </row>
    <row r="33" customFormat="false" ht="15" hidden="false" customHeight="true" outlineLevel="0" collapsed="false">
      <c r="A33" s="90" t="n">
        <v>46722</v>
      </c>
      <c r="B33" s="73" t="s">
        <v>156</v>
      </c>
      <c r="C33" s="68" t="n">
        <f aca="false">C21*(1+C6)</f>
        <v>2432182.116</v>
      </c>
      <c r="D33" s="68" t="n">
        <f aca="false">D21*(1+C7)</f>
        <v>1571130.357075</v>
      </c>
      <c r="E33" s="68" t="n">
        <f aca="false">E21*(1+C8)</f>
        <v>1658220.949575</v>
      </c>
      <c r="F33" s="68" t="n">
        <f aca="false">F21*(1+C9)</f>
        <v>1588246.390125</v>
      </c>
      <c r="G33" s="68" t="n">
        <f aca="false">G21*(1+C10)</f>
        <v>1114074</v>
      </c>
      <c r="H33" s="68" t="n">
        <f aca="false">H21*(1+C11)</f>
        <v>371358.357075</v>
      </c>
      <c r="I33" s="68" t="n">
        <f aca="false">I21*(1+C12)</f>
        <v>856980</v>
      </c>
      <c r="J33" s="68" t="n">
        <f aca="false">J21*(1+C13)</f>
        <v>749857.5</v>
      </c>
      <c r="K33" s="91" t="n">
        <f aca="false">SUM(C33:J33)</f>
        <v>10342049.66985</v>
      </c>
    </row>
    <row r="34" customFormat="false" ht="15" hidden="false" customHeight="true" outlineLevel="0" collapsed="false">
      <c r="A34" s="90" t="n">
        <v>46753</v>
      </c>
      <c r="B34" s="73" t="s">
        <v>156</v>
      </c>
      <c r="C34" s="68" t="n">
        <f aca="false">C22*(1+C6)</f>
        <v>2258454.744</v>
      </c>
      <c r="D34" s="68" t="n">
        <f aca="false">D22*(1+C7)</f>
        <v>1571130.357075</v>
      </c>
      <c r="E34" s="68" t="n">
        <f aca="false">E22*(1+C8)</f>
        <v>1658220.949575</v>
      </c>
      <c r="F34" s="68" t="n">
        <f aca="false">F22*(1+C9)</f>
        <v>1221727.8276</v>
      </c>
      <c r="G34" s="68" t="n">
        <f aca="false">G22*(1+C10)</f>
        <v>1199772</v>
      </c>
      <c r="H34" s="68" t="n">
        <f aca="false">H22*(1+C11)</f>
        <v>371358.357075</v>
      </c>
      <c r="I34" s="68" t="n">
        <f aca="false">I22*(1+C12)</f>
        <v>856980</v>
      </c>
      <c r="J34" s="68" t="n">
        <f aca="false">J22*(1+C13)</f>
        <v>749857.5</v>
      </c>
      <c r="K34" s="91" t="n">
        <f aca="false">SUM(C34:J34)</f>
        <v>9887501.735325</v>
      </c>
    </row>
    <row r="35" customFormat="false" ht="15" hidden="false" customHeight="true" outlineLevel="0" collapsed="false">
      <c r="A35" s="90" t="n">
        <v>46784</v>
      </c>
      <c r="B35" s="73" t="s">
        <v>156</v>
      </c>
      <c r="C35" s="68" t="n">
        <f aca="false">C23*(1+C6)</f>
        <v>1911000</v>
      </c>
      <c r="D35" s="68" t="n">
        <f aca="false">D23*(1+C7)</f>
        <v>1571130.357075</v>
      </c>
      <c r="E35" s="68" t="n">
        <f aca="false">E23*(1+C8)</f>
        <v>1658220.949575</v>
      </c>
      <c r="F35" s="68" t="n">
        <f aca="false">F23*(1+C9)</f>
        <v>1099554.61635</v>
      </c>
      <c r="G35" s="68" t="n">
        <f aca="false">G23*(1+C10)</f>
        <v>1114074</v>
      </c>
      <c r="H35" s="68" t="n">
        <f aca="false">H23*(1+C11)</f>
        <v>1392592.5</v>
      </c>
      <c r="I35" s="68" t="n">
        <f aca="false">I23*(1+C12)</f>
        <v>856980</v>
      </c>
      <c r="J35" s="68" t="n">
        <f aca="false">J23*(1+C13)</f>
        <v>749857.5</v>
      </c>
      <c r="K35" s="91" t="n">
        <f aca="false">SUM(C35:J35)</f>
        <v>10353409.923</v>
      </c>
    </row>
    <row r="36" customFormat="false" ht="15" hidden="false" customHeight="true" outlineLevel="0" collapsed="false">
      <c r="A36" s="90" t="n">
        <v>46813</v>
      </c>
      <c r="B36" s="73" t="s">
        <v>156</v>
      </c>
      <c r="C36" s="68" t="n">
        <f aca="false">C24*(1+C6)</f>
        <v>1563545.256</v>
      </c>
      <c r="D36" s="68" t="n">
        <f aca="false">D24*(1+C7)</f>
        <v>1571130.357075</v>
      </c>
      <c r="E36" s="68" t="n">
        <f aca="false">E24*(1+C8)</f>
        <v>1865498.702175</v>
      </c>
      <c r="F36" s="68" t="n">
        <f aca="false">F24*(1+C9)</f>
        <v>1099554.61635</v>
      </c>
      <c r="G36" s="68" t="n">
        <f aca="false">G24*(1+C10)</f>
        <v>771282</v>
      </c>
      <c r="H36" s="68" t="n">
        <f aca="false">H24*(1+C11)</f>
        <v>371358.357075</v>
      </c>
      <c r="I36" s="68" t="n">
        <f aca="false">I24*(1+C12)</f>
        <v>856980</v>
      </c>
      <c r="J36" s="68" t="n">
        <f aca="false">J24*(1+C13)</f>
        <v>749857.5</v>
      </c>
      <c r="K36" s="91" t="n">
        <f aca="false">SUM(C36:J36)</f>
        <v>8849206.788675</v>
      </c>
    </row>
    <row r="37" customFormat="false" ht="15" hidden="false" customHeight="true" outlineLevel="0" collapsed="false">
      <c r="A37" s="90" t="n">
        <v>46844</v>
      </c>
      <c r="B37" s="73" t="s">
        <v>156</v>
      </c>
      <c r="C37" s="68" t="n">
        <f aca="false">C25*(1+C6)</f>
        <v>1216090.512</v>
      </c>
      <c r="D37" s="68" t="n">
        <f aca="false">D25*(1+C7)</f>
        <v>1571130.357075</v>
      </c>
      <c r="E37" s="68" t="n">
        <f aca="false">E25*(1+C8)</f>
        <v>1865498.702175</v>
      </c>
      <c r="F37" s="68" t="n">
        <f aca="false">F25*(1+C9)</f>
        <v>1099554.61635</v>
      </c>
      <c r="G37" s="68" t="n">
        <f aca="false">G25*(1+C10)</f>
        <v>599886</v>
      </c>
      <c r="H37" s="68" t="n">
        <f aca="false">H25*(1+C11)</f>
        <v>371358.357075</v>
      </c>
      <c r="I37" s="68" t="n">
        <f aca="false">I25*(1+C12)</f>
        <v>856980</v>
      </c>
      <c r="J37" s="68" t="n">
        <f aca="false">J25*(1+C13)</f>
        <v>749857.5</v>
      </c>
      <c r="K37" s="91" t="n">
        <f aca="false">SUM(C37:J37)</f>
        <v>8330356.044675</v>
      </c>
    </row>
    <row r="38" customFormat="false" ht="15" hidden="false" customHeight="true" outlineLevel="0" collapsed="false">
      <c r="A38" s="90" t="n">
        <v>46874</v>
      </c>
      <c r="B38" s="73" t="s">
        <v>156</v>
      </c>
      <c r="C38" s="68" t="n">
        <f aca="false">C26*(1+C6)</f>
        <v>1042363.14</v>
      </c>
      <c r="D38" s="68" t="n">
        <f aca="false">D26*(1+C7)</f>
        <v>1571130.357075</v>
      </c>
      <c r="E38" s="68" t="n">
        <f aca="false">E26*(1+C8)</f>
        <v>2280054.207375</v>
      </c>
      <c r="F38" s="68" t="n">
        <f aca="false">F26*(1+C9)</f>
        <v>1099554.61635</v>
      </c>
      <c r="G38" s="68" t="n">
        <f aca="false">G26*(1+C10)</f>
        <v>514188</v>
      </c>
      <c r="H38" s="68" t="n">
        <f aca="false">H26*(1+C11)</f>
        <v>371358.357075</v>
      </c>
      <c r="I38" s="68" t="n">
        <f aca="false">I26*(1+C12)</f>
        <v>856980</v>
      </c>
      <c r="J38" s="68" t="n">
        <f aca="false">J26*(1+C13)</f>
        <v>749857.5</v>
      </c>
      <c r="K38" s="91" t="n">
        <f aca="false">SUM(C38:J38)</f>
        <v>8485486.177875</v>
      </c>
    </row>
    <row r="39" customFormat="false" ht="15" hidden="false" customHeight="true" outlineLevel="0" collapsed="false">
      <c r="A39" s="90" t="n">
        <v>46905</v>
      </c>
      <c r="B39" s="73" t="s">
        <v>156</v>
      </c>
      <c r="C39" s="68" t="n">
        <f aca="false">C27*(1+C6)</f>
        <v>1042363.14</v>
      </c>
      <c r="D39" s="68" t="n">
        <f aca="false">D27*(1+C7)</f>
        <v>1571130.357075</v>
      </c>
      <c r="E39" s="68" t="n">
        <f aca="false">E27*(1+C8)</f>
        <v>2901887.465175</v>
      </c>
      <c r="F39" s="68" t="n">
        <f aca="false">F27*(1+C9)</f>
        <v>1221727.8276</v>
      </c>
      <c r="G39" s="68" t="n">
        <f aca="false">G27*(1+C10)</f>
        <v>514188</v>
      </c>
      <c r="H39" s="68" t="n">
        <f aca="false">H27*(1+C11)</f>
        <v>371358.357075</v>
      </c>
      <c r="I39" s="68" t="n">
        <f aca="false">I27*(1+C12)</f>
        <v>856980</v>
      </c>
      <c r="J39" s="68" t="n">
        <f aca="false">J27*(1+C13)</f>
        <v>749857.5</v>
      </c>
      <c r="K39" s="91" t="n">
        <f aca="false">SUM(C39:J39)</f>
        <v>9229492.646925</v>
      </c>
    </row>
    <row r="40" customFormat="false" ht="15" hidden="false" customHeight="true" outlineLevel="0" collapsed="false">
      <c r="A40" s="90" t="n">
        <v>46935</v>
      </c>
      <c r="B40" s="73" t="s">
        <v>156</v>
      </c>
      <c r="C40" s="68" t="n">
        <f aca="false">C28*(1+C6)</f>
        <v>1042363.14</v>
      </c>
      <c r="D40" s="68" t="n">
        <f aca="false">D28*(1+C7)</f>
        <v>1571130.357075</v>
      </c>
      <c r="E40" s="68" t="n">
        <f aca="false">E28*(1+C8)</f>
        <v>2901887.465175</v>
      </c>
      <c r="F40" s="68" t="n">
        <f aca="false">F28*(1+C9)</f>
        <v>1221727.8276</v>
      </c>
      <c r="G40" s="68" t="n">
        <f aca="false">G28*(1+C10)</f>
        <v>1199772</v>
      </c>
      <c r="H40" s="68" t="n">
        <f aca="false">H28*(1+C11)</f>
        <v>464197.142925</v>
      </c>
      <c r="I40" s="68" t="n">
        <f aca="false">I28*(1+C12)</f>
        <v>856980</v>
      </c>
      <c r="J40" s="68" t="n">
        <f aca="false">J28*(1+C13)</f>
        <v>749857.5</v>
      </c>
      <c r="K40" s="91" t="n">
        <f aca="false">SUM(C40:J40)</f>
        <v>10007915.432775</v>
      </c>
    </row>
    <row r="41" customFormat="false" ht="15" hidden="false" customHeight="true" outlineLevel="0" collapsed="false">
      <c r="A41" s="90" t="n">
        <v>46966</v>
      </c>
      <c r="B41" s="73" t="s">
        <v>157</v>
      </c>
      <c r="C41" s="68" t="n">
        <f aca="false">C29*(1+D6)</f>
        <v>1258653.67992</v>
      </c>
      <c r="D41" s="68" t="n">
        <f aca="false">D29*(1+D7)</f>
        <v>1626119.91957262</v>
      </c>
      <c r="E41" s="68" t="n">
        <f aca="false">E29*(1+D8)</f>
        <v>2788921.05251512</v>
      </c>
      <c r="F41" s="68" t="n">
        <f aca="false">F29*(1+D9)</f>
        <v>1770283.17870525</v>
      </c>
      <c r="G41" s="68" t="n">
        <f aca="false">G29*(1+D10)</f>
        <v>1419158.88</v>
      </c>
      <c r="H41" s="68" t="n">
        <f aca="false">H29*(1+D11)</f>
        <v>384355.899572625</v>
      </c>
      <c r="I41" s="68" t="n">
        <f aca="false">I29*(1+D12)</f>
        <v>886974.3</v>
      </c>
      <c r="J41" s="68" t="n">
        <f aca="false">J29*(1+D13)</f>
        <v>776102.5125</v>
      </c>
      <c r="K41" s="91" t="n">
        <f aca="false">SUM(C41:J41)</f>
        <v>10910569.4227856</v>
      </c>
    </row>
    <row r="42" customFormat="false" ht="15" hidden="false" customHeight="true" outlineLevel="0" collapsed="false">
      <c r="A42" s="90" t="n">
        <v>46997</v>
      </c>
      <c r="B42" s="73" t="s">
        <v>157</v>
      </c>
      <c r="C42" s="68" t="n">
        <f aca="false">C30*(1+D6)</f>
        <v>1438461.50994</v>
      </c>
      <c r="D42" s="68" t="n">
        <f aca="false">D30*(1+D7)</f>
        <v>1626119.91957262</v>
      </c>
      <c r="E42" s="68" t="n">
        <f aca="false">E30*(1+D8)</f>
        <v>2788921.05251512</v>
      </c>
      <c r="F42" s="68" t="n">
        <f aca="false">F30*(1+D9)</f>
        <v>1264488.301566</v>
      </c>
      <c r="G42" s="68" t="n">
        <f aca="false">G30*(1+D10)</f>
        <v>709579.44</v>
      </c>
      <c r="H42" s="68" t="n">
        <f aca="false">H30*(1+D11)</f>
        <v>384355.899572625</v>
      </c>
      <c r="I42" s="68" t="n">
        <f aca="false">I30*(1+D12)</f>
        <v>886974.3</v>
      </c>
      <c r="J42" s="68" t="n">
        <f aca="false">J30*(1+D13)</f>
        <v>776102.5125</v>
      </c>
      <c r="K42" s="91" t="n">
        <f aca="false">SUM(C42:J42)</f>
        <v>9875002.93566637</v>
      </c>
    </row>
    <row r="43" customFormat="false" ht="15" hidden="false" customHeight="true" outlineLevel="0" collapsed="false">
      <c r="A43" s="90" t="n">
        <v>47027</v>
      </c>
      <c r="B43" s="73" t="s">
        <v>157</v>
      </c>
      <c r="C43" s="68" t="n">
        <f aca="false">C31*(1+D6)</f>
        <v>1798077.16998</v>
      </c>
      <c r="D43" s="68" t="n">
        <f aca="false">D31*(1+D7)</f>
        <v>1626119.91957262</v>
      </c>
      <c r="E43" s="68" t="n">
        <f aca="false">E31*(1+D8)</f>
        <v>1716258.68281012</v>
      </c>
      <c r="F43" s="68" t="n">
        <f aca="false">F31*(1+D9)</f>
        <v>1138039.02792225</v>
      </c>
      <c r="G43" s="68" t="n">
        <f aca="false">G31*(1+D10)</f>
        <v>620882.01</v>
      </c>
      <c r="H43" s="68" t="n">
        <f aca="false">H31*(1+D11)</f>
        <v>384355.899572625</v>
      </c>
      <c r="I43" s="68" t="n">
        <f aca="false">I31*(1+D12)</f>
        <v>886974.3</v>
      </c>
      <c r="J43" s="68" t="n">
        <f aca="false">J31*(1+D13)</f>
        <v>776102.5125</v>
      </c>
      <c r="K43" s="91" t="n">
        <f aca="false">SUM(C43:J43)</f>
        <v>8946809.52235762</v>
      </c>
    </row>
    <row r="44" customFormat="false" ht="15" hidden="false" customHeight="true" outlineLevel="0" collapsed="false">
      <c r="A44" s="90" t="n">
        <v>47058</v>
      </c>
      <c r="B44" s="73" t="s">
        <v>157</v>
      </c>
      <c r="C44" s="68" t="n">
        <f aca="false">C32*(1+D6)</f>
        <v>2337500.66004</v>
      </c>
      <c r="D44" s="68" t="n">
        <f aca="false">D32*(1+D7)</f>
        <v>1626119.91957262</v>
      </c>
      <c r="E44" s="68" t="n">
        <f aca="false">E32*(1+D8)</f>
        <v>1716258.68281012</v>
      </c>
      <c r="F44" s="68" t="n">
        <f aca="false">F32*(1+D9)</f>
        <v>1138039.02792225</v>
      </c>
      <c r="G44" s="68" t="n">
        <f aca="false">G32*(1+D10)</f>
        <v>620882.01</v>
      </c>
      <c r="H44" s="68" t="n">
        <f aca="false">H32*(1+D11)</f>
        <v>384355.899572625</v>
      </c>
      <c r="I44" s="68" t="n">
        <f aca="false">I32*(1+D12)</f>
        <v>886974.3</v>
      </c>
      <c r="J44" s="68" t="n">
        <f aca="false">J32*(1+D13)</f>
        <v>776102.5125</v>
      </c>
      <c r="K44" s="91" t="n">
        <f aca="false">SUM(C44:J44)</f>
        <v>9486233.01241762</v>
      </c>
    </row>
    <row r="45" customFormat="false" ht="15" hidden="false" customHeight="true" outlineLevel="0" collapsed="false">
      <c r="A45" s="90" t="n">
        <v>47088</v>
      </c>
      <c r="B45" s="73" t="s">
        <v>157</v>
      </c>
      <c r="C45" s="68" t="n">
        <f aca="false">C33*(1+D6)</f>
        <v>2517308.49006</v>
      </c>
      <c r="D45" s="68" t="n">
        <f aca="false">D33*(1+D7)</f>
        <v>1626119.91957262</v>
      </c>
      <c r="E45" s="68" t="n">
        <f aca="false">E33*(1+D8)</f>
        <v>1716258.68281012</v>
      </c>
      <c r="F45" s="68" t="n">
        <f aca="false">F33*(1+D9)</f>
        <v>1643835.01377937</v>
      </c>
      <c r="G45" s="68" t="n">
        <f aca="false">G33*(1+D10)</f>
        <v>1153066.59</v>
      </c>
      <c r="H45" s="68" t="n">
        <f aca="false">H33*(1+D11)</f>
        <v>384355.899572625</v>
      </c>
      <c r="I45" s="68" t="n">
        <f aca="false">I33*(1+D12)</f>
        <v>886974.3</v>
      </c>
      <c r="J45" s="68" t="n">
        <f aca="false">J33*(1+D13)</f>
        <v>776102.5125</v>
      </c>
      <c r="K45" s="91" t="n">
        <f aca="false">SUM(C45:J45)</f>
        <v>10704021.4082947</v>
      </c>
    </row>
    <row r="46" customFormat="false" ht="15" hidden="false" customHeight="true" outlineLevel="0" collapsed="false">
      <c r="A46" s="90" t="n">
        <v>47119</v>
      </c>
      <c r="B46" s="73" t="s">
        <v>157</v>
      </c>
      <c r="C46" s="68" t="n">
        <f aca="false">C34*(1+D6)</f>
        <v>2337500.66004</v>
      </c>
      <c r="D46" s="68" t="n">
        <f aca="false">D34*(1+D7)</f>
        <v>1626119.91957262</v>
      </c>
      <c r="E46" s="68" t="n">
        <f aca="false">E34*(1+D8)</f>
        <v>1716258.68281012</v>
      </c>
      <c r="F46" s="68" t="n">
        <f aca="false">F34*(1+D9)</f>
        <v>1264488.301566</v>
      </c>
      <c r="G46" s="68" t="n">
        <f aca="false">G34*(1+D10)</f>
        <v>1241764.02</v>
      </c>
      <c r="H46" s="68" t="n">
        <f aca="false">H34*(1+D11)</f>
        <v>384355.899572625</v>
      </c>
      <c r="I46" s="68" t="n">
        <f aca="false">I34*(1+D12)</f>
        <v>886974.3</v>
      </c>
      <c r="J46" s="68" t="n">
        <f aca="false">J34*(1+D13)</f>
        <v>776102.5125</v>
      </c>
      <c r="K46" s="91" t="n">
        <f aca="false">SUM(C46:J46)</f>
        <v>10233564.2960614</v>
      </c>
    </row>
    <row r="47" customFormat="false" ht="15" hidden="false" customHeight="true" outlineLevel="0" collapsed="false">
      <c r="A47" s="90" t="n">
        <v>47150</v>
      </c>
      <c r="B47" s="73" t="s">
        <v>157</v>
      </c>
      <c r="C47" s="68" t="n">
        <f aca="false">C35*(1+D6)</f>
        <v>1977885</v>
      </c>
      <c r="D47" s="68" t="n">
        <f aca="false">D35*(1+D7)</f>
        <v>1626119.91957262</v>
      </c>
      <c r="E47" s="68" t="n">
        <f aca="false">E35*(1+D8)</f>
        <v>1716258.68281012</v>
      </c>
      <c r="F47" s="68" t="n">
        <f aca="false">F35*(1+D9)</f>
        <v>1138039.02792225</v>
      </c>
      <c r="G47" s="68" t="n">
        <f aca="false">G35*(1+D10)</f>
        <v>1153066.59</v>
      </c>
      <c r="H47" s="68" t="n">
        <f aca="false">H35*(1+D11)</f>
        <v>1441333.2375</v>
      </c>
      <c r="I47" s="68" t="n">
        <f aca="false">I35*(1+D12)</f>
        <v>886974.3</v>
      </c>
      <c r="J47" s="68" t="n">
        <f aca="false">J35*(1+D13)</f>
        <v>776102.5125</v>
      </c>
      <c r="K47" s="91" t="n">
        <f aca="false">SUM(C47:J47)</f>
        <v>10715779.270305</v>
      </c>
    </row>
    <row r="48" customFormat="false" ht="15" hidden="false" customHeight="true" outlineLevel="0" collapsed="false">
      <c r="A48" s="90" t="n">
        <v>47178</v>
      </c>
      <c r="B48" s="73" t="s">
        <v>157</v>
      </c>
      <c r="C48" s="68" t="n">
        <f aca="false">C36*(1+D6)</f>
        <v>1618269.33996</v>
      </c>
      <c r="D48" s="68" t="n">
        <f aca="false">D36*(1+D7)</f>
        <v>1626119.91957262</v>
      </c>
      <c r="E48" s="68" t="n">
        <f aca="false">E36*(1+D8)</f>
        <v>1930791.15675112</v>
      </c>
      <c r="F48" s="68" t="n">
        <f aca="false">F36*(1+D9)</f>
        <v>1138039.02792225</v>
      </c>
      <c r="G48" s="68" t="n">
        <f aca="false">G36*(1+D10)</f>
        <v>798276.87</v>
      </c>
      <c r="H48" s="68" t="n">
        <f aca="false">H36*(1+D11)</f>
        <v>384355.899572625</v>
      </c>
      <c r="I48" s="68" t="n">
        <f aca="false">I36*(1+D12)</f>
        <v>886974.3</v>
      </c>
      <c r="J48" s="68" t="n">
        <f aca="false">J36*(1+D13)</f>
        <v>776102.5125</v>
      </c>
      <c r="K48" s="91" t="n">
        <f aca="false">SUM(C48:J48)</f>
        <v>9158929.02627862</v>
      </c>
    </row>
    <row r="49" customFormat="false" ht="15" hidden="false" customHeight="true" outlineLevel="0" collapsed="false">
      <c r="A49" s="90" t="n">
        <v>47209</v>
      </c>
      <c r="B49" s="73" t="s">
        <v>157</v>
      </c>
      <c r="C49" s="68" t="n">
        <f aca="false">C37*(1+D6)</f>
        <v>1258653.67992</v>
      </c>
      <c r="D49" s="68" t="n">
        <f aca="false">D37*(1+D7)</f>
        <v>1626119.91957262</v>
      </c>
      <c r="E49" s="68" t="n">
        <f aca="false">E37*(1+D8)</f>
        <v>1930791.15675112</v>
      </c>
      <c r="F49" s="68" t="n">
        <f aca="false">F37*(1+D9)</f>
        <v>1138039.02792225</v>
      </c>
      <c r="G49" s="68" t="n">
        <f aca="false">G37*(1+D10)</f>
        <v>620882.01</v>
      </c>
      <c r="H49" s="68" t="n">
        <f aca="false">H37*(1+D11)</f>
        <v>384355.899572625</v>
      </c>
      <c r="I49" s="68" t="n">
        <f aca="false">I37*(1+D12)</f>
        <v>886974.3</v>
      </c>
      <c r="J49" s="68" t="n">
        <f aca="false">J37*(1+D13)</f>
        <v>776102.5125</v>
      </c>
      <c r="K49" s="91" t="n">
        <f aca="false">SUM(C49:J49)</f>
        <v>8621918.50623862</v>
      </c>
    </row>
    <row r="50" customFormat="false" ht="15" hidden="false" customHeight="true" outlineLevel="0" collapsed="false">
      <c r="A50" s="90" t="n">
        <v>47239</v>
      </c>
      <c r="B50" s="73" t="s">
        <v>157</v>
      </c>
      <c r="C50" s="68" t="n">
        <f aca="false">C38*(1+D6)</f>
        <v>1078845.8499</v>
      </c>
      <c r="D50" s="68" t="n">
        <f aca="false">D38*(1+D7)</f>
        <v>1626119.91957262</v>
      </c>
      <c r="E50" s="68" t="n">
        <f aca="false">E38*(1+D8)</f>
        <v>2359856.10463312</v>
      </c>
      <c r="F50" s="68" t="n">
        <f aca="false">F38*(1+D9)</f>
        <v>1138039.02792225</v>
      </c>
      <c r="G50" s="68" t="n">
        <f aca="false">G38*(1+D10)</f>
        <v>532184.58</v>
      </c>
      <c r="H50" s="68" t="n">
        <f aca="false">H38*(1+D11)</f>
        <v>384355.899572625</v>
      </c>
      <c r="I50" s="68" t="n">
        <f aca="false">I38*(1+D12)</f>
        <v>886974.3</v>
      </c>
      <c r="J50" s="68" t="n">
        <f aca="false">J38*(1+D13)</f>
        <v>776102.5125</v>
      </c>
      <c r="K50" s="91" t="n">
        <f aca="false">SUM(C50:J50)</f>
        <v>8782478.19410062</v>
      </c>
    </row>
    <row r="51" customFormat="false" ht="15" hidden="false" customHeight="true" outlineLevel="0" collapsed="false">
      <c r="A51" s="90" t="n">
        <v>47270</v>
      </c>
      <c r="B51" s="73" t="s">
        <v>157</v>
      </c>
      <c r="C51" s="68" t="n">
        <f aca="false">C39*(1+D6)</f>
        <v>1078845.8499</v>
      </c>
      <c r="D51" s="68" t="n">
        <f aca="false">D39*(1+D7)</f>
        <v>1626119.91957262</v>
      </c>
      <c r="E51" s="68" t="n">
        <f aca="false">E39*(1+D8)</f>
        <v>3003453.52645612</v>
      </c>
      <c r="F51" s="68" t="n">
        <f aca="false">F39*(1+D9)</f>
        <v>1264488.301566</v>
      </c>
      <c r="G51" s="68" t="n">
        <f aca="false">G39*(1+D10)</f>
        <v>532184.58</v>
      </c>
      <c r="H51" s="68" t="n">
        <f aca="false">H39*(1+D11)</f>
        <v>384355.899572625</v>
      </c>
      <c r="I51" s="68" t="n">
        <f aca="false">I39*(1+D12)</f>
        <v>886974.3</v>
      </c>
      <c r="J51" s="68" t="n">
        <f aca="false">J39*(1+D13)</f>
        <v>776102.5125</v>
      </c>
      <c r="K51" s="91" t="n">
        <f aca="false">SUM(C51:J51)</f>
        <v>9552524.88956737</v>
      </c>
    </row>
    <row r="52" customFormat="false" ht="15" hidden="false" customHeight="true" outlineLevel="0" collapsed="false">
      <c r="A52" s="90" t="n">
        <v>47300</v>
      </c>
      <c r="B52" s="73" t="s">
        <v>157</v>
      </c>
      <c r="C52" s="68" t="n">
        <f aca="false">C40*(1+D6)</f>
        <v>1078845.8499</v>
      </c>
      <c r="D52" s="68" t="n">
        <f aca="false">D40*(1+D7)</f>
        <v>1626119.91957262</v>
      </c>
      <c r="E52" s="68" t="n">
        <f aca="false">E40*(1+D8)</f>
        <v>3003453.52645612</v>
      </c>
      <c r="F52" s="68" t="n">
        <f aca="false">F40*(1+D9)</f>
        <v>1264488.301566</v>
      </c>
      <c r="G52" s="68" t="n">
        <f aca="false">G40*(1+D10)</f>
        <v>1241764.02</v>
      </c>
      <c r="H52" s="68" t="n">
        <f aca="false">H40*(1+D11)</f>
        <v>480444.042927375</v>
      </c>
      <c r="I52" s="68" t="n">
        <f aca="false">I40*(1+D12)</f>
        <v>886974.3</v>
      </c>
      <c r="J52" s="68" t="n">
        <f aca="false">J40*(1+D13)</f>
        <v>776102.5125</v>
      </c>
      <c r="K52" s="91" t="n">
        <f aca="false">SUM(C52:J52)</f>
        <v>10358192.4729221</v>
      </c>
    </row>
    <row r="54" customFormat="false" ht="15" hidden="false" customHeight="true" outlineLevel="0" collapsed="false">
      <c r="A54" s="79" t="s">
        <v>256</v>
      </c>
      <c r="B54" s="79"/>
      <c r="C54" s="79"/>
      <c r="D54" s="79"/>
      <c r="E54" s="79"/>
      <c r="F54" s="79"/>
      <c r="G54" s="79"/>
      <c r="H54" s="79"/>
      <c r="I54" s="79"/>
      <c r="J54" s="79"/>
      <c r="K54" s="79"/>
    </row>
  </sheetData>
  <mergeCells count="5">
    <mergeCell ref="A1:K1"/>
    <mergeCell ref="A2:K2"/>
    <mergeCell ref="A4:D4"/>
    <mergeCell ref="A15:K15"/>
    <mergeCell ref="A54:K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6"/>
    <col collapsed="false" customWidth="true" hidden="false" outlineLevel="0" max="4" min="4" style="1" width="18"/>
    <col collapsed="false" customWidth="true" hidden="false" outlineLevel="0" max="6" min="5" style="1" width="22"/>
    <col collapsed="false" customWidth="true" hidden="false" outlineLevel="0" max="7" min="7" style="1" width="16"/>
  </cols>
  <sheetData>
    <row r="1" customFormat="false" ht="21.75" hidden="false" customHeight="true" outlineLevel="0" collapsed="false">
      <c r="A1" s="16" t="s">
        <v>257</v>
      </c>
      <c r="B1" s="16"/>
      <c r="C1" s="16"/>
      <c r="D1" s="16"/>
      <c r="E1" s="16"/>
      <c r="F1" s="16"/>
      <c r="G1" s="16"/>
    </row>
    <row r="2" customFormat="false" ht="19.5" hidden="false" customHeight="true" outlineLevel="0" collapsed="false">
      <c r="A2" s="64" t="s">
        <v>258</v>
      </c>
      <c r="B2" s="64"/>
      <c r="C2" s="64"/>
      <c r="D2" s="64"/>
      <c r="E2" s="64"/>
      <c r="F2" s="64"/>
      <c r="G2" s="64"/>
    </row>
    <row r="4" customFormat="false" ht="30" hidden="false" customHeight="true" outlineLevel="0" collapsed="false">
      <c r="A4" s="66" t="s">
        <v>1</v>
      </c>
      <c r="B4" s="66" t="s">
        <v>2</v>
      </c>
      <c r="C4" s="66" t="s">
        <v>36</v>
      </c>
      <c r="D4" s="66" t="s">
        <v>43</v>
      </c>
      <c r="E4" s="66" t="s">
        <v>63</v>
      </c>
      <c r="F4" s="66" t="s">
        <v>65</v>
      </c>
      <c r="G4" s="66" t="s">
        <v>66</v>
      </c>
    </row>
    <row r="5" customFormat="false" ht="15" hidden="false" customHeight="true" outlineLevel="0" collapsed="false">
      <c r="A5" s="90" t="n">
        <v>46235</v>
      </c>
      <c r="B5" s="73" t="s">
        <v>155</v>
      </c>
      <c r="C5" s="68" t="n">
        <f aca="false">'Income Forecast'!M14</f>
        <v>19099183.3816667</v>
      </c>
      <c r="D5" s="68" t="n">
        <f aca="false">'Staff Cost Forecast'!E11</f>
        <v>17590988.8148</v>
      </c>
      <c r="E5" s="68" t="n">
        <f aca="false">'Opex Forecast'!K17</f>
        <v>10179484.425</v>
      </c>
      <c r="F5" s="70" t="n">
        <f aca="false">C5-D5-E5</f>
        <v>-8671289.85813334</v>
      </c>
      <c r="G5" s="69" t="n">
        <f aca="false">F5/C5</f>
        <v>-0.454013644712</v>
      </c>
    </row>
    <row r="6" customFormat="false" ht="15" hidden="false" customHeight="true" outlineLevel="0" collapsed="false">
      <c r="A6" s="90" t="n">
        <v>46266</v>
      </c>
      <c r="B6" s="73" t="s">
        <v>155</v>
      </c>
      <c r="C6" s="68" t="n">
        <f aca="false">'Income Forecast'!M15</f>
        <v>37857684.3033333</v>
      </c>
      <c r="D6" s="68" t="n">
        <f aca="false">'Staff Cost Forecast'!E12</f>
        <v>17590988.8148</v>
      </c>
      <c r="E6" s="68" t="n">
        <f aca="false">'Opex Forecast'!K18</f>
        <v>9211965.045</v>
      </c>
      <c r="F6" s="70" t="n">
        <f aca="false">C6-D6-E6</f>
        <v>11054730.4435333</v>
      </c>
      <c r="G6" s="69" t="n">
        <f aca="false">F6/C6</f>
        <v>0.292007571169903</v>
      </c>
    </row>
    <row r="7" customFormat="false" ht="15" hidden="false" customHeight="true" outlineLevel="0" collapsed="false">
      <c r="A7" s="90" t="n">
        <v>46296</v>
      </c>
      <c r="B7" s="73" t="s">
        <v>155</v>
      </c>
      <c r="C7" s="68" t="n">
        <f aca="false">'Income Forecast'!M16</f>
        <v>34278071.5975</v>
      </c>
      <c r="D7" s="68" t="n">
        <f aca="false">'Staff Cost Forecast'!E13</f>
        <v>17590988.8148</v>
      </c>
      <c r="E7" s="68" t="n">
        <f aca="false">'Opex Forecast'!K19</f>
        <v>8343872.595</v>
      </c>
      <c r="F7" s="70" t="n">
        <f aca="false">C7-D7-E7</f>
        <v>8343210.1877</v>
      </c>
      <c r="G7" s="69" t="n">
        <f aca="false">F7/C7</f>
        <v>0.243397886720923</v>
      </c>
    </row>
    <row r="8" customFormat="false" ht="15" hidden="false" customHeight="true" outlineLevel="0" collapsed="false">
      <c r="A8" s="90" t="n">
        <v>46327</v>
      </c>
      <c r="B8" s="73" t="s">
        <v>155</v>
      </c>
      <c r="C8" s="68" t="n">
        <f aca="false">'Income Forecast'!M17</f>
        <v>34352497.0475</v>
      </c>
      <c r="D8" s="68" t="n">
        <f aca="false">'Staff Cost Forecast'!E14</f>
        <v>17590988.8148</v>
      </c>
      <c r="E8" s="68" t="n">
        <f aca="false">'Opex Forecast'!K20</f>
        <v>8845009.245</v>
      </c>
      <c r="F8" s="70" t="n">
        <f aca="false">C8-D8-E8</f>
        <v>7916498.9877</v>
      </c>
      <c r="G8" s="69" t="n">
        <f aca="false">F8/C8</f>
        <v>0.230449011515922</v>
      </c>
    </row>
    <row r="9" customFormat="false" ht="15" hidden="false" customHeight="true" outlineLevel="0" collapsed="false">
      <c r="A9" s="90" t="n">
        <v>46357</v>
      </c>
      <c r="B9" s="73" t="s">
        <v>155</v>
      </c>
      <c r="C9" s="68" t="n">
        <f aca="false">'Income Forecast'!M18</f>
        <v>28694354.4825</v>
      </c>
      <c r="D9" s="68" t="n">
        <f aca="false">'Staff Cost Forecast'!E15</f>
        <v>17590988.8148</v>
      </c>
      <c r="E9" s="68" t="n">
        <f aca="false">'Opex Forecast'!K21</f>
        <v>9981020.76</v>
      </c>
      <c r="F9" s="70" t="n">
        <f aca="false">C9-D9-E9</f>
        <v>1122344.9077</v>
      </c>
      <c r="G9" s="69" t="n">
        <f aca="false">F9/C9</f>
        <v>0.0391137883371619</v>
      </c>
    </row>
    <row r="10" customFormat="false" ht="15" hidden="false" customHeight="true" outlineLevel="0" collapsed="false">
      <c r="A10" s="90" t="n">
        <v>46388</v>
      </c>
      <c r="B10" s="73" t="s">
        <v>155</v>
      </c>
      <c r="C10" s="68" t="n">
        <f aca="false">'Income Forecast'!M19</f>
        <v>27982650.8808333</v>
      </c>
      <c r="D10" s="68" t="n">
        <f aca="false">'Staff Cost Forecast'!E16</f>
        <v>17590988.8148</v>
      </c>
      <c r="E10" s="68" t="n">
        <f aca="false">'Opex Forecast'!K22</f>
        <v>9542650.995</v>
      </c>
      <c r="F10" s="70" t="n">
        <f aca="false">C10-D10-E10</f>
        <v>849011.071033331</v>
      </c>
      <c r="G10" s="69" t="n">
        <f aca="false">F10/C10</f>
        <v>0.0303406233615579</v>
      </c>
    </row>
    <row r="11" customFormat="false" ht="15" hidden="false" customHeight="true" outlineLevel="0" collapsed="false">
      <c r="A11" s="90" t="n">
        <v>46419</v>
      </c>
      <c r="B11" s="73" t="s">
        <v>155</v>
      </c>
      <c r="C11" s="68" t="n">
        <f aca="false">'Income Forecast'!M20</f>
        <v>29379401.2541667</v>
      </c>
      <c r="D11" s="68" t="n">
        <f aca="false">'Staff Cost Forecast'!E17</f>
        <v>17590988.8148</v>
      </c>
      <c r="E11" s="68" t="n">
        <f aca="false">'Opex Forecast'!K23</f>
        <v>9994417.8</v>
      </c>
      <c r="F11" s="70" t="n">
        <f aca="false">C11-D11-E11</f>
        <v>1793994.63936667</v>
      </c>
      <c r="G11" s="69" t="n">
        <f aca="false">F11/C11</f>
        <v>0.0610630088695983</v>
      </c>
    </row>
    <row r="12" customFormat="false" ht="15" hidden="false" customHeight="true" outlineLevel="0" collapsed="false">
      <c r="A12" s="90" t="n">
        <v>46447</v>
      </c>
      <c r="B12" s="73" t="s">
        <v>155</v>
      </c>
      <c r="C12" s="68" t="n">
        <f aca="false">'Income Forecast'!M21</f>
        <v>24796341.6083333</v>
      </c>
      <c r="D12" s="68" t="n">
        <f aca="false">'Staff Cost Forecast'!E18</f>
        <v>17590988.8148</v>
      </c>
      <c r="E12" s="68" t="n">
        <f aca="false">'Opex Forecast'!K24</f>
        <v>8542695.405</v>
      </c>
      <c r="F12" s="70" t="n">
        <f aca="false">C12-D12-E12</f>
        <v>-1337342.61146667</v>
      </c>
      <c r="G12" s="69" t="n">
        <f aca="false">F12/C12</f>
        <v>-0.0539330612793794</v>
      </c>
    </row>
    <row r="13" customFormat="false" ht="15" hidden="false" customHeight="true" outlineLevel="0" collapsed="false">
      <c r="A13" s="90" t="n">
        <v>46478</v>
      </c>
      <c r="B13" s="73" t="s">
        <v>155</v>
      </c>
      <c r="C13" s="68" t="n">
        <f aca="false">'Income Forecast'!M22</f>
        <v>23577980.0458333</v>
      </c>
      <c r="D13" s="68" t="n">
        <f aca="false">'Staff Cost Forecast'!E19</f>
        <v>17590988.8148</v>
      </c>
      <c r="E13" s="68" t="n">
        <f aca="false">'Opex Forecast'!K25</f>
        <v>8043004.305</v>
      </c>
      <c r="F13" s="70" t="n">
        <f aca="false">C13-D13-E13</f>
        <v>-2056013.07396667</v>
      </c>
      <c r="G13" s="69" t="n">
        <f aca="false">F13/C13</f>
        <v>-0.0872005604368981</v>
      </c>
    </row>
    <row r="14" customFormat="false" ht="15" hidden="false" customHeight="true" outlineLevel="0" collapsed="false">
      <c r="A14" s="90" t="n">
        <v>46508</v>
      </c>
      <c r="B14" s="73" t="s">
        <v>155</v>
      </c>
      <c r="C14" s="68" t="n">
        <f aca="false">'Income Forecast'!M23</f>
        <v>25314008.4475</v>
      </c>
      <c r="D14" s="68" t="n">
        <f aca="false">'Staff Cost Forecast'!E20</f>
        <v>17590988.8148</v>
      </c>
      <c r="E14" s="68" t="n">
        <f aca="false">'Opex Forecast'!K26</f>
        <v>8193695.475</v>
      </c>
      <c r="F14" s="70" t="n">
        <f aca="false">C14-D14-E14</f>
        <v>-470675.8423</v>
      </c>
      <c r="G14" s="69" t="n">
        <f aca="false">F14/C14</f>
        <v>-0.0185934931354771</v>
      </c>
    </row>
    <row r="15" customFormat="false" ht="15" hidden="false" customHeight="true" outlineLevel="0" collapsed="false">
      <c r="A15" s="90" t="n">
        <v>46539</v>
      </c>
      <c r="B15" s="73" t="s">
        <v>155</v>
      </c>
      <c r="C15" s="68" t="n">
        <f aca="false">'Income Forecast'!M24</f>
        <v>20494249.1575</v>
      </c>
      <c r="D15" s="68" t="n">
        <f aca="false">'Staff Cost Forecast'!E21</f>
        <v>17590988.8148</v>
      </c>
      <c r="E15" s="68" t="n">
        <f aca="false">'Opex Forecast'!K27</f>
        <v>8912542.305</v>
      </c>
      <c r="F15" s="70" t="n">
        <f aca="false">C15-D15-E15</f>
        <v>-6009281.9623</v>
      </c>
      <c r="G15" s="69" t="n">
        <f aca="false">F15/C15</f>
        <v>-0.293217961590989</v>
      </c>
    </row>
    <row r="16" customFormat="false" ht="15" hidden="false" customHeight="true" outlineLevel="0" collapsed="false">
      <c r="A16" s="90" t="n">
        <v>46569</v>
      </c>
      <c r="B16" s="73" t="s">
        <v>155</v>
      </c>
      <c r="C16" s="68" t="n">
        <f aca="false">'Income Forecast'!M25</f>
        <v>16719425.0958333</v>
      </c>
      <c r="D16" s="68" t="n">
        <f aca="false">'Staff Cost Forecast'!E22</f>
        <v>17590988.8148</v>
      </c>
      <c r="E16" s="68" t="n">
        <f aca="false">'Opex Forecast'!K28</f>
        <v>9664641.615</v>
      </c>
      <c r="F16" s="70" t="n">
        <f aca="false">C16-D16-E16</f>
        <v>-10536205.3339667</v>
      </c>
      <c r="G16" s="69" t="n">
        <f aca="false">F16/C16</f>
        <v>-0.630177489571242</v>
      </c>
    </row>
    <row r="17" customFormat="false" ht="15" hidden="false" customHeight="true" outlineLevel="0" collapsed="false">
      <c r="A17" s="90" t="n">
        <v>46600</v>
      </c>
      <c r="B17" s="73" t="s">
        <v>156</v>
      </c>
      <c r="C17" s="68" t="n">
        <f aca="false">'Income Forecast'!M26</f>
        <v>19757697.7746486</v>
      </c>
      <c r="D17" s="68" t="n">
        <f aca="false">'Staff Cost Forecast'!E23</f>
        <v>18629324.4379029</v>
      </c>
      <c r="E17" s="68" t="n">
        <f aca="false">'Opex Forecast'!K29</f>
        <v>10541612.968875</v>
      </c>
      <c r="F17" s="70" t="n">
        <f aca="false">C17-D17-E17</f>
        <v>-9413239.63212931</v>
      </c>
      <c r="G17" s="69" t="n">
        <f aca="false">F17/C17</f>
        <v>-0.476434032927035</v>
      </c>
    </row>
    <row r="18" customFormat="false" ht="15" hidden="false" customHeight="true" outlineLevel="0" collapsed="false">
      <c r="A18" s="90" t="n">
        <v>46631</v>
      </c>
      <c r="B18" s="73" t="s">
        <v>156</v>
      </c>
      <c r="C18" s="68" t="n">
        <f aca="false">'Income Forecast'!M27</f>
        <v>39770835.9518166</v>
      </c>
      <c r="D18" s="68" t="n">
        <f aca="false">'Staff Cost Forecast'!E24</f>
        <v>18629324.4379029</v>
      </c>
      <c r="E18" s="68" t="n">
        <f aca="false">'Opex Forecast'!K30</f>
        <v>9541065.638325</v>
      </c>
      <c r="F18" s="70" t="n">
        <f aca="false">C18-D18-E18</f>
        <v>11600445.8755887</v>
      </c>
      <c r="G18" s="69" t="n">
        <f aca="false">F18/C18</f>
        <v>0.291682223869846</v>
      </c>
    </row>
    <row r="19" customFormat="false" ht="15" hidden="false" customHeight="true" outlineLevel="0" collapsed="false">
      <c r="A19" s="90" t="n">
        <v>46661</v>
      </c>
      <c r="B19" s="73" t="s">
        <v>156</v>
      </c>
      <c r="C19" s="68" t="n">
        <f aca="false">'Income Forecast'!M28</f>
        <v>35962384.9360677</v>
      </c>
      <c r="D19" s="68" t="n">
        <f aca="false">'Staff Cost Forecast'!E25</f>
        <v>18629324.4379029</v>
      </c>
      <c r="E19" s="68" t="n">
        <f aca="false">'Opex Forecast'!K31</f>
        <v>8644260.408075</v>
      </c>
      <c r="F19" s="70" t="n">
        <f aca="false">C19-D19-E19</f>
        <v>8688800.09008982</v>
      </c>
      <c r="G19" s="69" t="n">
        <f aca="false">F19/C19</f>
        <v>0.241608005295988</v>
      </c>
    </row>
    <row r="20" customFormat="false" ht="15" hidden="false" customHeight="true" outlineLevel="0" collapsed="false">
      <c r="A20" s="90" t="n">
        <v>46692</v>
      </c>
      <c r="B20" s="73" t="s">
        <v>156</v>
      </c>
      <c r="C20" s="68" t="n">
        <f aca="false">'Income Forecast'!M29</f>
        <v>35850232.5576651</v>
      </c>
      <c r="D20" s="68" t="n">
        <f aca="false">'Staff Cost Forecast'!E26</f>
        <v>18629324.4379029</v>
      </c>
      <c r="E20" s="68" t="n">
        <f aca="false">'Opex Forecast'!K32</f>
        <v>9165442.524075</v>
      </c>
      <c r="F20" s="70" t="n">
        <f aca="false">C20-D20-E20</f>
        <v>8055465.59568719</v>
      </c>
      <c r="G20" s="69" t="n">
        <f aca="false">F20/C20</f>
        <v>0.224697722189946</v>
      </c>
    </row>
    <row r="21" customFormat="false" ht="15" hidden="false" customHeight="true" outlineLevel="0" collapsed="false">
      <c r="A21" s="90" t="n">
        <v>46722</v>
      </c>
      <c r="B21" s="73" t="s">
        <v>156</v>
      </c>
      <c r="C21" s="68" t="n">
        <f aca="false">'Income Forecast'!M30</f>
        <v>30033934.7392115</v>
      </c>
      <c r="D21" s="68" t="n">
        <f aca="false">'Staff Cost Forecast'!E27</f>
        <v>18629324.4379029</v>
      </c>
      <c r="E21" s="68" t="n">
        <f aca="false">'Opex Forecast'!K33</f>
        <v>10342049.66985</v>
      </c>
      <c r="F21" s="70" t="n">
        <f aca="false">C21-D21-E21</f>
        <v>1062560.63145858</v>
      </c>
      <c r="G21" s="69" t="n">
        <f aca="false">F21/C21</f>
        <v>0.0353786688519149</v>
      </c>
    </row>
    <row r="22" customFormat="false" ht="15" hidden="false" customHeight="true" outlineLevel="0" collapsed="false">
      <c r="A22" s="90" t="n">
        <v>46753</v>
      </c>
      <c r="B22" s="73" t="s">
        <v>156</v>
      </c>
      <c r="C22" s="68" t="n">
        <f aca="false">'Income Forecast'!M31</f>
        <v>29277596.9424475</v>
      </c>
      <c r="D22" s="68" t="n">
        <f aca="false">'Staff Cost Forecast'!E28</f>
        <v>18629324.4379029</v>
      </c>
      <c r="E22" s="68" t="n">
        <f aca="false">'Opex Forecast'!K34</f>
        <v>9887501.735325</v>
      </c>
      <c r="F22" s="70" t="n">
        <f aca="false">C22-D22-E22</f>
        <v>760770.769219657</v>
      </c>
      <c r="G22" s="69" t="n">
        <f aca="false">F22/C22</f>
        <v>0.0259847408486135</v>
      </c>
    </row>
    <row r="23" customFormat="false" ht="15" hidden="false" customHeight="true" outlineLevel="0" collapsed="false">
      <c r="A23" s="90" t="n">
        <v>46784</v>
      </c>
      <c r="B23" s="73" t="s">
        <v>156</v>
      </c>
      <c r="C23" s="68" t="n">
        <f aca="false">'Income Forecast'!M32</f>
        <v>30566666.4386178</v>
      </c>
      <c r="D23" s="68" t="n">
        <f aca="false">'Staff Cost Forecast'!E29</f>
        <v>18629324.4379029</v>
      </c>
      <c r="E23" s="68" t="n">
        <f aca="false">'Opex Forecast'!K35</f>
        <v>10353409.923</v>
      </c>
      <c r="F23" s="70" t="n">
        <f aca="false">C23-D23-E23</f>
        <v>1583932.07771492</v>
      </c>
      <c r="G23" s="69" t="n">
        <f aca="false">F23/C23</f>
        <v>0.0518189342267885</v>
      </c>
    </row>
    <row r="24" customFormat="false" ht="15" hidden="false" customHeight="true" outlineLevel="0" collapsed="false">
      <c r="A24" s="90" t="n">
        <v>46813</v>
      </c>
      <c r="B24" s="73" t="s">
        <v>156</v>
      </c>
      <c r="C24" s="68" t="n">
        <f aca="false">'Income Forecast'!M33</f>
        <v>25895180.6989622</v>
      </c>
      <c r="D24" s="68" t="n">
        <f aca="false">'Staff Cost Forecast'!E30</f>
        <v>18629324.4379029</v>
      </c>
      <c r="E24" s="68" t="n">
        <f aca="false">'Opex Forecast'!K36</f>
        <v>8849206.788675</v>
      </c>
      <c r="F24" s="70" t="n">
        <f aca="false">C24-D24-E24</f>
        <v>-1583350.52761567</v>
      </c>
      <c r="G24" s="69" t="n">
        <f aca="false">F24/C24</f>
        <v>-0.0611446023884717</v>
      </c>
    </row>
    <row r="25" customFormat="false" ht="15" hidden="false" customHeight="true" outlineLevel="0" collapsed="false">
      <c r="A25" s="90" t="n">
        <v>46844</v>
      </c>
      <c r="B25" s="73" t="s">
        <v>156</v>
      </c>
      <c r="C25" s="68" t="n">
        <f aca="false">'Income Forecast'!M34</f>
        <v>24604246.6580229</v>
      </c>
      <c r="D25" s="68" t="n">
        <f aca="false">'Staff Cost Forecast'!E31</f>
        <v>18629324.4379029</v>
      </c>
      <c r="E25" s="68" t="n">
        <f aca="false">'Opex Forecast'!K37</f>
        <v>8330356.044675</v>
      </c>
      <c r="F25" s="70" t="n">
        <f aca="false">C25-D25-E25</f>
        <v>-2355433.82455498</v>
      </c>
      <c r="G25" s="69" t="n">
        <f aca="false">F25/C25</f>
        <v>-0.0957328162610874</v>
      </c>
    </row>
    <row r="26" customFormat="false" ht="15" hidden="false" customHeight="true" outlineLevel="0" collapsed="false">
      <c r="A26" s="90" t="n">
        <v>46874</v>
      </c>
      <c r="B26" s="73" t="s">
        <v>156</v>
      </c>
      <c r="C26" s="68" t="n">
        <f aca="false">'Income Forecast'!M35</f>
        <v>26266492.8058215</v>
      </c>
      <c r="D26" s="68" t="n">
        <f aca="false">'Staff Cost Forecast'!E32</f>
        <v>18629324.4379029</v>
      </c>
      <c r="E26" s="68" t="n">
        <f aca="false">'Opex Forecast'!K38</f>
        <v>8485486.177875</v>
      </c>
      <c r="F26" s="70" t="n">
        <f aca="false">C26-D26-E26</f>
        <v>-848317.809956374</v>
      </c>
      <c r="G26" s="69" t="n">
        <f aca="false">F26/C26</f>
        <v>-0.0322965770964428</v>
      </c>
    </row>
    <row r="27" customFormat="false" ht="15" hidden="false" customHeight="true" outlineLevel="0" collapsed="false">
      <c r="A27" s="90" t="n">
        <v>46905</v>
      </c>
      <c r="B27" s="73" t="s">
        <v>156</v>
      </c>
      <c r="C27" s="68" t="n">
        <f aca="false">'Income Forecast'!M36</f>
        <v>21363201.980987</v>
      </c>
      <c r="D27" s="68" t="n">
        <f aca="false">'Staff Cost Forecast'!E33</f>
        <v>18629324.4379029</v>
      </c>
      <c r="E27" s="68" t="n">
        <f aca="false">'Opex Forecast'!K39</f>
        <v>9229492.646925</v>
      </c>
      <c r="F27" s="70" t="n">
        <f aca="false">C27-D27-E27</f>
        <v>-6495615.10384091</v>
      </c>
      <c r="G27" s="69" t="n">
        <f aca="false">F27/C27</f>
        <v>-0.304056251006845</v>
      </c>
    </row>
    <row r="28" customFormat="false" ht="15" hidden="false" customHeight="true" outlineLevel="0" collapsed="false">
      <c r="A28" s="90" t="n">
        <v>46935</v>
      </c>
      <c r="B28" s="73" t="s">
        <v>156</v>
      </c>
      <c r="C28" s="68" t="n">
        <f aca="false">'Income Forecast'!M37</f>
        <v>17405247.2711272</v>
      </c>
      <c r="D28" s="68" t="n">
        <f aca="false">'Staff Cost Forecast'!E34</f>
        <v>18629324.4379029</v>
      </c>
      <c r="E28" s="68" t="n">
        <f aca="false">'Opex Forecast'!K40</f>
        <v>10007915.432775</v>
      </c>
      <c r="F28" s="70" t="n">
        <f aca="false">C28-D28-E28</f>
        <v>-11231992.5995507</v>
      </c>
      <c r="G28" s="69" t="n">
        <f aca="false">F28/C28</f>
        <v>-0.645322207986263</v>
      </c>
    </row>
    <row r="29" customFormat="false" ht="15" hidden="false" customHeight="true" outlineLevel="0" collapsed="false">
      <c r="A29" s="90" t="n">
        <v>46966</v>
      </c>
      <c r="B29" s="73" t="s">
        <v>157</v>
      </c>
      <c r="C29" s="68" t="n">
        <f aca="false">'Income Forecast'!M38</f>
        <v>20686301.616689</v>
      </c>
      <c r="D29" s="68" t="n">
        <f aca="false">'Staff Cost Forecast'!E35</f>
        <v>19729056.3416663</v>
      </c>
      <c r="E29" s="68" t="n">
        <f aca="false">'Opex Forecast'!K41</f>
        <v>10910569.4227856</v>
      </c>
      <c r="F29" s="70" t="n">
        <f aca="false">C29-D29-E29</f>
        <v>-9953324.1477629</v>
      </c>
      <c r="G29" s="69" t="n">
        <f aca="false">F29/C29</f>
        <v>-0.48115532356605</v>
      </c>
    </row>
    <row r="30" customFormat="false" ht="15" hidden="false" customHeight="true" outlineLevel="0" collapsed="false">
      <c r="A30" s="90" t="n">
        <v>46997</v>
      </c>
      <c r="B30" s="73" t="s">
        <v>157</v>
      </c>
      <c r="C30" s="68" t="n">
        <f aca="false">'Income Forecast'!M39</f>
        <v>42144144.7911329</v>
      </c>
      <c r="D30" s="68" t="n">
        <f aca="false">'Staff Cost Forecast'!E36</f>
        <v>19729056.3416663</v>
      </c>
      <c r="E30" s="68" t="n">
        <f aca="false">'Opex Forecast'!K42</f>
        <v>9875002.93566637</v>
      </c>
      <c r="F30" s="70" t="n">
        <f aca="false">C30-D30-E30</f>
        <v>12540085.5138002</v>
      </c>
      <c r="G30" s="69" t="n">
        <f aca="false">F30/C30</f>
        <v>0.297552259654316</v>
      </c>
    </row>
    <row r="31" customFormat="false" ht="15" hidden="false" customHeight="true" outlineLevel="0" collapsed="false">
      <c r="A31" s="90" t="n">
        <v>47027</v>
      </c>
      <c r="B31" s="73" t="s">
        <v>157</v>
      </c>
      <c r="C31" s="68" t="n">
        <f aca="false">'Income Forecast'!M40</f>
        <v>38080284.6962339</v>
      </c>
      <c r="D31" s="68" t="n">
        <f aca="false">'Staff Cost Forecast'!E37</f>
        <v>19729056.3416663</v>
      </c>
      <c r="E31" s="68" t="n">
        <f aca="false">'Opex Forecast'!K43</f>
        <v>8946809.52235762</v>
      </c>
      <c r="F31" s="70" t="n">
        <f aca="false">C31-D31-E31</f>
        <v>9404418.83220999</v>
      </c>
      <c r="G31" s="69" t="n">
        <f aca="false">F31/C31</f>
        <v>0.24696293389687</v>
      </c>
    </row>
    <row r="32" customFormat="false" ht="15" hidden="false" customHeight="true" outlineLevel="0" collapsed="false">
      <c r="A32" s="90" t="n">
        <v>47058</v>
      </c>
      <c r="B32" s="73" t="s">
        <v>157</v>
      </c>
      <c r="C32" s="68" t="n">
        <f aca="false">'Income Forecast'!M41</f>
        <v>37790651.2109565</v>
      </c>
      <c r="D32" s="68" t="n">
        <f aca="false">'Staff Cost Forecast'!E38</f>
        <v>19729056.3416663</v>
      </c>
      <c r="E32" s="68" t="n">
        <f aca="false">'Opex Forecast'!K44</f>
        <v>9486233.01241762</v>
      </c>
      <c r="F32" s="70" t="n">
        <f aca="false">C32-D32-E32</f>
        <v>8575361.85687258</v>
      </c>
      <c r="G32" s="69" t="n">
        <f aca="false">F32/C32</f>
        <v>0.226917546591162</v>
      </c>
    </row>
    <row r="33" customFormat="false" ht="15" hidden="false" customHeight="true" outlineLevel="0" collapsed="false">
      <c r="A33" s="90" t="n">
        <v>47088</v>
      </c>
      <c r="B33" s="73" t="s">
        <v>157</v>
      </c>
      <c r="C33" s="68" t="n">
        <f aca="false">'Income Forecast'!M42</f>
        <v>31767300.3377779</v>
      </c>
      <c r="D33" s="68" t="n">
        <f aca="false">'Staff Cost Forecast'!E39</f>
        <v>19729056.3416663</v>
      </c>
      <c r="E33" s="68" t="n">
        <f aca="false">'Opex Forecast'!K45</f>
        <v>10704021.4082947</v>
      </c>
      <c r="F33" s="70" t="n">
        <f aca="false">C33-D33-E33</f>
        <v>1334222.58781686</v>
      </c>
      <c r="G33" s="69" t="n">
        <f aca="false">F33/C33</f>
        <v>0.0419998732542657</v>
      </c>
    </row>
    <row r="34" customFormat="false" ht="15" hidden="false" customHeight="true" outlineLevel="0" collapsed="false">
      <c r="A34" s="90" t="n">
        <v>47119</v>
      </c>
      <c r="B34" s="73" t="s">
        <v>157</v>
      </c>
      <c r="C34" s="68" t="n">
        <f aca="false">'Income Forecast'!M43</f>
        <v>30961116.9414734</v>
      </c>
      <c r="D34" s="68" t="n">
        <f aca="false">'Staff Cost Forecast'!E40</f>
        <v>19729056.3416663</v>
      </c>
      <c r="E34" s="68" t="n">
        <f aca="false">'Opex Forecast'!K46</f>
        <v>10233564.2960614</v>
      </c>
      <c r="F34" s="70" t="n">
        <f aca="false">C34-D34-E34</f>
        <v>998496.303745793</v>
      </c>
      <c r="G34" s="69" t="n">
        <f aca="false">F34/C34</f>
        <v>0.0322500091205778</v>
      </c>
    </row>
    <row r="35" customFormat="false" ht="15" hidden="false" customHeight="true" outlineLevel="0" collapsed="false">
      <c r="A35" s="90" t="n">
        <v>47150</v>
      </c>
      <c r="B35" s="73" t="s">
        <v>157</v>
      </c>
      <c r="C35" s="68" t="n">
        <f aca="false">'Income Forecast'!M44</f>
        <v>32160172.9591975</v>
      </c>
      <c r="D35" s="68" t="n">
        <f aca="false">'Staff Cost Forecast'!E41</f>
        <v>19729056.3416663</v>
      </c>
      <c r="E35" s="68" t="n">
        <f aca="false">'Opex Forecast'!K47</f>
        <v>10715779.270305</v>
      </c>
      <c r="F35" s="70" t="n">
        <f aca="false">C35-D35-E35</f>
        <v>1715337.34722623</v>
      </c>
      <c r="G35" s="69" t="n">
        <f aca="false">F35/C35</f>
        <v>0.0533373172278187</v>
      </c>
    </row>
    <row r="36" customFormat="false" ht="15" hidden="false" customHeight="true" outlineLevel="0" collapsed="false">
      <c r="A36" s="90" t="n">
        <v>47178</v>
      </c>
      <c r="B36" s="73" t="s">
        <v>157</v>
      </c>
      <c r="C36" s="68" t="n">
        <f aca="false">'Income Forecast'!M45</f>
        <v>27359279.428576</v>
      </c>
      <c r="D36" s="68" t="n">
        <f aca="false">'Staff Cost Forecast'!E42</f>
        <v>19729056.3416663</v>
      </c>
      <c r="E36" s="68" t="n">
        <f aca="false">'Opex Forecast'!K48</f>
        <v>9158929.02627862</v>
      </c>
      <c r="F36" s="70" t="n">
        <f aca="false">C36-D36-E36</f>
        <v>-1528705.93936889</v>
      </c>
      <c r="G36" s="69" t="n">
        <f aca="false">F36/C36</f>
        <v>-0.055875226661569</v>
      </c>
    </row>
    <row r="37" customFormat="false" ht="15" hidden="false" customHeight="true" outlineLevel="0" collapsed="false">
      <c r="A37" s="90" t="n">
        <v>47209</v>
      </c>
      <c r="B37" s="73" t="s">
        <v>157</v>
      </c>
      <c r="C37" s="68" t="n">
        <f aca="false">'Income Forecast'!M46</f>
        <v>25984408.5563771</v>
      </c>
      <c r="D37" s="68" t="n">
        <f aca="false">'Staff Cost Forecast'!E43</f>
        <v>19729056.3416663</v>
      </c>
      <c r="E37" s="68" t="n">
        <f aca="false">'Opex Forecast'!K49</f>
        <v>8621918.50623862</v>
      </c>
      <c r="F37" s="70" t="n">
        <f aca="false">C37-D37-E37</f>
        <v>-2366566.29152785</v>
      </c>
      <c r="G37" s="69" t="n">
        <f aca="false">F37/C37</f>
        <v>-0.091076396308703</v>
      </c>
    </row>
    <row r="38" customFormat="false" ht="15" hidden="false" customHeight="true" outlineLevel="0" collapsed="false">
      <c r="A38" s="90" t="n">
        <v>47239</v>
      </c>
      <c r="B38" s="73" t="s">
        <v>157</v>
      </c>
      <c r="C38" s="68" t="n">
        <f aca="false">'Income Forecast'!M47</f>
        <v>27596568.5122948</v>
      </c>
      <c r="D38" s="68" t="n">
        <f aca="false">'Staff Cost Forecast'!E44</f>
        <v>19729056.3416663</v>
      </c>
      <c r="E38" s="68" t="n">
        <f aca="false">'Opex Forecast'!K50</f>
        <v>8782478.19410062</v>
      </c>
      <c r="F38" s="70" t="n">
        <f aca="false">C38-D38-E38</f>
        <v>-914966.023472065</v>
      </c>
      <c r="G38" s="69" t="n">
        <f aca="false">F38/C38</f>
        <v>-0.0331550650242775</v>
      </c>
    </row>
    <row r="39" customFormat="false" ht="15" hidden="false" customHeight="true" outlineLevel="0" collapsed="false">
      <c r="A39" s="90" t="n">
        <v>47270</v>
      </c>
      <c r="B39" s="73" t="s">
        <v>157</v>
      </c>
      <c r="C39" s="68" t="n">
        <f aca="false">'Income Forecast'!M48</f>
        <v>22574159.7751506</v>
      </c>
      <c r="D39" s="68" t="n">
        <f aca="false">'Staff Cost Forecast'!E45</f>
        <v>19729056.3416663</v>
      </c>
      <c r="E39" s="68" t="n">
        <f aca="false">'Opex Forecast'!K51</f>
        <v>9552524.88956737</v>
      </c>
      <c r="F39" s="70" t="n">
        <f aca="false">C39-D39-E39</f>
        <v>-6707421.45608309</v>
      </c>
      <c r="G39" s="69" t="n">
        <f aca="false">F39/C39</f>
        <v>-0.297128288401084</v>
      </c>
    </row>
    <row r="40" customFormat="false" ht="15" hidden="false" customHeight="true" outlineLevel="0" collapsed="false">
      <c r="A40" s="90" t="n">
        <v>47300</v>
      </c>
      <c r="B40" s="73" t="s">
        <v>157</v>
      </c>
      <c r="C40" s="68" t="n">
        <f aca="false">'Income Forecast'!M49</f>
        <v>18330389.1114224</v>
      </c>
      <c r="D40" s="68" t="n">
        <f aca="false">'Staff Cost Forecast'!E46</f>
        <v>19729056.3416663</v>
      </c>
      <c r="E40" s="68" t="n">
        <f aca="false">'Opex Forecast'!K52</f>
        <v>10358192.4729221</v>
      </c>
      <c r="F40" s="70" t="n">
        <f aca="false">C40-D40-E40</f>
        <v>-11756859.703166</v>
      </c>
      <c r="G40" s="69" t="n">
        <f aca="false">F40/C40</f>
        <v>-0.64138625927149</v>
      </c>
    </row>
    <row r="42" customFormat="false" ht="15" hidden="false" customHeight="true" outlineLevel="0" collapsed="false">
      <c r="A42" s="65" t="s">
        <v>67</v>
      </c>
      <c r="B42" s="65"/>
      <c r="C42" s="65"/>
      <c r="D42" s="65"/>
      <c r="E42" s="65"/>
      <c r="F42" s="65"/>
      <c r="G42" s="65"/>
    </row>
    <row r="43" customFormat="false" ht="30" hidden="false" customHeight="true" outlineLevel="0" collapsed="false">
      <c r="A43" s="66" t="s">
        <v>2</v>
      </c>
      <c r="B43" s="66" t="s">
        <v>36</v>
      </c>
      <c r="C43" s="66" t="s">
        <v>43</v>
      </c>
      <c r="D43" s="66" t="s">
        <v>63</v>
      </c>
      <c r="E43" s="66" t="s">
        <v>65</v>
      </c>
      <c r="F43" s="66" t="s">
        <v>66</v>
      </c>
      <c r="G43" s="66" t="s">
        <v>259</v>
      </c>
    </row>
    <row r="44" customFormat="false" ht="15" hidden="false" customHeight="true" outlineLevel="0" collapsed="false">
      <c r="A44" s="67" t="s">
        <v>229</v>
      </c>
      <c r="B44" s="68" t="n">
        <f aca="false">'Income Statement'!B47</f>
        <v>311589107.5</v>
      </c>
      <c r="C44" s="68" t="n">
        <f aca="false">'Income Statement'!C47</f>
        <v>198699996</v>
      </c>
      <c r="D44" s="68" t="n">
        <f aca="false">'Income Statement'!D47</f>
        <v>105500000.030192</v>
      </c>
      <c r="E44" s="70" t="n">
        <f aca="false">'Income Statement'!E47</f>
        <v>7389111.46980844</v>
      </c>
      <c r="F44" s="69" t="n">
        <f aca="false">'Income Statement'!F47</f>
        <v>0.0237142804159431</v>
      </c>
      <c r="G44" s="69"/>
    </row>
    <row r="45" customFormat="false" ht="15" hidden="false" customHeight="true" outlineLevel="0" collapsed="false">
      <c r="A45" s="67" t="s">
        <v>155</v>
      </c>
      <c r="B45" s="68" t="n">
        <f aca="false">SUM(C5:C16)</f>
        <v>322545847.3025</v>
      </c>
      <c r="C45" s="68" t="n">
        <f aca="false">SUM(D5:D16)</f>
        <v>211091865.7776</v>
      </c>
      <c r="D45" s="68" t="n">
        <f aca="false">SUM(E5:E16)</f>
        <v>109454999.97</v>
      </c>
      <c r="E45" s="70" t="n">
        <f aca="false">B45-C45-D45</f>
        <v>1998981.55490001</v>
      </c>
      <c r="F45" s="69" t="n">
        <f aca="false">E45/B45</f>
        <v>0.00619751136657871</v>
      </c>
      <c r="G45" s="69" t="n">
        <f aca="false">B45/B44-1</f>
        <v>0.0351640655554688</v>
      </c>
    </row>
    <row r="46" customFormat="false" ht="15" hidden="false" customHeight="true" outlineLevel="0" collapsed="false">
      <c r="A46" s="67" t="s">
        <v>156</v>
      </c>
      <c r="B46" s="68" t="n">
        <f aca="false">SUM(C17:C28)</f>
        <v>336753718.755395</v>
      </c>
      <c r="C46" s="68" t="n">
        <f aca="false">SUM(D17:D28)</f>
        <v>223551893.254835</v>
      </c>
      <c r="D46" s="68" t="n">
        <f aca="false">SUM(E17:E28)</f>
        <v>113377799.95845</v>
      </c>
      <c r="E46" s="70" t="n">
        <f aca="false">B46-C46-D46</f>
        <v>-175974.45788911</v>
      </c>
      <c r="F46" s="69" t="n">
        <f aca="false">E46/B46</f>
        <v>-0.000522561290605764</v>
      </c>
      <c r="G46" s="69" t="n">
        <f aca="false">B46/B45-1</f>
        <v>0.0440491532342393</v>
      </c>
    </row>
    <row r="47" customFormat="false" ht="15" hidden="false" customHeight="true" outlineLevel="0" collapsed="false">
      <c r="A47" s="67" t="s">
        <v>157</v>
      </c>
      <c r="B47" s="68" t="n">
        <f aca="false">SUM(C29:C40)</f>
        <v>355434777.937282</v>
      </c>
      <c r="C47" s="68" t="n">
        <f aca="false">SUM(D29:D40)</f>
        <v>236748676.099995</v>
      </c>
      <c r="D47" s="68" t="n">
        <f aca="false">SUM(E29:E40)</f>
        <v>117346022.956996</v>
      </c>
      <c r="E47" s="70" t="n">
        <f aca="false">B47-C47-D47</f>
        <v>1340078.88029084</v>
      </c>
      <c r="F47" s="69" t="n">
        <f aca="false">E47/B47</f>
        <v>0.00377025255679201</v>
      </c>
      <c r="G47" s="69" t="n">
        <f aca="false">B47/B46-1</f>
        <v>0.0554739506691406</v>
      </c>
    </row>
    <row r="49" customFormat="false" ht="23.25" hidden="false" customHeight="true" outlineLevel="0" collapsed="false">
      <c r="A49" s="79" t="s">
        <v>260</v>
      </c>
      <c r="B49" s="79"/>
      <c r="C49" s="79"/>
      <c r="D49" s="79"/>
      <c r="E49" s="79"/>
      <c r="F49" s="79"/>
      <c r="G49" s="79"/>
    </row>
  </sheetData>
  <mergeCells count="4">
    <mergeCell ref="A1:G1"/>
    <mergeCell ref="A2:G2"/>
    <mergeCell ref="A42:G42"/>
    <mergeCell ref="A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8"/>
    <col collapsed="false" customWidth="true" hidden="false" outlineLevel="0" max="4" min="4" style="1" width="24"/>
    <col collapsed="false" customWidth="true" hidden="false" outlineLevel="0" max="6" min="5" style="1" width="18"/>
  </cols>
  <sheetData>
    <row r="1" customFormat="false" ht="21.75" hidden="false" customHeight="true" outlineLevel="0" collapsed="false">
      <c r="A1" s="16" t="s">
        <v>261</v>
      </c>
      <c r="B1" s="16"/>
      <c r="C1" s="16"/>
      <c r="D1" s="16"/>
      <c r="E1" s="16"/>
      <c r="F1" s="16"/>
    </row>
    <row r="2" customFormat="false" ht="33.75" hidden="false" customHeight="true" outlineLevel="0" collapsed="false">
      <c r="A2" s="64" t="s">
        <v>262</v>
      </c>
      <c r="B2" s="64"/>
      <c r="C2" s="64"/>
      <c r="D2" s="64"/>
      <c r="E2" s="64"/>
      <c r="F2" s="64"/>
    </row>
    <row r="4" customFormat="false" ht="30" hidden="false" customHeight="true" outlineLevel="0" collapsed="false">
      <c r="A4" s="66" t="s">
        <v>1</v>
      </c>
      <c r="B4" s="66" t="s">
        <v>2</v>
      </c>
      <c r="C4" s="66" t="s">
        <v>70</v>
      </c>
      <c r="D4" s="66" t="s">
        <v>65</v>
      </c>
      <c r="E4" s="66" t="s">
        <v>71</v>
      </c>
      <c r="F4" s="66" t="s">
        <v>72</v>
      </c>
    </row>
    <row r="5" customFormat="false" ht="15" hidden="false" customHeight="true" outlineLevel="0" collapsed="false">
      <c r="A5" s="90" t="n">
        <v>46235</v>
      </c>
      <c r="B5" s="73" t="s">
        <v>155</v>
      </c>
      <c r="C5" s="68" t="n">
        <f aca="false">'Forecast Assumptions'!B63</f>
        <v>48027183.2886224</v>
      </c>
      <c r="D5" s="68" t="n">
        <f aca="false">'Forecast Income Statement'!F5</f>
        <v>-8671289.85813334</v>
      </c>
      <c r="E5" s="68" t="n">
        <f aca="false">'Forecast Assumptions'!B62/12</f>
        <v>875000</v>
      </c>
      <c r="F5" s="91" t="n">
        <f aca="false">C5+D5-E5</f>
        <v>38480893.4304891</v>
      </c>
    </row>
    <row r="6" customFormat="false" ht="15" hidden="false" customHeight="true" outlineLevel="0" collapsed="false">
      <c r="A6" s="90" t="n">
        <v>46266</v>
      </c>
      <c r="B6" s="73" t="s">
        <v>155</v>
      </c>
      <c r="C6" s="68" t="n">
        <f aca="false">F5</f>
        <v>38480893.4304891</v>
      </c>
      <c r="D6" s="68" t="n">
        <f aca="false">'Forecast Income Statement'!F6</f>
        <v>11054730.4435333</v>
      </c>
      <c r="E6" s="68" t="n">
        <f aca="false">'Forecast Assumptions'!B62/12</f>
        <v>875000</v>
      </c>
      <c r="F6" s="91" t="n">
        <f aca="false">C6+D6-E6</f>
        <v>48660623.8740224</v>
      </c>
    </row>
    <row r="7" customFormat="false" ht="15" hidden="false" customHeight="true" outlineLevel="0" collapsed="false">
      <c r="A7" s="90" t="n">
        <v>46296</v>
      </c>
      <c r="B7" s="73" t="s">
        <v>155</v>
      </c>
      <c r="C7" s="68" t="n">
        <f aca="false">F6</f>
        <v>48660623.8740224</v>
      </c>
      <c r="D7" s="68" t="n">
        <f aca="false">'Forecast Income Statement'!F7</f>
        <v>8343210.1877</v>
      </c>
      <c r="E7" s="68" t="n">
        <f aca="false">'Forecast Assumptions'!B62/12</f>
        <v>875000</v>
      </c>
      <c r="F7" s="91" t="n">
        <f aca="false">C7+D7-E7</f>
        <v>56128834.0617224</v>
      </c>
    </row>
    <row r="8" customFormat="false" ht="15" hidden="false" customHeight="true" outlineLevel="0" collapsed="false">
      <c r="A8" s="90" t="n">
        <v>46327</v>
      </c>
      <c r="B8" s="73" t="s">
        <v>155</v>
      </c>
      <c r="C8" s="68" t="n">
        <f aca="false">F7</f>
        <v>56128834.0617224</v>
      </c>
      <c r="D8" s="68" t="n">
        <f aca="false">'Forecast Income Statement'!F8</f>
        <v>7916498.9877</v>
      </c>
      <c r="E8" s="68" t="n">
        <f aca="false">'Forecast Assumptions'!B62/12</f>
        <v>875000</v>
      </c>
      <c r="F8" s="91" t="n">
        <f aca="false">C8+D8-E8</f>
        <v>63170333.0494224</v>
      </c>
    </row>
    <row r="9" customFormat="false" ht="15" hidden="false" customHeight="true" outlineLevel="0" collapsed="false">
      <c r="A9" s="90" t="n">
        <v>46357</v>
      </c>
      <c r="B9" s="73" t="s">
        <v>155</v>
      </c>
      <c r="C9" s="68" t="n">
        <f aca="false">F8</f>
        <v>63170333.0494224</v>
      </c>
      <c r="D9" s="68" t="n">
        <f aca="false">'Forecast Income Statement'!F9</f>
        <v>1122344.9077</v>
      </c>
      <c r="E9" s="68" t="n">
        <f aca="false">'Forecast Assumptions'!B62/12</f>
        <v>875000</v>
      </c>
      <c r="F9" s="91" t="n">
        <f aca="false">C9+D9-E9</f>
        <v>63417677.9571224</v>
      </c>
    </row>
    <row r="10" customFormat="false" ht="15" hidden="false" customHeight="true" outlineLevel="0" collapsed="false">
      <c r="A10" s="90" t="n">
        <v>46388</v>
      </c>
      <c r="B10" s="73" t="s">
        <v>155</v>
      </c>
      <c r="C10" s="68" t="n">
        <f aca="false">F9</f>
        <v>63417677.9571224</v>
      </c>
      <c r="D10" s="68" t="n">
        <f aca="false">'Forecast Income Statement'!F10</f>
        <v>849011.071033331</v>
      </c>
      <c r="E10" s="68" t="n">
        <f aca="false">'Forecast Assumptions'!B62/12</f>
        <v>875000</v>
      </c>
      <c r="F10" s="91" t="n">
        <f aca="false">C10+D10-E10</f>
        <v>63391689.0281557</v>
      </c>
    </row>
    <row r="11" customFormat="false" ht="15" hidden="false" customHeight="true" outlineLevel="0" collapsed="false">
      <c r="A11" s="90" t="n">
        <v>46419</v>
      </c>
      <c r="B11" s="73" t="s">
        <v>155</v>
      </c>
      <c r="C11" s="68" t="n">
        <f aca="false">F10</f>
        <v>63391689.0281557</v>
      </c>
      <c r="D11" s="68" t="n">
        <f aca="false">'Forecast Income Statement'!F11</f>
        <v>1793994.63936667</v>
      </c>
      <c r="E11" s="68" t="n">
        <f aca="false">'Forecast Assumptions'!B62/12</f>
        <v>875000</v>
      </c>
      <c r="F11" s="91" t="n">
        <f aca="false">C11+D11-E11</f>
        <v>64310683.6675224</v>
      </c>
    </row>
    <row r="12" customFormat="false" ht="15" hidden="false" customHeight="true" outlineLevel="0" collapsed="false">
      <c r="A12" s="90" t="n">
        <v>46447</v>
      </c>
      <c r="B12" s="73" t="s">
        <v>155</v>
      </c>
      <c r="C12" s="68" t="n">
        <f aca="false">F11</f>
        <v>64310683.6675224</v>
      </c>
      <c r="D12" s="68" t="n">
        <f aca="false">'Forecast Income Statement'!F12</f>
        <v>-1337342.61146667</v>
      </c>
      <c r="E12" s="68" t="n">
        <f aca="false">'Forecast Assumptions'!B62/12</f>
        <v>875000</v>
      </c>
      <c r="F12" s="91" t="n">
        <f aca="false">C12+D12-E12</f>
        <v>62098341.0560557</v>
      </c>
    </row>
    <row r="13" customFormat="false" ht="15" hidden="false" customHeight="true" outlineLevel="0" collapsed="false">
      <c r="A13" s="90" t="n">
        <v>46478</v>
      </c>
      <c r="B13" s="73" t="s">
        <v>155</v>
      </c>
      <c r="C13" s="68" t="n">
        <f aca="false">F12</f>
        <v>62098341.0560557</v>
      </c>
      <c r="D13" s="68" t="n">
        <f aca="false">'Forecast Income Statement'!F13</f>
        <v>-2056013.07396667</v>
      </c>
      <c r="E13" s="68" t="n">
        <f aca="false">'Forecast Assumptions'!B62/12</f>
        <v>875000</v>
      </c>
      <c r="F13" s="91" t="n">
        <f aca="false">C13+D13-E13</f>
        <v>59167327.982089</v>
      </c>
    </row>
    <row r="14" customFormat="false" ht="15" hidden="false" customHeight="true" outlineLevel="0" collapsed="false">
      <c r="A14" s="90" t="n">
        <v>46508</v>
      </c>
      <c r="B14" s="73" t="s">
        <v>155</v>
      </c>
      <c r="C14" s="68" t="n">
        <f aca="false">F13</f>
        <v>59167327.982089</v>
      </c>
      <c r="D14" s="68" t="n">
        <f aca="false">'Forecast Income Statement'!F14</f>
        <v>-470675.8423</v>
      </c>
      <c r="E14" s="68" t="n">
        <f aca="false">'Forecast Assumptions'!B62/12</f>
        <v>875000</v>
      </c>
      <c r="F14" s="91" t="n">
        <f aca="false">C14+D14-E14</f>
        <v>57821652.139789</v>
      </c>
    </row>
    <row r="15" customFormat="false" ht="15" hidden="false" customHeight="true" outlineLevel="0" collapsed="false">
      <c r="A15" s="90" t="n">
        <v>46539</v>
      </c>
      <c r="B15" s="73" t="s">
        <v>155</v>
      </c>
      <c r="C15" s="68" t="n">
        <f aca="false">F14</f>
        <v>57821652.139789</v>
      </c>
      <c r="D15" s="68" t="n">
        <f aca="false">'Forecast Income Statement'!F15</f>
        <v>-6009281.9623</v>
      </c>
      <c r="E15" s="68" t="n">
        <f aca="false">'Forecast Assumptions'!B62/12</f>
        <v>875000</v>
      </c>
      <c r="F15" s="91" t="n">
        <f aca="false">C15+D15-E15</f>
        <v>50937370.177489</v>
      </c>
    </row>
    <row r="16" customFormat="false" ht="15" hidden="false" customHeight="true" outlineLevel="0" collapsed="false">
      <c r="A16" s="90" t="n">
        <v>46569</v>
      </c>
      <c r="B16" s="73" t="s">
        <v>155</v>
      </c>
      <c r="C16" s="68" t="n">
        <f aca="false">F15</f>
        <v>50937370.177489</v>
      </c>
      <c r="D16" s="68" t="n">
        <f aca="false">'Forecast Income Statement'!F16</f>
        <v>-10536205.3339667</v>
      </c>
      <c r="E16" s="68" t="n">
        <f aca="false">'Forecast Assumptions'!B62/12</f>
        <v>875000</v>
      </c>
      <c r="F16" s="91" t="n">
        <f aca="false">C16+D16-E16</f>
        <v>39526164.8435224</v>
      </c>
    </row>
    <row r="17" customFormat="false" ht="15" hidden="false" customHeight="true" outlineLevel="0" collapsed="false">
      <c r="A17" s="90" t="n">
        <v>46600</v>
      </c>
      <c r="B17" s="73" t="s">
        <v>156</v>
      </c>
      <c r="C17" s="68" t="n">
        <f aca="false">F16</f>
        <v>39526164.8435224</v>
      </c>
      <c r="D17" s="68" t="n">
        <f aca="false">'Forecast Income Statement'!F17</f>
        <v>-9413239.63212931</v>
      </c>
      <c r="E17" s="68" t="n">
        <f aca="false">'Forecast Assumptions'!C62/12</f>
        <v>916666.666666667</v>
      </c>
      <c r="F17" s="91" t="n">
        <f aca="false">C17+D17-E17</f>
        <v>29196258.5447264</v>
      </c>
    </row>
    <row r="18" customFormat="false" ht="15" hidden="false" customHeight="true" outlineLevel="0" collapsed="false">
      <c r="A18" s="90" t="n">
        <v>46631</v>
      </c>
      <c r="B18" s="73" t="s">
        <v>156</v>
      </c>
      <c r="C18" s="68" t="n">
        <f aca="false">F17</f>
        <v>29196258.5447264</v>
      </c>
      <c r="D18" s="68" t="n">
        <f aca="false">'Forecast Income Statement'!F18</f>
        <v>11600445.8755887</v>
      </c>
      <c r="E18" s="68" t="n">
        <f aca="false">'Forecast Assumptions'!C62/12</f>
        <v>916666.666666667</v>
      </c>
      <c r="F18" s="91" t="n">
        <f aca="false">C18+D18-E18</f>
        <v>39880037.7536484</v>
      </c>
    </row>
    <row r="19" customFormat="false" ht="15" hidden="false" customHeight="true" outlineLevel="0" collapsed="false">
      <c r="A19" s="90" t="n">
        <v>46661</v>
      </c>
      <c r="B19" s="73" t="s">
        <v>156</v>
      </c>
      <c r="C19" s="68" t="n">
        <f aca="false">F18</f>
        <v>39880037.7536484</v>
      </c>
      <c r="D19" s="68" t="n">
        <f aca="false">'Forecast Income Statement'!F19</f>
        <v>8688800.09008982</v>
      </c>
      <c r="E19" s="68" t="n">
        <f aca="false">'Forecast Assumptions'!C62/12</f>
        <v>916666.666666667</v>
      </c>
      <c r="F19" s="91" t="n">
        <f aca="false">C19+D19-E19</f>
        <v>47652171.1770716</v>
      </c>
    </row>
    <row r="20" customFormat="false" ht="15" hidden="false" customHeight="true" outlineLevel="0" collapsed="false">
      <c r="A20" s="90" t="n">
        <v>46692</v>
      </c>
      <c r="B20" s="73" t="s">
        <v>156</v>
      </c>
      <c r="C20" s="68" t="n">
        <f aca="false">F19</f>
        <v>47652171.1770716</v>
      </c>
      <c r="D20" s="68" t="n">
        <f aca="false">'Forecast Income Statement'!F20</f>
        <v>8055465.59568719</v>
      </c>
      <c r="E20" s="68" t="n">
        <f aca="false">'Forecast Assumptions'!C62/12</f>
        <v>916666.666666667</v>
      </c>
      <c r="F20" s="91" t="n">
        <f aca="false">C20+D20-E20</f>
        <v>54790970.1060921</v>
      </c>
    </row>
    <row r="21" customFormat="false" ht="15" hidden="false" customHeight="true" outlineLevel="0" collapsed="false">
      <c r="A21" s="90" t="n">
        <v>46722</v>
      </c>
      <c r="B21" s="73" t="s">
        <v>156</v>
      </c>
      <c r="C21" s="68" t="n">
        <f aca="false">F20</f>
        <v>54790970.1060921</v>
      </c>
      <c r="D21" s="68" t="n">
        <f aca="false">'Forecast Income Statement'!F21</f>
        <v>1062560.63145858</v>
      </c>
      <c r="E21" s="68" t="n">
        <f aca="false">'Forecast Assumptions'!C62/12</f>
        <v>916666.666666667</v>
      </c>
      <c r="F21" s="91" t="n">
        <f aca="false">C21+D21-E21</f>
        <v>54936864.070884</v>
      </c>
    </row>
    <row r="22" customFormat="false" ht="15" hidden="false" customHeight="true" outlineLevel="0" collapsed="false">
      <c r="A22" s="90" t="n">
        <v>46753</v>
      </c>
      <c r="B22" s="73" t="s">
        <v>156</v>
      </c>
      <c r="C22" s="68" t="n">
        <f aca="false">F21</f>
        <v>54936864.070884</v>
      </c>
      <c r="D22" s="68" t="n">
        <f aca="false">'Forecast Income Statement'!F22</f>
        <v>760770.769219657</v>
      </c>
      <c r="E22" s="68" t="n">
        <f aca="false">'Forecast Assumptions'!C62/12</f>
        <v>916666.666666667</v>
      </c>
      <c r="F22" s="91" t="n">
        <f aca="false">C22+D22-E22</f>
        <v>54780968.173437</v>
      </c>
    </row>
    <row r="23" customFormat="false" ht="15" hidden="false" customHeight="true" outlineLevel="0" collapsed="false">
      <c r="A23" s="90" t="n">
        <v>46784</v>
      </c>
      <c r="B23" s="73" t="s">
        <v>156</v>
      </c>
      <c r="C23" s="68" t="n">
        <f aca="false">F22</f>
        <v>54780968.173437</v>
      </c>
      <c r="D23" s="68" t="n">
        <f aca="false">'Forecast Income Statement'!F23</f>
        <v>1583932.07771492</v>
      </c>
      <c r="E23" s="68" t="n">
        <f aca="false">'Forecast Assumptions'!C62/12</f>
        <v>916666.666666667</v>
      </c>
      <c r="F23" s="91" t="n">
        <f aca="false">C23+D23-E23</f>
        <v>55448233.5844853</v>
      </c>
    </row>
    <row r="24" customFormat="false" ht="15" hidden="false" customHeight="true" outlineLevel="0" collapsed="false">
      <c r="A24" s="90" t="n">
        <v>46813</v>
      </c>
      <c r="B24" s="73" t="s">
        <v>156</v>
      </c>
      <c r="C24" s="68" t="n">
        <f aca="false">F23</f>
        <v>55448233.5844853</v>
      </c>
      <c r="D24" s="68" t="n">
        <f aca="false">'Forecast Income Statement'!F24</f>
        <v>-1583350.52761567</v>
      </c>
      <c r="E24" s="68" t="n">
        <f aca="false">'Forecast Assumptions'!C62/12</f>
        <v>916666.666666667</v>
      </c>
      <c r="F24" s="91" t="n">
        <f aca="false">C24+D24-E24</f>
        <v>52948216.3902029</v>
      </c>
    </row>
    <row r="25" customFormat="false" ht="15" hidden="false" customHeight="true" outlineLevel="0" collapsed="false">
      <c r="A25" s="90" t="n">
        <v>46844</v>
      </c>
      <c r="B25" s="73" t="s">
        <v>156</v>
      </c>
      <c r="C25" s="68" t="n">
        <f aca="false">F24</f>
        <v>52948216.3902029</v>
      </c>
      <c r="D25" s="68" t="n">
        <f aca="false">'Forecast Income Statement'!F25</f>
        <v>-2355433.82455498</v>
      </c>
      <c r="E25" s="68" t="n">
        <f aca="false">'Forecast Assumptions'!C62/12</f>
        <v>916666.666666667</v>
      </c>
      <c r="F25" s="91" t="n">
        <f aca="false">C25+D25-E25</f>
        <v>49676115.8989813</v>
      </c>
    </row>
    <row r="26" customFormat="false" ht="15" hidden="false" customHeight="true" outlineLevel="0" collapsed="false">
      <c r="A26" s="90" t="n">
        <v>46874</v>
      </c>
      <c r="B26" s="73" t="s">
        <v>156</v>
      </c>
      <c r="C26" s="68" t="n">
        <f aca="false">F25</f>
        <v>49676115.8989813</v>
      </c>
      <c r="D26" s="68" t="n">
        <f aca="false">'Forecast Income Statement'!F26</f>
        <v>-848317.809956374</v>
      </c>
      <c r="E26" s="68" t="n">
        <f aca="false">'Forecast Assumptions'!C62/12</f>
        <v>916666.666666667</v>
      </c>
      <c r="F26" s="91" t="n">
        <f aca="false">C26+D26-E26</f>
        <v>47911131.4223583</v>
      </c>
    </row>
    <row r="27" customFormat="false" ht="15" hidden="false" customHeight="true" outlineLevel="0" collapsed="false">
      <c r="A27" s="90" t="n">
        <v>46905</v>
      </c>
      <c r="B27" s="73" t="s">
        <v>156</v>
      </c>
      <c r="C27" s="68" t="n">
        <f aca="false">F26</f>
        <v>47911131.4223583</v>
      </c>
      <c r="D27" s="68" t="n">
        <f aca="false">'Forecast Income Statement'!F27</f>
        <v>-6495615.10384091</v>
      </c>
      <c r="E27" s="68" t="n">
        <f aca="false">'Forecast Assumptions'!C62/12</f>
        <v>916666.666666667</v>
      </c>
      <c r="F27" s="91" t="n">
        <f aca="false">C27+D27-E27</f>
        <v>40498849.6518507</v>
      </c>
    </row>
    <row r="28" customFormat="false" ht="15" hidden="false" customHeight="true" outlineLevel="0" collapsed="false">
      <c r="A28" s="90" t="n">
        <v>46935</v>
      </c>
      <c r="B28" s="73" t="s">
        <v>156</v>
      </c>
      <c r="C28" s="68" t="n">
        <f aca="false">F27</f>
        <v>40498849.6518507</v>
      </c>
      <c r="D28" s="68" t="n">
        <f aca="false">'Forecast Income Statement'!F28</f>
        <v>-11231992.5995507</v>
      </c>
      <c r="E28" s="68" t="n">
        <f aca="false">'Forecast Assumptions'!C62/12</f>
        <v>916666.666666667</v>
      </c>
      <c r="F28" s="91" t="n">
        <f aca="false">C28+D28-E28</f>
        <v>28350190.3856333</v>
      </c>
    </row>
    <row r="29" customFormat="false" ht="15" hidden="false" customHeight="true" outlineLevel="0" collapsed="false">
      <c r="A29" s="90" t="n">
        <v>46966</v>
      </c>
      <c r="B29" s="73" t="s">
        <v>157</v>
      </c>
      <c r="C29" s="68" t="n">
        <f aca="false">F28</f>
        <v>28350190.3856333</v>
      </c>
      <c r="D29" s="68" t="n">
        <f aca="false">'Forecast Income Statement'!F29</f>
        <v>-9953324.1477629</v>
      </c>
      <c r="E29" s="68" t="n">
        <f aca="false">'Forecast Assumptions'!D62/12</f>
        <v>958333.333333333</v>
      </c>
      <c r="F29" s="91" t="n">
        <f aca="false">C29+D29-E29</f>
        <v>17438532.9045371</v>
      </c>
    </row>
    <row r="30" customFormat="false" ht="15" hidden="false" customHeight="true" outlineLevel="0" collapsed="false">
      <c r="A30" s="90" t="n">
        <v>46997</v>
      </c>
      <c r="B30" s="73" t="s">
        <v>157</v>
      </c>
      <c r="C30" s="68" t="n">
        <f aca="false">F29</f>
        <v>17438532.9045371</v>
      </c>
      <c r="D30" s="68" t="n">
        <f aca="false">'Forecast Income Statement'!F30</f>
        <v>12540085.5138002</v>
      </c>
      <c r="E30" s="68" t="n">
        <f aca="false">'Forecast Assumptions'!D62/12</f>
        <v>958333.333333333</v>
      </c>
      <c r="F30" s="91" t="n">
        <f aca="false">C30+D30-E30</f>
        <v>29020285.085004</v>
      </c>
    </row>
    <row r="31" customFormat="false" ht="15" hidden="false" customHeight="true" outlineLevel="0" collapsed="false">
      <c r="A31" s="90" t="n">
        <v>47027</v>
      </c>
      <c r="B31" s="73" t="s">
        <v>157</v>
      </c>
      <c r="C31" s="68" t="n">
        <f aca="false">F30</f>
        <v>29020285.085004</v>
      </c>
      <c r="D31" s="68" t="n">
        <f aca="false">'Forecast Income Statement'!F31</f>
        <v>9404418.83220999</v>
      </c>
      <c r="E31" s="68" t="n">
        <f aca="false">'Forecast Assumptions'!D62/12</f>
        <v>958333.333333333</v>
      </c>
      <c r="F31" s="91" t="n">
        <f aca="false">C31+D31-E31</f>
        <v>37466370.5838807</v>
      </c>
    </row>
    <row r="32" customFormat="false" ht="15" hidden="false" customHeight="true" outlineLevel="0" collapsed="false">
      <c r="A32" s="90" t="n">
        <v>47058</v>
      </c>
      <c r="B32" s="73" t="s">
        <v>157</v>
      </c>
      <c r="C32" s="68" t="n">
        <f aca="false">F31</f>
        <v>37466370.5838807</v>
      </c>
      <c r="D32" s="68" t="n">
        <f aca="false">'Forecast Income Statement'!F32</f>
        <v>8575361.85687258</v>
      </c>
      <c r="E32" s="68" t="n">
        <f aca="false">'Forecast Assumptions'!D62/12</f>
        <v>958333.333333333</v>
      </c>
      <c r="F32" s="91" t="n">
        <f aca="false">C32+D32-E32</f>
        <v>45083399.1074199</v>
      </c>
    </row>
    <row r="33" customFormat="false" ht="15" hidden="false" customHeight="true" outlineLevel="0" collapsed="false">
      <c r="A33" s="90" t="n">
        <v>47088</v>
      </c>
      <c r="B33" s="73" t="s">
        <v>157</v>
      </c>
      <c r="C33" s="68" t="n">
        <f aca="false">F32</f>
        <v>45083399.1074199</v>
      </c>
      <c r="D33" s="68" t="n">
        <f aca="false">'Forecast Income Statement'!F33</f>
        <v>1334222.58781686</v>
      </c>
      <c r="E33" s="68" t="n">
        <f aca="false">'Forecast Assumptions'!D62/12</f>
        <v>958333.333333333</v>
      </c>
      <c r="F33" s="91" t="n">
        <f aca="false">C33+D33-E33</f>
        <v>45459288.3619034</v>
      </c>
    </row>
    <row r="34" customFormat="false" ht="15" hidden="false" customHeight="true" outlineLevel="0" collapsed="false">
      <c r="A34" s="90" t="n">
        <v>47119</v>
      </c>
      <c r="B34" s="73" t="s">
        <v>157</v>
      </c>
      <c r="C34" s="68" t="n">
        <f aca="false">F33</f>
        <v>45459288.3619034</v>
      </c>
      <c r="D34" s="68" t="n">
        <f aca="false">'Forecast Income Statement'!F34</f>
        <v>998496.303745793</v>
      </c>
      <c r="E34" s="68" t="n">
        <f aca="false">'Forecast Assumptions'!D62/12</f>
        <v>958333.333333333</v>
      </c>
      <c r="F34" s="91" t="n">
        <f aca="false">C34+D34-E34</f>
        <v>45499451.3323159</v>
      </c>
    </row>
    <row r="35" customFormat="false" ht="15" hidden="false" customHeight="true" outlineLevel="0" collapsed="false">
      <c r="A35" s="90" t="n">
        <v>47150</v>
      </c>
      <c r="B35" s="73" t="s">
        <v>157</v>
      </c>
      <c r="C35" s="68" t="n">
        <f aca="false">F34</f>
        <v>45499451.3323159</v>
      </c>
      <c r="D35" s="68" t="n">
        <f aca="false">'Forecast Income Statement'!F35</f>
        <v>1715337.34722623</v>
      </c>
      <c r="E35" s="68" t="n">
        <f aca="false">'Forecast Assumptions'!D62/12</f>
        <v>958333.333333333</v>
      </c>
      <c r="F35" s="91" t="n">
        <f aca="false">C35+D35-E35</f>
        <v>46256455.3462088</v>
      </c>
    </row>
    <row r="36" customFormat="false" ht="15" hidden="false" customHeight="true" outlineLevel="0" collapsed="false">
      <c r="A36" s="90" t="n">
        <v>47178</v>
      </c>
      <c r="B36" s="73" t="s">
        <v>157</v>
      </c>
      <c r="C36" s="68" t="n">
        <f aca="false">F35</f>
        <v>46256455.3462088</v>
      </c>
      <c r="D36" s="68" t="n">
        <f aca="false">'Forecast Income Statement'!F36</f>
        <v>-1528705.93936889</v>
      </c>
      <c r="E36" s="68" t="n">
        <f aca="false">'Forecast Assumptions'!D62/12</f>
        <v>958333.333333333</v>
      </c>
      <c r="F36" s="91" t="n">
        <f aca="false">C36+D36-E36</f>
        <v>43769416.0735066</v>
      </c>
    </row>
    <row r="37" customFormat="false" ht="15" hidden="false" customHeight="true" outlineLevel="0" collapsed="false">
      <c r="A37" s="90" t="n">
        <v>47209</v>
      </c>
      <c r="B37" s="73" t="s">
        <v>157</v>
      </c>
      <c r="C37" s="68" t="n">
        <f aca="false">F36</f>
        <v>43769416.0735066</v>
      </c>
      <c r="D37" s="68" t="n">
        <f aca="false">'Forecast Income Statement'!F37</f>
        <v>-2366566.29152785</v>
      </c>
      <c r="E37" s="68" t="n">
        <f aca="false">'Forecast Assumptions'!D62/12</f>
        <v>958333.333333333</v>
      </c>
      <c r="F37" s="91" t="n">
        <f aca="false">C37+D37-E37</f>
        <v>40444516.4486454</v>
      </c>
    </row>
    <row r="38" customFormat="false" ht="15" hidden="false" customHeight="true" outlineLevel="0" collapsed="false">
      <c r="A38" s="90" t="n">
        <v>47239</v>
      </c>
      <c r="B38" s="73" t="s">
        <v>157</v>
      </c>
      <c r="C38" s="68" t="n">
        <f aca="false">F37</f>
        <v>40444516.4486454</v>
      </c>
      <c r="D38" s="68" t="n">
        <f aca="false">'Forecast Income Statement'!F38</f>
        <v>-914966.023472065</v>
      </c>
      <c r="E38" s="68" t="n">
        <f aca="false">'Forecast Assumptions'!D62/12</f>
        <v>958333.333333333</v>
      </c>
      <c r="F38" s="91" t="n">
        <f aca="false">C38+D38-E38</f>
        <v>38571217.09184</v>
      </c>
    </row>
    <row r="39" customFormat="false" ht="15" hidden="false" customHeight="true" outlineLevel="0" collapsed="false">
      <c r="A39" s="90" t="n">
        <v>47270</v>
      </c>
      <c r="B39" s="73" t="s">
        <v>157</v>
      </c>
      <c r="C39" s="68" t="n">
        <f aca="false">F38</f>
        <v>38571217.09184</v>
      </c>
      <c r="D39" s="68" t="n">
        <f aca="false">'Forecast Income Statement'!F39</f>
        <v>-6707421.45608309</v>
      </c>
      <c r="E39" s="68" t="n">
        <f aca="false">'Forecast Assumptions'!D62/12</f>
        <v>958333.333333333</v>
      </c>
      <c r="F39" s="91" t="n">
        <f aca="false">C39+D39-E39</f>
        <v>30905462.3024235</v>
      </c>
    </row>
    <row r="40" customFormat="false" ht="15" hidden="false" customHeight="true" outlineLevel="0" collapsed="false">
      <c r="A40" s="90" t="n">
        <v>47300</v>
      </c>
      <c r="B40" s="73" t="s">
        <v>157</v>
      </c>
      <c r="C40" s="68" t="n">
        <f aca="false">F39</f>
        <v>30905462.3024235</v>
      </c>
      <c r="D40" s="68" t="n">
        <f aca="false">'Forecast Income Statement'!F40</f>
        <v>-11756859.703166</v>
      </c>
      <c r="E40" s="68" t="n">
        <f aca="false">'Forecast Assumptions'!D62/12</f>
        <v>958333.333333333</v>
      </c>
      <c r="F40" s="91" t="n">
        <f aca="false">C40+D40-E40</f>
        <v>18190269.2659242</v>
      </c>
    </row>
    <row r="42" customFormat="false" ht="15" hidden="false" customHeight="true" outlineLevel="0" collapsed="false">
      <c r="A42" s="65" t="s">
        <v>67</v>
      </c>
      <c r="B42" s="65"/>
      <c r="C42" s="65"/>
      <c r="D42" s="65"/>
      <c r="E42" s="65"/>
      <c r="F42" s="65"/>
    </row>
    <row r="43" customFormat="false" ht="30" hidden="false" customHeight="true" outlineLevel="0" collapsed="false">
      <c r="A43" s="66" t="s">
        <v>2</v>
      </c>
      <c r="B43" s="66" t="s">
        <v>70</v>
      </c>
      <c r="C43" s="66" t="s">
        <v>65</v>
      </c>
      <c r="D43" s="66" t="s">
        <v>71</v>
      </c>
      <c r="E43" s="66" t="s">
        <v>72</v>
      </c>
      <c r="F43" s="66" t="s">
        <v>263</v>
      </c>
    </row>
    <row r="44" customFormat="false" ht="15" hidden="false" customHeight="true" outlineLevel="0" collapsed="false">
      <c r="A44" s="67" t="s">
        <v>229</v>
      </c>
      <c r="B44" s="68"/>
      <c r="C44" s="68"/>
      <c r="D44" s="68"/>
      <c r="E44" s="70" t="n">
        <f aca="false">'Cash Position'!F40</f>
        <v>48027183.2886224</v>
      </c>
      <c r="F44" s="69"/>
    </row>
    <row r="45" customFormat="false" ht="15" hidden="false" customHeight="true" outlineLevel="0" collapsed="false">
      <c r="A45" s="67" t="s">
        <v>155</v>
      </c>
      <c r="B45" s="68" t="n">
        <f aca="false">C5</f>
        <v>48027183.2886224</v>
      </c>
      <c r="C45" s="68" t="n">
        <f aca="false">SUM(D5:D16)</f>
        <v>1998981.55489999</v>
      </c>
      <c r="D45" s="68" t="n">
        <f aca="false">SUM(E5:E16)</f>
        <v>10500000</v>
      </c>
      <c r="E45" s="70" t="n">
        <f aca="false">F16</f>
        <v>39526164.8435224</v>
      </c>
      <c r="F45" s="69" t="n">
        <f aca="false">E45/E44-1</f>
        <v>-0.177004310121887</v>
      </c>
    </row>
    <row r="46" customFormat="false" ht="15" hidden="false" customHeight="true" outlineLevel="0" collapsed="false">
      <c r="A46" s="67" t="s">
        <v>156</v>
      </c>
      <c r="B46" s="68" t="n">
        <f aca="false">C17</f>
        <v>39526164.8435224</v>
      </c>
      <c r="C46" s="68" t="n">
        <f aca="false">SUM(D17:D28)</f>
        <v>-175974.457889069</v>
      </c>
      <c r="D46" s="68" t="n">
        <f aca="false">SUM(E17:E28)</f>
        <v>11000000</v>
      </c>
      <c r="E46" s="70" t="n">
        <f aca="false">F28</f>
        <v>28350190.3856333</v>
      </c>
      <c r="F46" s="69" t="n">
        <f aca="false">E46/E45-1</f>
        <v>-0.282748769128826</v>
      </c>
    </row>
    <row r="47" customFormat="false" ht="15" hidden="false" customHeight="true" outlineLevel="0" collapsed="false">
      <c r="A47" s="67" t="s">
        <v>157</v>
      </c>
      <c r="B47" s="68" t="n">
        <f aca="false">C29</f>
        <v>28350190.3856333</v>
      </c>
      <c r="C47" s="68" t="n">
        <f aca="false">SUM(D29:D40)</f>
        <v>1340078.88029087</v>
      </c>
      <c r="D47" s="68" t="n">
        <f aca="false">SUM(E29:E40)</f>
        <v>11500000</v>
      </c>
      <c r="E47" s="70" t="n">
        <f aca="false">F40</f>
        <v>18190269.2659242</v>
      </c>
      <c r="F47" s="69" t="n">
        <f aca="false">E47/E46-1</f>
        <v>-0.358372236006492</v>
      </c>
    </row>
    <row r="49" customFormat="false" ht="23.25" hidden="false" customHeight="true" outlineLevel="0" collapsed="false">
      <c r="A49" s="79" t="s">
        <v>264</v>
      </c>
      <c r="B49" s="79"/>
      <c r="C49" s="79"/>
      <c r="D49" s="79"/>
      <c r="E49" s="79"/>
      <c r="F49" s="79"/>
    </row>
  </sheetData>
  <mergeCells count="4">
    <mergeCell ref="A1:F1"/>
    <mergeCell ref="A2:F2"/>
    <mergeCell ref="A42:F42"/>
    <mergeCell ref="A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13" min="3" style="1" width="15"/>
  </cols>
  <sheetData>
    <row r="1" customFormat="false" ht="21.75" hidden="false" customHeight="true" outlineLevel="0" collapsed="false">
      <c r="A1" s="16" t="s">
        <v>265</v>
      </c>
      <c r="B1" s="16"/>
      <c r="C1" s="16"/>
      <c r="D1" s="16"/>
      <c r="E1" s="16"/>
      <c r="F1" s="16"/>
      <c r="G1" s="16"/>
      <c r="H1" s="16"/>
      <c r="I1" s="16"/>
      <c r="J1" s="16"/>
      <c r="K1" s="16"/>
      <c r="L1" s="16"/>
      <c r="M1" s="16"/>
    </row>
    <row r="2" customFormat="false" ht="48" hidden="false" customHeight="true" outlineLevel="0" collapsed="false">
      <c r="A2" s="64" t="s">
        <v>266</v>
      </c>
      <c r="B2" s="64"/>
      <c r="C2" s="64"/>
      <c r="D2" s="64"/>
      <c r="E2" s="64"/>
      <c r="F2" s="64"/>
      <c r="G2" s="64"/>
      <c r="H2" s="64"/>
      <c r="I2" s="64"/>
      <c r="J2" s="64"/>
      <c r="K2" s="64"/>
      <c r="L2" s="64"/>
      <c r="M2" s="64"/>
    </row>
    <row r="4" customFormat="false" ht="15" hidden="false" customHeight="true" outlineLevel="0" collapsed="false">
      <c r="A4" s="65" t="s">
        <v>267</v>
      </c>
      <c r="B4" s="65"/>
      <c r="C4" s="65"/>
      <c r="D4" s="65"/>
      <c r="E4" s="65"/>
      <c r="F4" s="65"/>
      <c r="G4" s="65"/>
      <c r="H4" s="65"/>
      <c r="I4" s="65"/>
      <c r="J4" s="65"/>
      <c r="K4" s="65"/>
      <c r="L4" s="65"/>
      <c r="M4" s="65"/>
    </row>
    <row r="5" customFormat="false" ht="30" hidden="false" customHeight="true" outlineLevel="0" collapsed="false">
      <c r="A5" s="66" t="s">
        <v>15</v>
      </c>
      <c r="B5" s="66" t="s">
        <v>268</v>
      </c>
      <c r="C5" s="66" t="s">
        <v>269</v>
      </c>
      <c r="D5" s="66" t="s">
        <v>270</v>
      </c>
      <c r="E5" s="66" t="s">
        <v>271</v>
      </c>
      <c r="F5" s="66" t="s">
        <v>272</v>
      </c>
      <c r="G5" s="66" t="s">
        <v>273</v>
      </c>
      <c r="H5" s="66" t="s">
        <v>274</v>
      </c>
      <c r="I5" s="66" t="s">
        <v>275</v>
      </c>
      <c r="J5" s="66" t="s">
        <v>276</v>
      </c>
      <c r="K5" s="66" t="s">
        <v>277</v>
      </c>
    </row>
    <row r="6" customFormat="false" ht="15" hidden="false" customHeight="true" outlineLevel="0" collapsed="false">
      <c r="A6" s="67" t="s">
        <v>3</v>
      </c>
      <c r="B6" s="67" t="s">
        <v>143</v>
      </c>
      <c r="C6" s="93" t="n">
        <f aca="false">('Student Flow Summary'!D7/('Forecast Assumptions'!C7*'Forecast Assumptions'!C8))*(1+('Scenario Assumptions'!B22+'Scenario Assumptions'!$B$9))</f>
        <v>6538.46153846154</v>
      </c>
      <c r="D6" s="93" t="n">
        <f aca="false">C6*'Forecast Assumptions'!C7*'Forecast Assumptions'!C8</f>
        <v>3162</v>
      </c>
      <c r="E6" s="93" t="n">
        <f aca="false">C6*(1+('Scenario Assumptions'!C22+'Scenario Assumptions'!$B$9))</f>
        <v>6669.23076923077</v>
      </c>
      <c r="F6" s="93" t="n">
        <f aca="false">E6*'Forecast Assumptions'!D7*'Forecast Assumptions'!D8</f>
        <v>3225.24</v>
      </c>
      <c r="G6" s="93" t="n">
        <f aca="false">E6*(1+('Scenario Assumptions'!D22+'Scenario Assumptions'!$B$9))</f>
        <v>6802.61538461538</v>
      </c>
      <c r="H6" s="93" t="n">
        <f aca="false">G6*'Forecast Assumptions'!E7*'Forecast Assumptions'!E8</f>
        <v>3342.8052</v>
      </c>
      <c r="I6" s="93" t="n">
        <f aca="false">'Student Headcount'!C30*(D6/'Student Flow Summary'!D7)</f>
        <v>9435</v>
      </c>
      <c r="J6" s="93" t="n">
        <f aca="false">I6*(F6/D6)</f>
        <v>9623.7</v>
      </c>
      <c r="K6" s="93" t="n">
        <f aca="false">J6*(H6/F6)</f>
        <v>9974.49938709677</v>
      </c>
    </row>
    <row r="7" customFormat="false" ht="15" hidden="false" customHeight="true" outlineLevel="0" collapsed="false">
      <c r="A7" s="67" t="s">
        <v>3</v>
      </c>
      <c r="B7" s="67" t="s">
        <v>146</v>
      </c>
      <c r="C7" s="93" t="n">
        <f aca="false">('Student Flow Summary'!D7/('Forecast Assumptions'!C7*'Forecast Assumptions'!C8))*(1+('Scenario Assumptions'!B22+'Scenario Assumptions'!$C$9))</f>
        <v>6666.66666666667</v>
      </c>
      <c r="D7" s="93" t="n">
        <f aca="false">C7*'Forecast Assumptions'!C7*'Forecast Assumptions'!C8</f>
        <v>3224</v>
      </c>
      <c r="E7" s="93" t="n">
        <f aca="false">C7*(1+('Scenario Assumptions'!C22+'Scenario Assumptions'!$C$9))</f>
        <v>6933.33333333333</v>
      </c>
      <c r="F7" s="93" t="n">
        <f aca="false">E7*'Forecast Assumptions'!D7*'Forecast Assumptions'!D8</f>
        <v>3352.96</v>
      </c>
      <c r="G7" s="93" t="n">
        <f aca="false">E7*(1+('Scenario Assumptions'!D22+'Scenario Assumptions'!$C$9))</f>
        <v>7210.66666666667</v>
      </c>
      <c r="H7" s="93" t="n">
        <f aca="false">G7*'Forecast Assumptions'!E7*'Forecast Assumptions'!E8</f>
        <v>3543.3216</v>
      </c>
      <c r="I7" s="93" t="n">
        <f aca="false">'Student Headcount'!C30*(D7/'Student Flow Summary'!D7)</f>
        <v>9620</v>
      </c>
      <c r="J7" s="93" t="n">
        <f aca="false">I7*(F7/D7)</f>
        <v>10004.8</v>
      </c>
      <c r="K7" s="93" t="n">
        <f aca="false">J7*(H7/F7)</f>
        <v>10572.8144516129</v>
      </c>
    </row>
    <row r="8" customFormat="false" ht="15" hidden="false" customHeight="true" outlineLevel="0" collapsed="false">
      <c r="A8" s="67" t="s">
        <v>3</v>
      </c>
      <c r="B8" s="67" t="s">
        <v>147</v>
      </c>
      <c r="C8" s="93" t="n">
        <f aca="false">('Student Flow Summary'!D7/('Forecast Assumptions'!C7*'Forecast Assumptions'!C8))*(1+('Scenario Assumptions'!B22+'Scenario Assumptions'!$D$9))</f>
        <v>6346.15384615385</v>
      </c>
      <c r="D8" s="93" t="n">
        <f aca="false">C8*'Forecast Assumptions'!C7*'Forecast Assumptions'!C8</f>
        <v>3069</v>
      </c>
      <c r="E8" s="93" t="n">
        <f aca="false">C8*(1+('Scenario Assumptions'!C22+'Scenario Assumptions'!$D$9))</f>
        <v>6282.69230769231</v>
      </c>
      <c r="F8" s="93" t="n">
        <f aca="false">E8*'Forecast Assumptions'!D7*'Forecast Assumptions'!D8</f>
        <v>3038.31</v>
      </c>
      <c r="G8" s="93" t="n">
        <f aca="false">E8*(1+('Scenario Assumptions'!D22+'Scenario Assumptions'!$D$9))</f>
        <v>6219.86538461539</v>
      </c>
      <c r="H8" s="93" t="n">
        <f aca="false">G8*'Forecast Assumptions'!E7*'Forecast Assumptions'!E8</f>
        <v>3056.44185</v>
      </c>
      <c r="I8" s="93" t="n">
        <f aca="false">'Student Headcount'!C30*(D8/'Student Flow Summary'!D7)</f>
        <v>9157.5</v>
      </c>
      <c r="J8" s="93" t="n">
        <f aca="false">I8*(F8/D8)</f>
        <v>9065.925</v>
      </c>
      <c r="K8" s="93" t="n">
        <f aca="false">J8*(H8/F8)</f>
        <v>9120.02810080645</v>
      </c>
    </row>
    <row r="9" customFormat="false" ht="15" hidden="false" customHeight="true" outlineLevel="0" collapsed="false">
      <c r="A9" s="67" t="s">
        <v>5</v>
      </c>
      <c r="B9" s="67" t="s">
        <v>143</v>
      </c>
      <c r="C9" s="93" t="n">
        <f aca="false">('Student Flow Summary'!D10/('Forecast Assumptions'!C12*'Forecast Assumptions'!C13))*(1+('Scenario Assumptions'!B23+'Scenario Assumptions'!$B$9))</f>
        <v>2115.0974025974</v>
      </c>
      <c r="D9" s="93" t="n">
        <f aca="false">C9*'Forecast Assumptions'!C12*'Forecast Assumptions'!C13</f>
        <v>651.45</v>
      </c>
      <c r="E9" s="93" t="n">
        <f aca="false">C9*(1+('Scenario Assumptions'!C23+'Scenario Assumptions'!$B$9))</f>
        <v>2136.24837662338</v>
      </c>
      <c r="F9" s="93" t="n">
        <f aca="false">E9*'Forecast Assumptions'!D12*'Forecast Assumptions'!D13</f>
        <v>657.9645</v>
      </c>
      <c r="G9" s="93" t="n">
        <f aca="false">E9*(1+('Scenario Assumptions'!D23+'Scenario Assumptions'!$B$9))</f>
        <v>2178.97334415584</v>
      </c>
      <c r="H9" s="93" t="n">
        <f aca="false">G9*'Forecast Assumptions'!E12*'Forecast Assumptions'!E13</f>
        <v>686.376603409091</v>
      </c>
      <c r="I9" s="93" t="n">
        <f aca="false">'Student Headcount'!E30*(D9/'Student Flow Summary'!D10)</f>
        <v>2102.82</v>
      </c>
      <c r="J9" s="93" t="n">
        <f aca="false">I9*(F9/D9)</f>
        <v>2123.8482</v>
      </c>
      <c r="K9" s="93" t="n">
        <f aca="false">J9*(H9/F9)</f>
        <v>2215.55982681818</v>
      </c>
    </row>
    <row r="10" customFormat="false" ht="15" hidden="false" customHeight="true" outlineLevel="0" collapsed="false">
      <c r="A10" s="67" t="s">
        <v>5</v>
      </c>
      <c r="B10" s="67" t="s">
        <v>146</v>
      </c>
      <c r="C10" s="93" t="n">
        <f aca="false">('Student Flow Summary'!D10/('Forecast Assumptions'!C12*'Forecast Assumptions'!C13))*(1+('Scenario Assumptions'!B23+'Scenario Assumptions'!$C$9))</f>
        <v>2156.98051948052</v>
      </c>
      <c r="D10" s="93" t="n">
        <f aca="false">C10*'Forecast Assumptions'!C12*'Forecast Assumptions'!C13</f>
        <v>664.35</v>
      </c>
      <c r="E10" s="93" t="n">
        <f aca="false">C10*(1+('Scenario Assumptions'!C23+'Scenario Assumptions'!$C$9))</f>
        <v>2221.68993506494</v>
      </c>
      <c r="F10" s="93" t="n">
        <f aca="false">E10*'Forecast Assumptions'!D12*'Forecast Assumptions'!D13</f>
        <v>684.2805</v>
      </c>
      <c r="G10" s="93" t="n">
        <f aca="false">E10*(1+('Scenario Assumptions'!D23+'Scenario Assumptions'!$C$9))</f>
        <v>2310.55753246753</v>
      </c>
      <c r="H10" s="93" t="n">
        <f aca="false">G10*'Forecast Assumptions'!E12*'Forecast Assumptions'!E13</f>
        <v>727.825622727273</v>
      </c>
      <c r="I10" s="93" t="n">
        <f aca="false">'Student Headcount'!E30*(D10/'Student Flow Summary'!D10)</f>
        <v>2144.46</v>
      </c>
      <c r="J10" s="93" t="n">
        <f aca="false">I10*(F10/D10)</f>
        <v>2208.7938</v>
      </c>
      <c r="K10" s="93" t="n">
        <f aca="false">J10*(H10/F10)</f>
        <v>2349.35340545454</v>
      </c>
    </row>
    <row r="11" customFormat="false" ht="15" hidden="false" customHeight="true" outlineLevel="0" collapsed="false">
      <c r="A11" s="67" t="s">
        <v>5</v>
      </c>
      <c r="B11" s="67" t="s">
        <v>147</v>
      </c>
      <c r="C11" s="93" t="n">
        <f aca="false">('Student Flow Summary'!D10/('Forecast Assumptions'!C12*'Forecast Assumptions'!C13))*(1+('Scenario Assumptions'!B23+'Scenario Assumptions'!$D$9))</f>
        <v>2052.27272727273</v>
      </c>
      <c r="D11" s="93" t="n">
        <f aca="false">C11*'Forecast Assumptions'!C12*'Forecast Assumptions'!C13</f>
        <v>632.1</v>
      </c>
      <c r="E11" s="93" t="n">
        <f aca="false">C11*(1+('Scenario Assumptions'!C23+'Scenario Assumptions'!$D$9))</f>
        <v>2011.22727272727</v>
      </c>
      <c r="F11" s="93" t="n">
        <f aca="false">E11*'Forecast Assumptions'!D12*'Forecast Assumptions'!D13</f>
        <v>619.458</v>
      </c>
      <c r="G11" s="93" t="n">
        <f aca="false">E11*(1+('Scenario Assumptions'!D23+'Scenario Assumptions'!$D$9))</f>
        <v>1991.115</v>
      </c>
      <c r="H11" s="93" t="n">
        <f aca="false">G11*'Forecast Assumptions'!E12*'Forecast Assumptions'!E13</f>
        <v>627.201225</v>
      </c>
      <c r="I11" s="93" t="n">
        <f aca="false">'Student Headcount'!E30*(D11/'Student Flow Summary'!D10)</f>
        <v>2040.36</v>
      </c>
      <c r="J11" s="93" t="n">
        <f aca="false">I11*(F11/D11)</f>
        <v>1999.5528</v>
      </c>
      <c r="K11" s="93" t="n">
        <f aca="false">J11*(H11/F11)</f>
        <v>2024.54721</v>
      </c>
    </row>
    <row r="12" customFormat="false" ht="15" hidden="false" customHeight="true" outlineLevel="0" collapsed="false">
      <c r="A12" s="67" t="s">
        <v>6</v>
      </c>
      <c r="B12" s="67" t="s">
        <v>143</v>
      </c>
      <c r="C12" s="93" t="n">
        <f aca="false">('Student Flow Summary'!D13/('Forecast Assumptions'!C17*'Forecast Assumptions'!C18))*(1+('Scenario Assumptions'!B24+'Scenario Assumptions'!$B$9))</f>
        <v>13759.756097561</v>
      </c>
      <c r="D12" s="93" t="n">
        <f aca="false">C12*'Forecast Assumptions'!C17*'Forecast Assumptions'!C18</f>
        <v>7672.44</v>
      </c>
      <c r="E12" s="93" t="n">
        <f aca="false">C12*(1+('Scenario Assumptions'!C24+'Scenario Assumptions'!$B$9))</f>
        <v>14034.9512195122</v>
      </c>
      <c r="F12" s="93" t="n">
        <f aca="false">E12*'Forecast Assumptions'!D17*'Forecast Assumptions'!D18</f>
        <v>7825.8888</v>
      </c>
      <c r="G12" s="93" t="n">
        <f aca="false">E12*(1+('Scenario Assumptions'!D24+'Scenario Assumptions'!$B$9))</f>
        <v>14315.6502439024</v>
      </c>
      <c r="H12" s="93" t="n">
        <f aca="false">G12*'Forecast Assumptions'!E17*'Forecast Assumptions'!E18</f>
        <v>8099.794908</v>
      </c>
      <c r="I12" s="93" t="n">
        <f aca="false">'Student Headcount'!G30*(D12/'Student Flow Summary'!D13)</f>
        <v>7703.04</v>
      </c>
      <c r="J12" s="93" t="n">
        <f aca="false">I12*(F12/D12)</f>
        <v>7857.1008</v>
      </c>
      <c r="K12" s="93" t="n">
        <f aca="false">J12*(H12/F12)</f>
        <v>8132.099328</v>
      </c>
    </row>
    <row r="13" customFormat="false" ht="15" hidden="false" customHeight="true" outlineLevel="0" collapsed="false">
      <c r="A13" s="67" t="s">
        <v>6</v>
      </c>
      <c r="B13" s="67" t="s">
        <v>146</v>
      </c>
      <c r="C13" s="93" t="n">
        <f aca="false">('Student Flow Summary'!D13/('Forecast Assumptions'!C17*'Forecast Assumptions'!C18))*(1+('Scenario Assumptions'!B24+'Scenario Assumptions'!$C$9))</f>
        <v>14029.5552367288</v>
      </c>
      <c r="D13" s="93" t="n">
        <f aca="false">C13*'Forecast Assumptions'!C17*'Forecast Assumptions'!C18</f>
        <v>7822.88</v>
      </c>
      <c r="E13" s="93" t="n">
        <f aca="false">C13*(1+('Scenario Assumptions'!C24+'Scenario Assumptions'!$C$9))</f>
        <v>14590.737446198</v>
      </c>
      <c r="F13" s="93" t="n">
        <f aca="false">E13*'Forecast Assumptions'!D17*'Forecast Assumptions'!D18</f>
        <v>8135.7952</v>
      </c>
      <c r="G13" s="93" t="n">
        <f aca="false">E13*(1+('Scenario Assumptions'!D24+'Scenario Assumptions'!$C$9))</f>
        <v>15174.3669440459</v>
      </c>
      <c r="H13" s="93" t="n">
        <f aca="false">G13*'Forecast Assumptions'!E17*'Forecast Assumptions'!E18</f>
        <v>8585.65681694118</v>
      </c>
      <c r="I13" s="93" t="n">
        <f aca="false">'Student Headcount'!G30*(D13/'Student Flow Summary'!D13)</f>
        <v>7854.08</v>
      </c>
      <c r="J13" s="93" t="n">
        <f aca="false">I13*(F13/D13)</f>
        <v>8168.2432</v>
      </c>
      <c r="K13" s="93" t="n">
        <f aca="false">J13*(H13/F13)</f>
        <v>8619.89900047059</v>
      </c>
    </row>
    <row r="14" customFormat="false" ht="15" hidden="false" customHeight="true" outlineLevel="0" collapsed="false">
      <c r="A14" s="67" t="s">
        <v>6</v>
      </c>
      <c r="B14" s="67" t="s">
        <v>147</v>
      </c>
      <c r="C14" s="93" t="n">
        <f aca="false">('Student Flow Summary'!D13/('Forecast Assumptions'!C17*'Forecast Assumptions'!C18))*(1+('Scenario Assumptions'!B24+'Scenario Assumptions'!$D$9))</f>
        <v>13355.0573888092</v>
      </c>
      <c r="D14" s="93" t="n">
        <f aca="false">C14*'Forecast Assumptions'!C17*'Forecast Assumptions'!C18</f>
        <v>7446.78</v>
      </c>
      <c r="E14" s="93" t="n">
        <f aca="false">C14*(1+('Scenario Assumptions'!C24+'Scenario Assumptions'!$D$9))</f>
        <v>13221.5068149211</v>
      </c>
      <c r="F14" s="93" t="n">
        <f aca="false">E14*'Forecast Assumptions'!D17*'Forecast Assumptions'!D18</f>
        <v>7372.3122</v>
      </c>
      <c r="G14" s="93" t="n">
        <f aca="false">E14*(1+('Scenario Assumptions'!D24+'Scenario Assumptions'!$D$9))</f>
        <v>13089.2917467719</v>
      </c>
      <c r="H14" s="93" t="n">
        <f aca="false">G14*'Forecast Assumptions'!E17*'Forecast Assumptions'!E18</f>
        <v>7405.92127032353</v>
      </c>
      <c r="I14" s="93" t="n">
        <f aca="false">'Student Headcount'!G30*(D14/'Student Flow Summary'!D13)</f>
        <v>7476.48</v>
      </c>
      <c r="J14" s="93" t="n">
        <f aca="false">I14*(F14/D14)</f>
        <v>7401.7152</v>
      </c>
      <c r="K14" s="93" t="n">
        <f aca="false">J14*(H14/F14)</f>
        <v>7435.45831341177</v>
      </c>
    </row>
    <row r="15" customFormat="false" ht="15" hidden="false" customHeight="true" outlineLevel="0" collapsed="false">
      <c r="A15" s="67" t="s">
        <v>7</v>
      </c>
      <c r="B15" s="67" t="s">
        <v>143</v>
      </c>
      <c r="C15" s="93" t="n">
        <f aca="false">('Student Flow Summary'!D16/('Forecast Assumptions'!C22*'Forecast Assumptions'!C23))*(1+('Scenario Assumptions'!B25+'Scenario Assumptions'!$B$9))</f>
        <v>17938.6670761671</v>
      </c>
      <c r="D15" s="93" t="n">
        <f aca="false">C15*'Forecast Assumptions'!C22*'Forecast Assumptions'!C23</f>
        <v>5840.83</v>
      </c>
      <c r="E15" s="93" t="n">
        <f aca="false">C15*(1+('Scenario Assumptions'!C25+'Scenario Assumptions'!$B$9))</f>
        <v>18297.4404176904</v>
      </c>
      <c r="F15" s="93" t="n">
        <f aca="false">E15*'Forecast Assumptions'!D22*'Forecast Assumptions'!D23</f>
        <v>6010.7091772113</v>
      </c>
      <c r="G15" s="93" t="n">
        <f aca="false">E15*(1+('Scenario Assumptions'!D25+'Scenario Assumptions'!$B$9))</f>
        <v>18663.3892260442</v>
      </c>
      <c r="H15" s="93" t="n">
        <f aca="false">G15*'Forecast Assumptions'!E22*'Forecast Assumptions'!E23</f>
        <v>6130.92336075553</v>
      </c>
      <c r="I15" s="93" t="n">
        <f aca="false">'Student Headcount'!I30*(D15/'Student Flow Summary'!D16)</f>
        <v>5989.3</v>
      </c>
      <c r="J15" s="93" t="n">
        <f aca="false">I15*(F15/D15)</f>
        <v>6163.49739250614</v>
      </c>
      <c r="K15" s="93" t="n">
        <f aca="false">J15*(H15/F15)</f>
        <v>6286.76734035627</v>
      </c>
    </row>
    <row r="16" customFormat="false" ht="15" hidden="false" customHeight="true" outlineLevel="0" collapsed="false">
      <c r="A16" s="67" t="s">
        <v>7</v>
      </c>
      <c r="B16" s="67" t="s">
        <v>146</v>
      </c>
      <c r="C16" s="93" t="n">
        <f aca="false">('Student Flow Summary'!D16/('Forecast Assumptions'!C22*'Forecast Assumptions'!C23))*(1+('Scenario Assumptions'!B25+'Scenario Assumptions'!$C$9))</f>
        <v>18293.8882063882</v>
      </c>
      <c r="D16" s="93" t="n">
        <f aca="false">C16*'Forecast Assumptions'!C22*'Forecast Assumptions'!C23</f>
        <v>5956.49</v>
      </c>
      <c r="E16" s="93" t="n">
        <f aca="false">C16*(1+('Scenario Assumptions'!C25+'Scenario Assumptions'!$C$9))</f>
        <v>19025.6437346437</v>
      </c>
      <c r="F16" s="93" t="n">
        <f aca="false">E16*'Forecast Assumptions'!D22*'Forecast Assumptions'!D23</f>
        <v>6249.92396683047</v>
      </c>
      <c r="G16" s="93" t="n">
        <f aca="false">E16*(1+('Scenario Assumptions'!D25+'Scenario Assumptions'!$C$9))</f>
        <v>19786.6694840295</v>
      </c>
      <c r="H16" s="93" t="n">
        <f aca="false">G16*'Forecast Assumptions'!E22*'Forecast Assumptions'!E23</f>
        <v>6499.92092550369</v>
      </c>
      <c r="I16" s="93" t="n">
        <f aca="false">'Student Headcount'!I30*(D16/'Student Flow Summary'!D16)</f>
        <v>6107.9</v>
      </c>
      <c r="J16" s="93" t="n">
        <f aca="false">I16*(F16/D16)</f>
        <v>6408.79286240786</v>
      </c>
      <c r="K16" s="93" t="n">
        <f aca="false">J16*(H16/F16)</f>
        <v>6665.14457690418</v>
      </c>
    </row>
    <row r="17" customFormat="false" ht="15" hidden="false" customHeight="true" outlineLevel="0" collapsed="false">
      <c r="A17" s="67" t="s">
        <v>7</v>
      </c>
      <c r="B17" s="67" t="s">
        <v>147</v>
      </c>
      <c r="C17" s="93" t="n">
        <f aca="false">('Student Flow Summary'!D16/('Forecast Assumptions'!C22*'Forecast Assumptions'!C23))*(1+('Scenario Assumptions'!B25+'Scenario Assumptions'!$D$9))</f>
        <v>17405.8353808354</v>
      </c>
      <c r="D17" s="93" t="n">
        <f aca="false">C17*'Forecast Assumptions'!C22*'Forecast Assumptions'!C23</f>
        <v>5667.34</v>
      </c>
      <c r="E17" s="93" t="n">
        <f aca="false">C17*(1+('Scenario Assumptions'!C25+'Scenario Assumptions'!$D$9))</f>
        <v>17231.777027027</v>
      </c>
      <c r="F17" s="93" t="n">
        <f aca="false">E17*'Forecast Assumptions'!D22*'Forecast Assumptions'!D23</f>
        <v>5660.63875337838</v>
      </c>
      <c r="G17" s="93" t="n">
        <f aca="false">E17*(1+('Scenario Assumptions'!D25+'Scenario Assumptions'!$D$9))</f>
        <v>17059.4592567568</v>
      </c>
      <c r="H17" s="93" t="n">
        <f aca="false">G17*'Forecast Assumptions'!E22*'Forecast Assumptions'!E23</f>
        <v>5604.0323658446</v>
      </c>
      <c r="I17" s="93" t="n">
        <f aca="false">'Student Headcount'!I30*(D17/'Student Flow Summary'!D16)</f>
        <v>5811.4</v>
      </c>
      <c r="J17" s="93" t="n">
        <f aca="false">I17*(F17/D17)</f>
        <v>5804.52841216216</v>
      </c>
      <c r="K17" s="93" t="n">
        <f aca="false">J17*(H17/F17)</f>
        <v>5746.48312804054</v>
      </c>
    </row>
    <row r="18" customFormat="false" ht="15" hidden="false" customHeight="true" outlineLevel="0" collapsed="false">
      <c r="A18" s="67" t="s">
        <v>8</v>
      </c>
      <c r="B18" s="67" t="s">
        <v>143</v>
      </c>
      <c r="C18" s="93" t="n">
        <f aca="false">('Student Flow Summary'!D19/('Forecast Assumptions'!C27*'Forecast Assumptions'!C28))*(1+('Scenario Assumptions'!B26+'Scenario Assumptions'!$B$9))</f>
        <v>794.896551724138</v>
      </c>
      <c r="D18" s="93" t="n">
        <f aca="false">C18*'Forecast Assumptions'!C27*'Forecast Assumptions'!C28</f>
        <v>345.78</v>
      </c>
      <c r="E18" s="93" t="n">
        <f aca="false">C18*(1+('Scenario Assumptions'!C26+'Scenario Assumptions'!$B$9))</f>
        <v>810.794482758621</v>
      </c>
      <c r="F18" s="93" t="n">
        <f aca="false">E18*'Forecast Assumptions'!D27*'Forecast Assumptions'!D28</f>
        <v>352.6956</v>
      </c>
      <c r="G18" s="93" t="n">
        <f aca="false">E18*(1+('Scenario Assumptions'!D26+'Scenario Assumptions'!$B$9))</f>
        <v>827.010372413793</v>
      </c>
      <c r="H18" s="93" t="n">
        <f aca="false">G18*'Forecast Assumptions'!E27*'Forecast Assumptions'!E28</f>
        <v>359.749512</v>
      </c>
      <c r="I18" s="93" t="n">
        <f aca="false">'Student Headcount'!K30*(D18/'Student Flow Summary'!D19)</f>
        <v>1166.88</v>
      </c>
      <c r="J18" s="93" t="n">
        <f aca="false">I18*(F18/D18)</f>
        <v>1190.2176</v>
      </c>
      <c r="K18" s="93" t="n">
        <f aca="false">J18*(H18/F18)</f>
        <v>1214.021952</v>
      </c>
    </row>
    <row r="19" customFormat="false" ht="15" hidden="false" customHeight="true" outlineLevel="0" collapsed="false">
      <c r="A19" s="67" t="s">
        <v>8</v>
      </c>
      <c r="B19" s="67" t="s">
        <v>146</v>
      </c>
      <c r="C19" s="93" t="n">
        <f aca="false">('Student Flow Summary'!D19/('Forecast Assumptions'!C27*'Forecast Assumptions'!C28))*(1+('Scenario Assumptions'!B26+'Scenario Assumptions'!$C$9))</f>
        <v>810.48275862069</v>
      </c>
      <c r="D19" s="93" t="n">
        <f aca="false">C19*'Forecast Assumptions'!C27*'Forecast Assumptions'!C28</f>
        <v>352.56</v>
      </c>
      <c r="E19" s="93" t="n">
        <f aca="false">C19*(1+('Scenario Assumptions'!C26+'Scenario Assumptions'!$C$9))</f>
        <v>842.902068965517</v>
      </c>
      <c r="F19" s="93" t="n">
        <f aca="false">E19*'Forecast Assumptions'!D27*'Forecast Assumptions'!D28</f>
        <v>366.6624</v>
      </c>
      <c r="G19" s="93" t="n">
        <f aca="false">E19*(1+('Scenario Assumptions'!D26+'Scenario Assumptions'!$C$9))</f>
        <v>876.618151724138</v>
      </c>
      <c r="H19" s="93" t="n">
        <f aca="false">G19*'Forecast Assumptions'!E27*'Forecast Assumptions'!E28</f>
        <v>381.328896</v>
      </c>
      <c r="I19" s="93" t="n">
        <f aca="false">'Student Headcount'!K30*(D19/'Student Flow Summary'!D19)</f>
        <v>1189.76</v>
      </c>
      <c r="J19" s="93" t="n">
        <f aca="false">I19*(F19/D19)</f>
        <v>1237.3504</v>
      </c>
      <c r="K19" s="93" t="n">
        <f aca="false">J19*(H19/F19)</f>
        <v>1286.844416</v>
      </c>
    </row>
    <row r="20" customFormat="false" ht="15" hidden="false" customHeight="true" outlineLevel="0" collapsed="false">
      <c r="A20" s="67" t="s">
        <v>8</v>
      </c>
      <c r="B20" s="67" t="s">
        <v>147</v>
      </c>
      <c r="C20" s="93" t="n">
        <f aca="false">('Student Flow Summary'!D19/('Forecast Assumptions'!C27*'Forecast Assumptions'!C28))*(1+('Scenario Assumptions'!B26+'Scenario Assumptions'!$D$9))</f>
        <v>771.517241379311</v>
      </c>
      <c r="D20" s="93" t="n">
        <f aca="false">C20*'Forecast Assumptions'!C27*'Forecast Assumptions'!C28</f>
        <v>335.61</v>
      </c>
      <c r="E20" s="93" t="n">
        <f aca="false">C20*(1+('Scenario Assumptions'!C26+'Scenario Assumptions'!$D$9))</f>
        <v>763.802068965517</v>
      </c>
      <c r="F20" s="93" t="n">
        <f aca="false">E20*'Forecast Assumptions'!D27*'Forecast Assumptions'!D28</f>
        <v>332.2539</v>
      </c>
      <c r="G20" s="93" t="n">
        <f aca="false">E20*(1+('Scenario Assumptions'!D26+'Scenario Assumptions'!$D$9))</f>
        <v>756.164048275862</v>
      </c>
      <c r="H20" s="93" t="n">
        <f aca="false">G20*'Forecast Assumptions'!E27*'Forecast Assumptions'!E28</f>
        <v>328.931361</v>
      </c>
      <c r="I20" s="93" t="n">
        <f aca="false">'Student Headcount'!K30*(D20/'Student Flow Summary'!D19)</f>
        <v>1132.56</v>
      </c>
      <c r="J20" s="93" t="n">
        <f aca="false">I20*(F20/D20)</f>
        <v>1121.2344</v>
      </c>
      <c r="K20" s="93" t="n">
        <f aca="false">J20*(H20/F20)</f>
        <v>1110.022056</v>
      </c>
    </row>
    <row r="22" customFormat="false" ht="15" hidden="false" customHeight="true" outlineLevel="0" collapsed="false">
      <c r="A22" s="65" t="s">
        <v>278</v>
      </c>
      <c r="B22" s="65"/>
      <c r="C22" s="65"/>
      <c r="D22" s="65"/>
      <c r="E22" s="65"/>
    </row>
    <row r="23" customFormat="false" ht="30" hidden="false" customHeight="true" outlineLevel="0" collapsed="false">
      <c r="A23" s="66" t="s">
        <v>15</v>
      </c>
      <c r="B23" s="66" t="s">
        <v>268</v>
      </c>
      <c r="C23" s="66" t="s">
        <v>155</v>
      </c>
      <c r="D23" s="66" t="s">
        <v>156</v>
      </c>
      <c r="E23" s="66" t="s">
        <v>157</v>
      </c>
    </row>
    <row r="24" customFormat="false" ht="15" hidden="false" customHeight="true" outlineLevel="0" collapsed="false">
      <c r="A24" s="67" t="s">
        <v>3</v>
      </c>
      <c r="B24" s="67" t="s">
        <v>143</v>
      </c>
      <c r="C24" s="68" t="n">
        <f aca="false">I6*(SUM('Population Forecast'!B24:M24))*'Income Forecast'!D6/12</f>
        <v>84344512.3</v>
      </c>
      <c r="D24" s="68" t="n">
        <f aca="false">J6*(SUM('Population Forecast'!B24:M24))*'Income Forecast'!F6/12</f>
        <v>87752030.59692</v>
      </c>
      <c r="E24" s="68" t="n">
        <f aca="false">K6*(SUM('Population Forecast'!B24:M24))*'Income Forecast'!H6/12</f>
        <v>92769748.3206652</v>
      </c>
    </row>
    <row r="25" customFormat="false" ht="15" hidden="false" customHeight="true" outlineLevel="0" collapsed="false">
      <c r="A25" s="67" t="s">
        <v>3</v>
      </c>
      <c r="B25" s="67" t="s">
        <v>146</v>
      </c>
      <c r="C25" s="68" t="n">
        <f aca="false">I7*(SUM('Population Forecast'!B24:M24))*'Income Forecast'!D6/12</f>
        <v>85998326.2666667</v>
      </c>
      <c r="D25" s="68" t="n">
        <f aca="false">J7*(SUM('Population Forecast'!B24:M24))*'Income Forecast'!F6/12</f>
        <v>91227024.5036801</v>
      </c>
      <c r="E25" s="68" t="n">
        <f aca="false">K7*(SUM('Population Forecast'!B24:M24))*'Income Forecast'!H6/12</f>
        <v>98334492.5546894</v>
      </c>
    </row>
    <row r="26" customFormat="false" ht="15" hidden="false" customHeight="true" outlineLevel="0" collapsed="false">
      <c r="A26" s="67" t="s">
        <v>3</v>
      </c>
      <c r="B26" s="67" t="s">
        <v>147</v>
      </c>
      <c r="C26" s="68" t="n">
        <f aca="false">I8*(SUM('Population Forecast'!B24:M24))*'Income Forecast'!D6/12</f>
        <v>81863791.35</v>
      </c>
      <c r="D26" s="68" t="n">
        <f aca="false">J8*(SUM('Population Forecast'!B24:M24))*'Income Forecast'!F6/12</f>
        <v>82666056.50523</v>
      </c>
      <c r="E26" s="68" t="n">
        <f aca="false">K8*(SUM('Population Forecast'!B24:M24))*'Income Forecast'!H6/12</f>
        <v>84822573.9212229</v>
      </c>
    </row>
    <row r="27" customFormat="false" ht="15" hidden="false" customHeight="true" outlineLevel="0" collapsed="false">
      <c r="A27" s="67" t="s">
        <v>5</v>
      </c>
      <c r="B27" s="67" t="s">
        <v>143</v>
      </c>
      <c r="C27" s="68" t="n">
        <f aca="false">I9*(SUM('Population Forecast'!B25:M25))*'Income Forecast'!D7/12</f>
        <v>42981151.2866667</v>
      </c>
      <c r="D27" s="68" t="n">
        <f aca="false">J9*(SUM('Population Forecast'!B25:M25))*'Income Forecast'!F7/12</f>
        <v>45147401.3115146</v>
      </c>
      <c r="E27" s="68" t="n">
        <f aca="false">K9*(SUM('Population Forecast'!B25:M25))*'Income Forecast'!H7/12</f>
        <v>49216310.8547149</v>
      </c>
    </row>
    <row r="28" customFormat="false" ht="15" hidden="false" customHeight="true" outlineLevel="0" collapsed="false">
      <c r="A28" s="67" t="s">
        <v>5</v>
      </c>
      <c r="B28" s="67" t="s">
        <v>146</v>
      </c>
      <c r="C28" s="68" t="n">
        <f aca="false">I10*(SUM('Population Forecast'!B25:M25))*'Income Forecast'!D7/12</f>
        <v>43832263.1933333</v>
      </c>
      <c r="D28" s="68" t="n">
        <f aca="false">J10*(SUM('Population Forecast'!B25:M25))*'Income Forecast'!F7/12</f>
        <v>46953120.3326987</v>
      </c>
      <c r="E28" s="68" t="n">
        <f aca="false">K10*(SUM('Population Forecast'!B25:M25))*'Income Forecast'!H7/12</f>
        <v>52188393.2497945</v>
      </c>
    </row>
    <row r="29" customFormat="false" ht="15" hidden="false" customHeight="true" outlineLevel="0" collapsed="false">
      <c r="A29" s="67" t="s">
        <v>5</v>
      </c>
      <c r="B29" s="67" t="s">
        <v>147</v>
      </c>
      <c r="C29" s="68" t="n">
        <f aca="false">I11*(SUM('Population Forecast'!B25:M25))*'Income Forecast'!D7/12</f>
        <v>41704483.4266667</v>
      </c>
      <c r="D29" s="68" t="n">
        <f aca="false">J11*(SUM('Population Forecast'!B25:M25))*'Income Forecast'!F7/12</f>
        <v>42505209.5084587</v>
      </c>
      <c r="E29" s="68" t="n">
        <f aca="false">K11*(SUM('Population Forecast'!B25:M25))*'Income Forecast'!H7/12</f>
        <v>44973168.2355435</v>
      </c>
    </row>
    <row r="30" customFormat="false" ht="15" hidden="false" customHeight="true" outlineLevel="0" collapsed="false">
      <c r="A30" s="67" t="s">
        <v>6</v>
      </c>
      <c r="B30" s="67" t="s">
        <v>143</v>
      </c>
      <c r="C30" s="68" t="n">
        <f aca="false">I12*(SUM('Population Forecast'!B26:M26))*'Income Forecast'!D8/12</f>
        <v>33996654.315</v>
      </c>
      <c r="D30" s="68" t="n">
        <f aca="false">J12*(SUM('Population Forecast'!B26:M26))*'Income Forecast'!F8/12</f>
        <v>35716885.023339</v>
      </c>
      <c r="E30" s="68" t="n">
        <f aca="false">K12*(SUM('Population Forecast'!B26:M26))*'Income Forecast'!H8/12</f>
        <v>38075985.2791305</v>
      </c>
    </row>
    <row r="31" customFormat="false" ht="15" hidden="false" customHeight="true" outlineLevel="0" collapsed="false">
      <c r="A31" s="67" t="s">
        <v>6</v>
      </c>
      <c r="B31" s="67" t="s">
        <v>146</v>
      </c>
      <c r="C31" s="68" t="n">
        <f aca="false">I13*(SUM('Population Forecast'!B26:M26))*'Income Forecast'!D8/12</f>
        <v>34663255.38</v>
      </c>
      <c r="D31" s="68" t="n">
        <f aca="false">J13*(SUM('Population Forecast'!B26:M26))*'Income Forecast'!F8/12</f>
        <v>37131279.163056</v>
      </c>
      <c r="E31" s="68" t="n">
        <f aca="false">K13*(SUM('Population Forecast'!B26:M26))*'Income Forecast'!H8/12</f>
        <v>40359953.0959283</v>
      </c>
    </row>
    <row r="32" customFormat="false" ht="15" hidden="false" customHeight="true" outlineLevel="0" collapsed="false">
      <c r="A32" s="67" t="s">
        <v>6</v>
      </c>
      <c r="B32" s="67" t="s">
        <v>147</v>
      </c>
      <c r="C32" s="68" t="n">
        <f aca="false">I14*(SUM('Population Forecast'!B26:M26))*'Income Forecast'!D8/12</f>
        <v>32996752.7175</v>
      </c>
      <c r="D32" s="68" t="n">
        <f aca="false">J14*(SUM('Population Forecast'!B26:M26))*'Income Forecast'!F8/12</f>
        <v>33646788.7460348</v>
      </c>
      <c r="E32" s="68" t="n">
        <f aca="false">K14*(SUM('Population Forecast'!B26:M26))*'Income Forecast'!H8/12</f>
        <v>34814183.8738071</v>
      </c>
    </row>
    <row r="33" customFormat="false" ht="15" hidden="false" customHeight="true" outlineLevel="0" collapsed="false">
      <c r="A33" s="67" t="s">
        <v>7</v>
      </c>
      <c r="B33" s="67" t="s">
        <v>143</v>
      </c>
      <c r="C33" s="68" t="n">
        <f aca="false">I15*(SUM('Population Forecast'!B27:M27))*'Income Forecast'!D9/12</f>
        <v>53831774.5333333</v>
      </c>
      <c r="D33" s="68" t="n">
        <f aca="false">J15*(SUM('Population Forecast'!B27:M27))*'Income Forecast'!F9/12</f>
        <v>57613357.4956983</v>
      </c>
      <c r="E33" s="68" t="n">
        <f aca="false">K15*(SUM('Population Forecast'!B27:M27))*'Income Forecast'!H9/12</f>
        <v>61410077.7546648</v>
      </c>
    </row>
    <row r="34" customFormat="false" ht="15" hidden="false" customHeight="true" outlineLevel="0" collapsed="false">
      <c r="A34" s="67" t="s">
        <v>7</v>
      </c>
      <c r="B34" s="67" t="s">
        <v>146</v>
      </c>
      <c r="C34" s="68" t="n">
        <f aca="false">I16*(SUM('Population Forecast'!B27:M27))*'Income Forecast'!D9/12</f>
        <v>54897750.2666667</v>
      </c>
      <c r="D34" s="68" t="n">
        <f aca="false">J16*(SUM('Population Forecast'!B27:M27))*'Income Forecast'!F9/12</f>
        <v>59906259.5121258</v>
      </c>
      <c r="E34" s="68" t="n">
        <f aca="false">K16*(SUM('Population Forecast'!B27:M27))*'Income Forecast'!H9/12</f>
        <v>65106122.8377783</v>
      </c>
    </row>
    <row r="35" customFormat="false" ht="15" hidden="false" customHeight="true" outlineLevel="0" collapsed="false">
      <c r="A35" s="67" t="s">
        <v>7</v>
      </c>
      <c r="B35" s="67" t="s">
        <v>147</v>
      </c>
      <c r="C35" s="68" t="n">
        <f aca="false">I17*(SUM('Population Forecast'!B27:M27))*'Income Forecast'!D9/12</f>
        <v>52232810.9333333</v>
      </c>
      <c r="D35" s="68" t="n">
        <f aca="false">J17*(SUM('Population Forecast'!B27:M27))*'Income Forecast'!F9/12</f>
        <v>54257891.1301946</v>
      </c>
      <c r="E35" s="68" t="n">
        <f aca="false">K17*(SUM('Population Forecast'!B27:M27))*'Income Forecast'!H9/12</f>
        <v>56132501.2687428</v>
      </c>
    </row>
    <row r="36" customFormat="false" ht="15" hidden="false" customHeight="true" outlineLevel="0" collapsed="false">
      <c r="A36" s="67" t="s">
        <v>8</v>
      </c>
      <c r="B36" s="67" t="s">
        <v>143</v>
      </c>
      <c r="C36" s="68" t="n">
        <f aca="false">I18*(SUM('Population Forecast'!B28:M28))*'Income Forecast'!D10/12</f>
        <v>8269749.7475</v>
      </c>
      <c r="D36" s="68" t="n">
        <f aca="false">J18*(SUM('Population Forecast'!B28:M28))*'Income Forecast'!F10/12</f>
        <v>8688199.0847235</v>
      </c>
      <c r="E36" s="68" t="n">
        <f aca="false">K18*(SUM('Population Forecast'!B28:M28))*'Income Forecast'!H10/12</f>
        <v>9127821.95841051</v>
      </c>
    </row>
    <row r="37" customFormat="false" ht="15" hidden="false" customHeight="true" outlineLevel="0" collapsed="false">
      <c r="A37" s="67" t="s">
        <v>8</v>
      </c>
      <c r="B37" s="67" t="s">
        <v>146</v>
      </c>
      <c r="C37" s="68" t="n">
        <f aca="false">I19*(SUM('Population Forecast'!B28:M28))*'Income Forecast'!D10/12</f>
        <v>8431901.70333334</v>
      </c>
      <c r="D37" s="68" t="n">
        <f aca="false">J19*(SUM('Population Forecast'!B28:M28))*'Income Forecast'!F10/12</f>
        <v>9032253.10461067</v>
      </c>
      <c r="E37" s="68" t="n">
        <f aca="false">K19*(SUM('Population Forecast'!B28:M28))*'Income Forecast'!H10/12</f>
        <v>9675349.52565895</v>
      </c>
    </row>
    <row r="38" customFormat="false" ht="15" hidden="false" customHeight="true" outlineLevel="0" collapsed="false">
      <c r="A38" s="67" t="s">
        <v>8</v>
      </c>
      <c r="B38" s="67" t="s">
        <v>147</v>
      </c>
      <c r="C38" s="68" t="n">
        <f aca="false">I20*(SUM('Population Forecast'!B28:M28))*'Income Forecast'!D10/12</f>
        <v>8026521.81375</v>
      </c>
      <c r="D38" s="68" t="n">
        <f aca="false">J20*(SUM('Population Forecast'!B28:M28))*'Income Forecast'!F10/12</f>
        <v>8184644.29348088</v>
      </c>
      <c r="E38" s="68" t="n">
        <f aca="false">K20*(SUM('Population Forecast'!B28:M28))*'Income Forecast'!H10/12</f>
        <v>8345881.78606245</v>
      </c>
    </row>
    <row r="40" customFormat="false" ht="15" hidden="false" customHeight="true" outlineLevel="0" collapsed="false">
      <c r="A40" s="65" t="s">
        <v>279</v>
      </c>
      <c r="B40" s="65"/>
      <c r="C40" s="65"/>
      <c r="D40" s="65"/>
      <c r="E40" s="65"/>
      <c r="F40" s="65"/>
      <c r="G40" s="65"/>
      <c r="H40" s="65"/>
    </row>
    <row r="41" customFormat="false" ht="30" hidden="false" customHeight="true" outlineLevel="0" collapsed="false">
      <c r="A41" s="66" t="s">
        <v>268</v>
      </c>
      <c r="B41" s="66" t="s">
        <v>2</v>
      </c>
      <c r="C41" s="66" t="s">
        <v>280</v>
      </c>
      <c r="D41" s="66" t="s">
        <v>281</v>
      </c>
      <c r="E41" s="66" t="s">
        <v>282</v>
      </c>
      <c r="F41" s="66" t="s">
        <v>47</v>
      </c>
      <c r="G41" s="66" t="s">
        <v>283</v>
      </c>
      <c r="H41" s="66" t="s">
        <v>284</v>
      </c>
    </row>
    <row r="42" customFormat="false" ht="15" hidden="false" customHeight="true" outlineLevel="0" collapsed="false">
      <c r="A42" s="67" t="s">
        <v>143</v>
      </c>
      <c r="B42" s="67" t="s">
        <v>155</v>
      </c>
      <c r="C42" s="68" t="n">
        <f aca="false">'Staff Costs'!C40*12*(1+('Scenario Assumptions'!B29+'Scenario Assumptions'!$B$10))*(1+'Forecast Assumptions'!B52)</f>
        <v>139099950</v>
      </c>
      <c r="D42" s="68" t="n">
        <f aca="false">'Staff Costs'!D40*12*(1+('Scenario Assumptions'!B30+'Scenario Assumptions'!$B$10))*(1+'Forecast Assumptions'!B53)</f>
        <v>71991915.7776</v>
      </c>
      <c r="E42" s="70" t="n">
        <f aca="false">C42+D42</f>
        <v>211091865.7776</v>
      </c>
      <c r="F42" s="68" t="n">
        <f aca="false">(SUMIFS('Operating Expenditure'!C:C,'Operating Expenditure'!$B:$B,"FY25/26"))*(1+('Scenario Assumptions'!B33+'Scenario Assumptions'!$B$11))</f>
        <v>18374997.9</v>
      </c>
      <c r="G42" s="68" t="n">
        <f aca="false">(SUMIFS('Operating Expenditure'!E:E,'Operating Expenditure'!$B:$B,"FY25/26")+SUMIFS('Operating Expenditure'!G:G,'Operating Expenditure'!$B:$B,"FY25/26")+SUMIFS('Operating Expenditure'!I:I,'Operating Expenditure'!$B:$B,"FY25/26")+SUMIFS('Operating Expenditure'!K:K,'Operating Expenditure'!$B:$B,"FY25/26")+SUMIFS('Operating Expenditure'!M:M,'Operating Expenditure'!$B:$B,"FY25/26")+SUMIFS('Operating Expenditure'!O:O,'Operating Expenditure'!$B:$B,"FY25/26")+SUMIFS('Operating Expenditure'!Q:Q,'Operating Expenditure'!$B:$B,"FY25/26"))*(1+('Scenario Assumptions'!B34+'Scenario Assumptions'!$B$11))</f>
        <v>91080002.07</v>
      </c>
      <c r="H42" s="70" t="n">
        <f aca="false">F42+G42</f>
        <v>109454999.97</v>
      </c>
    </row>
    <row r="43" customFormat="false" ht="15" hidden="false" customHeight="true" outlineLevel="0" collapsed="false">
      <c r="A43" s="67" t="s">
        <v>143</v>
      </c>
      <c r="B43" s="67" t="s">
        <v>156</v>
      </c>
      <c r="C43" s="68" t="n">
        <f aca="false">C42*(1+('Scenario Assumptions'!C29+'Scenario Assumptions'!$B$10))*(1+'Forecast Assumptions'!C52)</f>
        <v>147557226.96</v>
      </c>
      <c r="D43" s="68" t="n">
        <f aca="false">D42*(1+('Scenario Assumptions'!C30+'Scenario Assumptions'!$B$10))*(1+'Forecast Assumptions'!C53)</f>
        <v>75994666.2948346</v>
      </c>
      <c r="E43" s="70" t="n">
        <f aca="false">C43+D43</f>
        <v>223551893.254835</v>
      </c>
      <c r="F43" s="68" t="n">
        <f aca="false">F42*(1+('Scenario Assumptions'!C33+'Scenario Assumptions'!$B$11))</f>
        <v>19109997.816</v>
      </c>
      <c r="G43" s="68" t="n">
        <f aca="false">G42*(1+('Scenario Assumptions'!C34+'Scenario Assumptions'!$B$11))</f>
        <v>94267802.14245</v>
      </c>
      <c r="H43" s="70" t="n">
        <f aca="false">F43+G43</f>
        <v>113377799.95845</v>
      </c>
    </row>
    <row r="44" customFormat="false" ht="15" hidden="false" customHeight="true" outlineLevel="0" collapsed="false">
      <c r="A44" s="67" t="s">
        <v>143</v>
      </c>
      <c r="B44" s="67" t="s">
        <v>157</v>
      </c>
      <c r="C44" s="68" t="n">
        <f aca="false">C43*(1+('Scenario Assumptions'!D29+'Scenario Assumptions'!$B$10))*(1+'Forecast Assumptions'!D52)</f>
        <v>156528706.359168</v>
      </c>
      <c r="D44" s="68" t="n">
        <f aca="false">D43*(1+('Scenario Assumptions'!D30+'Scenario Assumptions'!$B$10))*(1+'Forecast Assumptions'!D53)</f>
        <v>80219969.7408274</v>
      </c>
      <c r="E44" s="70" t="n">
        <f aca="false">C44+D44</f>
        <v>236748676.099995</v>
      </c>
      <c r="F44" s="68" t="n">
        <f aca="false">F43*(1+('Scenario Assumptions'!D33+'Scenario Assumptions'!$B$11))</f>
        <v>19778847.73956</v>
      </c>
      <c r="G44" s="68" t="n">
        <f aca="false">G43*(1+('Scenario Assumptions'!D34+'Scenario Assumptions'!$B$11))</f>
        <v>97567175.2174357</v>
      </c>
      <c r="H44" s="70" t="n">
        <f aca="false">F44+G44</f>
        <v>117346022.956996</v>
      </c>
    </row>
    <row r="45" customFormat="false" ht="15" hidden="false" customHeight="true" outlineLevel="0" collapsed="false">
      <c r="A45" s="67" t="s">
        <v>146</v>
      </c>
      <c r="B45" s="67" t="s">
        <v>155</v>
      </c>
      <c r="C45" s="68" t="n">
        <f aca="false">'Staff Costs'!C40*12*(1+('Scenario Assumptions'!B29+'Scenario Assumptions'!$C$10))*(1+'Forecast Assumptions'!B52)</f>
        <v>137768850</v>
      </c>
      <c r="D45" s="68" t="n">
        <f aca="false">'Staff Costs'!D40*12*(1+('Scenario Assumptions'!B30+'Scenario Assumptions'!$C$10))*(1+'Forecast Assumptions'!B53)</f>
        <v>71299685.8182</v>
      </c>
      <c r="E45" s="70" t="n">
        <f aca="false">C45+D45</f>
        <v>209068535.8182</v>
      </c>
      <c r="F45" s="68" t="n">
        <f aca="false">(SUMIFS('Operating Expenditure'!C:C,'Operating Expenditure'!$B:$B,"FY25/26"))*(1+('Scenario Assumptions'!B33+'Scenario Assumptions'!$C$11))</f>
        <v>18287497.91</v>
      </c>
      <c r="G45" s="68" t="n">
        <f aca="false">(SUMIFS('Operating Expenditure'!E:E,'Operating Expenditure'!$B:$B,"FY25/26")+SUMIFS('Operating Expenditure'!G:G,'Operating Expenditure'!$B:$B,"FY25/26")+SUMIFS('Operating Expenditure'!I:I,'Operating Expenditure'!$B:$B,"FY25/26")+SUMIFS('Operating Expenditure'!K:K,'Operating Expenditure'!$B:$B,"FY25/26")+SUMIFS('Operating Expenditure'!M:M,'Operating Expenditure'!$B:$B,"FY25/26")+SUMIFS('Operating Expenditure'!O:O,'Operating Expenditure'!$B:$B,"FY25/26")+SUMIFS('Operating Expenditure'!Q:Q,'Operating Expenditure'!$B:$B,"FY25/26"))*(1+('Scenario Assumptions'!B34+'Scenario Assumptions'!$C$11))</f>
        <v>90640002.06</v>
      </c>
      <c r="H45" s="70" t="n">
        <f aca="false">F45+G45</f>
        <v>108927499.97</v>
      </c>
    </row>
    <row r="46" customFormat="false" ht="15" hidden="false" customHeight="true" outlineLevel="0" collapsed="false">
      <c r="A46" s="67" t="s">
        <v>146</v>
      </c>
      <c r="B46" s="67" t="s">
        <v>156</v>
      </c>
      <c r="C46" s="68" t="n">
        <f aca="false">C45*(1+('Scenario Assumptions'!C29+'Scenario Assumptions'!$C$10))*(1+'Forecast Assumptions'!C52)</f>
        <v>144739953.81</v>
      </c>
      <c r="D46" s="68" t="n">
        <f aca="false">D45*(1+('Scenario Assumptions'!C30+'Scenario Assumptions'!$C$10))*(1+'Forecast Assumptions'!C53)</f>
        <v>74540256.5386372</v>
      </c>
      <c r="E46" s="70" t="n">
        <f aca="false">C46+D46</f>
        <v>219280210.348637</v>
      </c>
      <c r="F46" s="68" t="n">
        <f aca="false">F45*(1+('Scenario Assumptions'!C33+'Scenario Assumptions'!$C$11))</f>
        <v>18927560.33685</v>
      </c>
      <c r="G46" s="68" t="n">
        <f aca="false">G45*(1+('Scenario Assumptions'!C34+'Scenario Assumptions'!$C$11))</f>
        <v>93359202.1218</v>
      </c>
      <c r="H46" s="70" t="n">
        <f aca="false">F46+G46</f>
        <v>112286762.45865</v>
      </c>
    </row>
    <row r="47" customFormat="false" ht="15" hidden="false" customHeight="true" outlineLevel="0" collapsed="false">
      <c r="A47" s="67" t="s">
        <v>146</v>
      </c>
      <c r="B47" s="67" t="s">
        <v>157</v>
      </c>
      <c r="C47" s="68" t="n">
        <f aca="false">C46*(1+('Scenario Assumptions'!D29+'Scenario Assumptions'!$C$10))*(1+'Forecast Assumptions'!D52)</f>
        <v>152063795.472786</v>
      </c>
      <c r="D47" s="68" t="n">
        <f aca="false">D46*(1+('Scenario Assumptions'!D30+'Scenario Assumptions'!$C$10))*(1+'Forecast Assumptions'!D53)</f>
        <v>77928111.1983182</v>
      </c>
      <c r="E47" s="70" t="n">
        <f aca="false">C47+D47</f>
        <v>229991906.671104</v>
      </c>
      <c r="F47" s="68" t="n">
        <f aca="false">F46*(1+('Scenario Assumptions'!D33+'Scenario Assumptions'!$C$11))</f>
        <v>19495387.1469555</v>
      </c>
      <c r="G47" s="68" t="n">
        <f aca="false">G46*(1+('Scenario Assumptions'!D34+'Scenario Assumptions'!$C$11))</f>
        <v>96159978.185454</v>
      </c>
      <c r="H47" s="70" t="n">
        <f aca="false">F47+G47</f>
        <v>115655365.33241</v>
      </c>
    </row>
    <row r="48" customFormat="false" ht="15" hidden="false" customHeight="true" outlineLevel="0" collapsed="false">
      <c r="A48" s="67" t="s">
        <v>147</v>
      </c>
      <c r="B48" s="67" t="s">
        <v>155</v>
      </c>
      <c r="C48" s="68" t="n">
        <f aca="false">'Staff Costs'!C40*12*(1+('Scenario Assumptions'!B29+'Scenario Assumptions'!$D$10))*(1+'Forecast Assumptions'!B52)</f>
        <v>141096600</v>
      </c>
      <c r="D48" s="68" t="n">
        <f aca="false">'Staff Costs'!D40*12*(1+('Scenario Assumptions'!B30+'Scenario Assumptions'!$D$10))*(1+'Forecast Assumptions'!B53)</f>
        <v>73030260.7167</v>
      </c>
      <c r="E48" s="70" t="n">
        <f aca="false">C48+D48</f>
        <v>214126860.7167</v>
      </c>
      <c r="F48" s="68" t="n">
        <f aca="false">(SUMIFS('Operating Expenditure'!C:C,'Operating Expenditure'!$B:$B,"FY25/26"))*(1+('Scenario Assumptions'!B33+'Scenario Assumptions'!$D$11))</f>
        <v>18549997.88</v>
      </c>
      <c r="G48" s="68" t="n">
        <f aca="false">(SUMIFS('Operating Expenditure'!E:E,'Operating Expenditure'!$B:$B,"FY25/26")+SUMIFS('Operating Expenditure'!G:G,'Operating Expenditure'!$B:$B,"FY25/26")+SUMIFS('Operating Expenditure'!I:I,'Operating Expenditure'!$B:$B,"FY25/26")+SUMIFS('Operating Expenditure'!K:K,'Operating Expenditure'!$B:$B,"FY25/26")+SUMIFS('Operating Expenditure'!M:M,'Operating Expenditure'!$B:$B,"FY25/26")+SUMIFS('Operating Expenditure'!O:O,'Operating Expenditure'!$B:$B,"FY25/26")+SUMIFS('Operating Expenditure'!Q:Q,'Operating Expenditure'!$B:$B,"FY25/26"))*(1+('Scenario Assumptions'!B34+'Scenario Assumptions'!$D$11))</f>
        <v>91960002.09</v>
      </c>
      <c r="H48" s="70" t="n">
        <f aca="false">F48+G48</f>
        <v>110509999.97</v>
      </c>
    </row>
    <row r="49" customFormat="false" ht="15" hidden="false" customHeight="true" outlineLevel="0" collapsed="false">
      <c r="A49" s="67" t="s">
        <v>147</v>
      </c>
      <c r="B49" s="67" t="s">
        <v>156</v>
      </c>
      <c r="C49" s="68" t="n">
        <f aca="false">C48*(1+('Scenario Assumptions'!C29+'Scenario Assumptions'!$D$10))*(1+'Forecast Assumptions'!C52)</f>
        <v>151834051.26</v>
      </c>
      <c r="D49" s="68" t="n">
        <f aca="false">D48*(1+('Scenario Assumptions'!C30+'Scenario Assumptions'!$D$10))*(1+'Forecast Assumptions'!C53)</f>
        <v>78202628.9319603</v>
      </c>
      <c r="E49" s="70" t="n">
        <f aca="false">C49+D49</f>
        <v>230036680.19196</v>
      </c>
      <c r="F49" s="68" t="n">
        <f aca="false">F48*(1+('Scenario Assumptions'!C33+'Scenario Assumptions'!$D$11))</f>
        <v>19477497.774</v>
      </c>
      <c r="G49" s="68" t="n">
        <f aca="false">G48*(1+('Scenario Assumptions'!C34+'Scenario Assumptions'!$D$11))</f>
        <v>96098202.18405</v>
      </c>
      <c r="H49" s="70" t="n">
        <f aca="false">F49+G49</f>
        <v>115575699.95805</v>
      </c>
    </row>
    <row r="50" customFormat="false" ht="15" hidden="false" customHeight="true" outlineLevel="0" collapsed="false">
      <c r="A50" s="67" t="s">
        <v>147</v>
      </c>
      <c r="B50" s="67" t="s">
        <v>157</v>
      </c>
      <c r="C50" s="68" t="n">
        <f aca="false">C49*(1+('Scenario Assumptions'!D29+'Scenario Assumptions'!$D$10))*(1+'Forecast Assumptions'!D52)</f>
        <v>163388622.560886</v>
      </c>
      <c r="D50" s="68" t="n">
        <f aca="false">D49*(1+('Scenario Assumptions'!D30+'Scenario Assumptions'!$D$10))*(1+'Forecast Assumptions'!D53)</f>
        <v>83741330.1260663</v>
      </c>
      <c r="E50" s="70" t="n">
        <f aca="false">C50+D50</f>
        <v>247129952.686952</v>
      </c>
      <c r="F50" s="68" t="n">
        <f aca="false">F49*(1+('Scenario Assumptions'!D33+'Scenario Assumptions'!$D$11))</f>
        <v>20353985.17383</v>
      </c>
      <c r="G50" s="68" t="n">
        <f aca="false">G49*(1+('Scenario Assumptions'!D34+'Scenario Assumptions'!$D$11))</f>
        <v>100422621.282332</v>
      </c>
      <c r="H50" s="70" t="n">
        <f aca="false">F50+G50</f>
        <v>120776606.456162</v>
      </c>
    </row>
    <row r="52" customFormat="false" ht="15" hidden="false" customHeight="true" outlineLevel="0" collapsed="false">
      <c r="A52" s="65" t="s">
        <v>285</v>
      </c>
      <c r="B52" s="65"/>
      <c r="C52" s="65"/>
      <c r="D52" s="65"/>
      <c r="E52" s="65"/>
      <c r="F52" s="65"/>
      <c r="G52" s="65"/>
      <c r="H52" s="65"/>
    </row>
    <row r="53" customFormat="false" ht="30" hidden="false" customHeight="true" outlineLevel="0" collapsed="false">
      <c r="A53" s="66" t="s">
        <v>268</v>
      </c>
      <c r="B53" s="66" t="s">
        <v>2</v>
      </c>
      <c r="C53" s="66" t="s">
        <v>36</v>
      </c>
      <c r="D53" s="66" t="s">
        <v>282</v>
      </c>
      <c r="E53" s="66" t="s">
        <v>284</v>
      </c>
      <c r="F53" s="66" t="s">
        <v>65</v>
      </c>
      <c r="G53" s="66" t="s">
        <v>66</v>
      </c>
      <c r="H53" s="66" t="s">
        <v>72</v>
      </c>
    </row>
    <row r="54" customFormat="false" ht="15" hidden="false" customHeight="true" outlineLevel="0" collapsed="false">
      <c r="A54" s="67" t="s">
        <v>143</v>
      </c>
      <c r="B54" s="67" t="s">
        <v>155</v>
      </c>
      <c r="C54" s="68" t="n">
        <f aca="false">(C24+C27+C30+C33+C36)+'Income Forecast'!C54</f>
        <v>322545847.3025</v>
      </c>
      <c r="D54" s="68" t="n">
        <f aca="false">E42</f>
        <v>211091865.7776</v>
      </c>
      <c r="E54" s="68" t="n">
        <f aca="false">H42</f>
        <v>109454999.97</v>
      </c>
      <c r="F54" s="70" t="n">
        <f aca="false">C54-D54-E54</f>
        <v>1998981.55490002</v>
      </c>
      <c r="G54" s="71" t="n">
        <f aca="false">F54/C54</f>
        <v>0.00619751136657876</v>
      </c>
      <c r="H54" s="70" t="n">
        <f aca="false">'Forecast Assumptions'!B63+F54-'Forecast Assumptions'!B62</f>
        <v>39526164.8435224</v>
      </c>
    </row>
    <row r="55" customFormat="false" ht="15" hidden="false" customHeight="true" outlineLevel="0" collapsed="false">
      <c r="A55" s="67" t="s">
        <v>143</v>
      </c>
      <c r="B55" s="67" t="s">
        <v>156</v>
      </c>
      <c r="C55" s="68" t="n">
        <f aca="false">(D24+D27+D30+D33+D36)+'Income Forecast'!C55</f>
        <v>336753718.755396</v>
      </c>
      <c r="D55" s="68" t="n">
        <f aca="false">E43</f>
        <v>223551893.254835</v>
      </c>
      <c r="E55" s="68" t="n">
        <f aca="false">H43</f>
        <v>113377799.95845</v>
      </c>
      <c r="F55" s="70" t="n">
        <f aca="false">C55-D55-E55</f>
        <v>-175974.45788908</v>
      </c>
      <c r="G55" s="71" t="n">
        <f aca="false">F55/C55</f>
        <v>-0.000522561290605675</v>
      </c>
      <c r="H55" s="70" t="n">
        <f aca="false">H54+F55-'Forecast Assumptions'!C62</f>
        <v>28350190.3856333</v>
      </c>
    </row>
    <row r="56" customFormat="false" ht="15" hidden="false" customHeight="true" outlineLevel="0" collapsed="false">
      <c r="A56" s="67" t="s">
        <v>143</v>
      </c>
      <c r="B56" s="67" t="s">
        <v>157</v>
      </c>
      <c r="C56" s="68" t="n">
        <f aca="false">(E24+E27+E30+E33+E36)+'Income Forecast'!C56</f>
        <v>355434777.937282</v>
      </c>
      <c r="D56" s="68" t="n">
        <f aca="false">E44</f>
        <v>236748676.099995</v>
      </c>
      <c r="E56" s="68" t="n">
        <f aca="false">H44</f>
        <v>117346022.956996</v>
      </c>
      <c r="F56" s="70" t="n">
        <f aca="false">C56-D56-E56</f>
        <v>1340078.88029087</v>
      </c>
      <c r="G56" s="71" t="n">
        <f aca="false">F56/C56</f>
        <v>0.00377025255679209</v>
      </c>
      <c r="H56" s="70" t="n">
        <f aca="false">H55+F56-'Forecast Assumptions'!D62</f>
        <v>18190269.2659242</v>
      </c>
    </row>
    <row r="57" customFormat="false" ht="15" hidden="false" customHeight="true" outlineLevel="0" collapsed="false">
      <c r="A57" s="67" t="s">
        <v>146</v>
      </c>
      <c r="B57" s="67" t="s">
        <v>155</v>
      </c>
      <c r="C57" s="68" t="n">
        <f aca="false">(C25+C28+C31+C34+C37)+'Income Forecast'!C54</f>
        <v>326945501.93</v>
      </c>
      <c r="D57" s="68" t="n">
        <f aca="false">E45</f>
        <v>209068535.8182</v>
      </c>
      <c r="E57" s="68" t="n">
        <f aca="false">H45</f>
        <v>108927499.97</v>
      </c>
      <c r="F57" s="70" t="n">
        <f aca="false">C57-D57-E57</f>
        <v>8949466.14180002</v>
      </c>
      <c r="G57" s="71" t="n">
        <f aca="false">F57/C57</f>
        <v>0.0273729599855946</v>
      </c>
      <c r="H57" s="70" t="n">
        <f aca="false">'Forecast Assumptions'!B63+F57-'Forecast Assumptions'!B62</f>
        <v>46476649.4304224</v>
      </c>
    </row>
    <row r="58" customFormat="false" ht="15" hidden="false" customHeight="true" outlineLevel="0" collapsed="false">
      <c r="A58" s="67" t="s">
        <v>146</v>
      </c>
      <c r="B58" s="67" t="s">
        <v>156</v>
      </c>
      <c r="C58" s="68" t="n">
        <f aca="false">(D25+D28+D31+D34+D37)+'Income Forecast'!C55</f>
        <v>346085781.859371</v>
      </c>
      <c r="D58" s="68" t="n">
        <f aca="false">E46</f>
        <v>219280210.348637</v>
      </c>
      <c r="E58" s="68" t="n">
        <f aca="false">H46</f>
        <v>112286762.45865</v>
      </c>
      <c r="F58" s="70" t="n">
        <f aca="false">C58-D58-E58</f>
        <v>14518809.052084</v>
      </c>
      <c r="G58" s="71" t="n">
        <f aca="false">F58/C58</f>
        <v>0.04195147507673</v>
      </c>
      <c r="H58" s="70" t="n">
        <f aca="false">H57+F58-'Forecast Assumptions'!C62</f>
        <v>49995458.4825064</v>
      </c>
    </row>
    <row r="59" customFormat="false" ht="15" hidden="false" customHeight="true" outlineLevel="0" collapsed="false">
      <c r="A59" s="67" t="s">
        <v>146</v>
      </c>
      <c r="B59" s="67" t="s">
        <v>157</v>
      </c>
      <c r="C59" s="68" t="n">
        <f aca="false">(E25+E28+E31+E34+E37)+'Income Forecast'!C56</f>
        <v>370499145.033546</v>
      </c>
      <c r="D59" s="68" t="n">
        <f aca="false">E47</f>
        <v>229991906.671104</v>
      </c>
      <c r="E59" s="68" t="n">
        <f aca="false">H47</f>
        <v>115655365.33241</v>
      </c>
      <c r="F59" s="70" t="n">
        <f aca="false">C59-D59-E59</f>
        <v>24851873.0300317</v>
      </c>
      <c r="G59" s="71" t="n">
        <f aca="false">F59/C59</f>
        <v>0.067076735164346</v>
      </c>
      <c r="H59" s="70" t="n">
        <f aca="false">H58+F59-'Forecast Assumptions'!D62</f>
        <v>63347331.5125382</v>
      </c>
    </row>
    <row r="60" customFormat="false" ht="15" hidden="false" customHeight="true" outlineLevel="0" collapsed="false">
      <c r="A60" s="67" t="s">
        <v>147</v>
      </c>
      <c r="B60" s="67" t="s">
        <v>155</v>
      </c>
      <c r="C60" s="68" t="n">
        <f aca="false">(C26+C29+C32+C35+C38)+'Income Forecast'!C54</f>
        <v>315946365.36125</v>
      </c>
      <c r="D60" s="68" t="n">
        <f aca="false">E48</f>
        <v>214126860.7167</v>
      </c>
      <c r="E60" s="68" t="n">
        <f aca="false">H48</f>
        <v>110509999.97</v>
      </c>
      <c r="F60" s="70" t="n">
        <f aca="false">C60-D60-E60</f>
        <v>-8690495.32544994</v>
      </c>
      <c r="G60" s="71" t="n">
        <f aca="false">F60/C60</f>
        <v>-0.0275062361154664</v>
      </c>
      <c r="H60" s="70" t="n">
        <f aca="false">'Forecast Assumptions'!B63+F60-'Forecast Assumptions'!B62</f>
        <v>28836687.9631724</v>
      </c>
    </row>
    <row r="61" customFormat="false" ht="15" hidden="false" customHeight="true" outlineLevel="0" collapsed="false">
      <c r="A61" s="67" t="s">
        <v>147</v>
      </c>
      <c r="B61" s="67" t="s">
        <v>156</v>
      </c>
      <c r="C61" s="68" t="n">
        <f aca="false">(D26+D29+D32+D35+D38)+'Income Forecast'!C55</f>
        <v>323096435.426599</v>
      </c>
      <c r="D61" s="68" t="n">
        <f aca="false">E49</f>
        <v>230036680.19196</v>
      </c>
      <c r="E61" s="68" t="n">
        <f aca="false">H49</f>
        <v>115575699.95805</v>
      </c>
      <c r="F61" s="70" t="n">
        <f aca="false">C61-D61-E61</f>
        <v>-22515944.7234113</v>
      </c>
      <c r="G61" s="71" t="n">
        <f aca="false">F61/C61</f>
        <v>-0.0696880010257077</v>
      </c>
      <c r="H61" s="70" t="n">
        <f aca="false">H60+F61-'Forecast Assumptions'!C62</f>
        <v>-4679256.76023888</v>
      </c>
    </row>
    <row r="62" customFormat="false" ht="15" hidden="false" customHeight="true" outlineLevel="0" collapsed="false">
      <c r="A62" s="67" t="s">
        <v>147</v>
      </c>
      <c r="B62" s="67" t="s">
        <v>157</v>
      </c>
      <c r="C62" s="68" t="n">
        <f aca="false">(E26+E29+E32+E35+E38)+'Income Forecast'!C56</f>
        <v>333923142.855075</v>
      </c>
      <c r="D62" s="68" t="n">
        <f aca="false">E50</f>
        <v>247129952.686952</v>
      </c>
      <c r="E62" s="68" t="n">
        <f aca="false">H50</f>
        <v>120776606.456162</v>
      </c>
      <c r="F62" s="70" t="n">
        <f aca="false">C62-D62-E62</f>
        <v>-33983416.2880397</v>
      </c>
      <c r="G62" s="71" t="n">
        <f aca="false">F62/C62</f>
        <v>-0.101770173811489</v>
      </c>
      <c r="H62" s="70" t="n">
        <f aca="false">H61+F62-'Forecast Assumptions'!D62</f>
        <v>-50162673.0482786</v>
      </c>
    </row>
    <row r="64" customFormat="false" ht="45.75" hidden="false" customHeight="true" outlineLevel="0" collapsed="false">
      <c r="A64" s="79" t="s">
        <v>286</v>
      </c>
      <c r="B64" s="79"/>
      <c r="C64" s="79"/>
      <c r="D64" s="79"/>
      <c r="E64" s="79"/>
      <c r="F64" s="79"/>
      <c r="G64" s="79"/>
      <c r="H64" s="79"/>
    </row>
  </sheetData>
  <mergeCells count="7">
    <mergeCell ref="A1:M1"/>
    <mergeCell ref="A2:M2"/>
    <mergeCell ref="A4:M4"/>
    <mergeCell ref="A22:E22"/>
    <mergeCell ref="A40:H40"/>
    <mergeCell ref="A52:H52"/>
    <mergeCell ref="A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0" min="2" style="1" width="13"/>
  </cols>
  <sheetData>
    <row r="1" customFormat="false" ht="21.75" hidden="false" customHeight="true" outlineLevel="0" collapsed="false">
      <c r="A1" s="16" t="s">
        <v>287</v>
      </c>
      <c r="B1" s="16"/>
      <c r="C1" s="16"/>
      <c r="D1" s="16"/>
      <c r="E1" s="16"/>
      <c r="F1" s="16"/>
      <c r="G1" s="16"/>
      <c r="H1" s="16"/>
      <c r="I1" s="16"/>
      <c r="J1" s="16"/>
    </row>
    <row r="2" customFormat="false" ht="48" hidden="false" customHeight="true" outlineLevel="0" collapsed="false">
      <c r="A2" s="64" t="s">
        <v>288</v>
      </c>
      <c r="B2" s="64"/>
      <c r="C2" s="64"/>
      <c r="D2" s="64"/>
      <c r="E2" s="64"/>
      <c r="F2" s="64"/>
      <c r="G2" s="64"/>
      <c r="H2" s="64"/>
      <c r="I2" s="64"/>
      <c r="J2" s="64"/>
    </row>
    <row r="4" customFormat="false" ht="15" hidden="false" customHeight="true" outlineLevel="0" collapsed="false">
      <c r="A4" s="65" t="s">
        <v>289</v>
      </c>
      <c r="B4" s="65"/>
      <c r="C4" s="65"/>
      <c r="D4" s="65"/>
      <c r="E4" s="65"/>
      <c r="F4" s="65"/>
      <c r="G4" s="65"/>
      <c r="H4" s="65"/>
      <c r="I4" s="65"/>
      <c r="J4" s="65"/>
    </row>
    <row r="5" customFormat="false" ht="15" hidden="false" customHeight="true" outlineLevel="0" collapsed="false">
      <c r="A5" s="67" t="s">
        <v>290</v>
      </c>
      <c r="B5" s="94" t="n">
        <v>-0.04</v>
      </c>
      <c r="C5" s="94" t="n">
        <v>-0.03</v>
      </c>
      <c r="D5" s="94" t="n">
        <v>-0.02</v>
      </c>
      <c r="E5" s="94" t="n">
        <v>-0.01</v>
      </c>
      <c r="F5" s="94" t="n">
        <v>0</v>
      </c>
      <c r="G5" s="94" t="n">
        <v>0.01</v>
      </c>
      <c r="H5" s="94" t="n">
        <v>0.02</v>
      </c>
      <c r="I5" s="94" t="n">
        <v>0.03</v>
      </c>
      <c r="J5" s="94" t="n">
        <v>0.04</v>
      </c>
    </row>
    <row r="7" customFormat="false" ht="15" hidden="false" customHeight="true" outlineLevel="0" collapsed="false">
      <c r="A7" s="65" t="s">
        <v>291</v>
      </c>
      <c r="B7" s="65"/>
      <c r="C7" s="65"/>
      <c r="D7" s="65"/>
      <c r="E7" s="65"/>
      <c r="F7" s="65"/>
      <c r="G7" s="65"/>
      <c r="H7" s="65"/>
      <c r="I7" s="65"/>
      <c r="J7" s="65"/>
    </row>
    <row r="8" customFormat="false" ht="15" hidden="false" customHeight="true" outlineLevel="0" collapsed="false">
      <c r="A8" s="95" t="s">
        <v>3</v>
      </c>
      <c r="B8" s="95"/>
      <c r="C8" s="95"/>
      <c r="D8" s="95"/>
      <c r="E8" s="95"/>
      <c r="F8" s="95"/>
      <c r="G8" s="95"/>
      <c r="H8" s="95"/>
      <c r="I8" s="95"/>
      <c r="J8" s="95"/>
    </row>
    <row r="9" customFormat="false" ht="15" hidden="false" customHeight="true" outlineLevel="0" collapsed="false">
      <c r="A9" s="73" t="s">
        <v>292</v>
      </c>
      <c r="B9" s="93" t="n">
        <f aca="false">('Student Flow Summary'!D7/('Forecast Assumptions'!C7*'Forecast Assumptions'!C8))*(1+'Scenario Assumptions'!B22+B$5)</f>
        <v>6282.05128205128</v>
      </c>
      <c r="C9" s="93" t="n">
        <f aca="false">('Student Flow Summary'!D7/('Forecast Assumptions'!C7*'Forecast Assumptions'!C8))*(1+'Scenario Assumptions'!B22+C$5)</f>
        <v>6346.15384615385</v>
      </c>
      <c r="D9" s="93" t="n">
        <f aca="false">('Student Flow Summary'!D7/('Forecast Assumptions'!C7*'Forecast Assumptions'!C8))*(1+'Scenario Assumptions'!B22+D$5)</f>
        <v>6410.25641025641</v>
      </c>
      <c r="E9" s="93" t="n">
        <f aca="false">('Student Flow Summary'!D7/('Forecast Assumptions'!C7*'Forecast Assumptions'!C8))*(1+'Scenario Assumptions'!B22+E$5)</f>
        <v>6474.35897435898</v>
      </c>
      <c r="F9" s="93" t="n">
        <f aca="false">('Student Flow Summary'!D7/('Forecast Assumptions'!C7*'Forecast Assumptions'!C8))*(1+'Scenario Assumptions'!B22+F$5)</f>
        <v>6538.46153846154</v>
      </c>
      <c r="G9" s="93" t="n">
        <f aca="false">('Student Flow Summary'!D7/('Forecast Assumptions'!C7*'Forecast Assumptions'!C8))*(1+'Scenario Assumptions'!B22+G$5)</f>
        <v>6602.5641025641</v>
      </c>
      <c r="H9" s="93" t="n">
        <f aca="false">('Student Flow Summary'!D7/('Forecast Assumptions'!C7*'Forecast Assumptions'!C8))*(1+'Scenario Assumptions'!B22+H$5)</f>
        <v>6666.66666666667</v>
      </c>
      <c r="I9" s="93" t="n">
        <f aca="false">('Student Flow Summary'!D7/('Forecast Assumptions'!C7*'Forecast Assumptions'!C8))*(1+'Scenario Assumptions'!B22+I$5)</f>
        <v>6730.76923076923</v>
      </c>
      <c r="J9" s="93" t="n">
        <f aca="false">('Student Flow Summary'!D7/('Forecast Assumptions'!C7*'Forecast Assumptions'!C8))*(1+'Scenario Assumptions'!B22+J$5)</f>
        <v>6794.8717948718</v>
      </c>
    </row>
    <row r="10" customFormat="false" ht="15" hidden="false" customHeight="true" outlineLevel="0" collapsed="false">
      <c r="A10" s="73" t="s">
        <v>293</v>
      </c>
      <c r="B10" s="93" t="n">
        <f aca="false">B9*'Forecast Assumptions'!C7*'Forecast Assumptions'!C8</f>
        <v>3038</v>
      </c>
      <c r="C10" s="93" t="n">
        <f aca="false">C9*'Forecast Assumptions'!C7*'Forecast Assumptions'!C8</f>
        <v>3069</v>
      </c>
      <c r="D10" s="93" t="n">
        <f aca="false">D9*'Forecast Assumptions'!C7*'Forecast Assumptions'!C8</f>
        <v>3100</v>
      </c>
      <c r="E10" s="93" t="n">
        <f aca="false">E9*'Forecast Assumptions'!C7*'Forecast Assumptions'!C8</f>
        <v>3131</v>
      </c>
      <c r="F10" s="93" t="n">
        <f aca="false">F9*'Forecast Assumptions'!C7*'Forecast Assumptions'!C8</f>
        <v>3162</v>
      </c>
      <c r="G10" s="93" t="n">
        <f aca="false">G9*'Forecast Assumptions'!C7*'Forecast Assumptions'!C8</f>
        <v>3193</v>
      </c>
      <c r="H10" s="93" t="n">
        <f aca="false">H9*'Forecast Assumptions'!C7*'Forecast Assumptions'!C8</f>
        <v>3224</v>
      </c>
      <c r="I10" s="93" t="n">
        <f aca="false">I9*'Forecast Assumptions'!C7*'Forecast Assumptions'!C8</f>
        <v>3255</v>
      </c>
      <c r="J10" s="93" t="n">
        <f aca="false">J9*'Forecast Assumptions'!C7*'Forecast Assumptions'!C8</f>
        <v>3286</v>
      </c>
    </row>
    <row r="11" customFormat="false" ht="15" hidden="false" customHeight="true" outlineLevel="0" collapsed="false">
      <c r="A11" s="73" t="s">
        <v>294</v>
      </c>
      <c r="B11" s="93" t="n">
        <f aca="false">B9*(1+'Scenario Assumptions'!C22+B$5)</f>
        <v>6156.41025641026</v>
      </c>
      <c r="C11" s="93" t="n">
        <f aca="false">C9*(1+'Scenario Assumptions'!C22+C$5)</f>
        <v>6282.69230769231</v>
      </c>
      <c r="D11" s="93" t="n">
        <f aca="false">D9*(1+'Scenario Assumptions'!C22+D$5)</f>
        <v>6410.25641025641</v>
      </c>
      <c r="E11" s="93" t="n">
        <f aca="false">E9*(1+'Scenario Assumptions'!C22+E$5)</f>
        <v>6539.10256410256</v>
      </c>
      <c r="F11" s="93" t="n">
        <f aca="false">F9*(1+'Scenario Assumptions'!C22+F$5)</f>
        <v>6669.23076923077</v>
      </c>
      <c r="G11" s="93" t="n">
        <f aca="false">G9*(1+'Scenario Assumptions'!C22+G$5)</f>
        <v>6800.64102564103</v>
      </c>
      <c r="H11" s="93" t="n">
        <f aca="false">H9*(1+'Scenario Assumptions'!C22+H$5)</f>
        <v>6933.33333333333</v>
      </c>
      <c r="I11" s="93" t="n">
        <f aca="false">I9*(1+'Scenario Assumptions'!C22+I$5)</f>
        <v>7067.30769230769</v>
      </c>
      <c r="J11" s="93" t="n">
        <f aca="false">J9*(1+'Scenario Assumptions'!C22+J$5)</f>
        <v>7202.5641025641</v>
      </c>
    </row>
    <row r="12" customFormat="false" ht="15" hidden="false" customHeight="true" outlineLevel="0" collapsed="false">
      <c r="A12" s="73" t="s">
        <v>295</v>
      </c>
      <c r="B12" s="93" t="n">
        <f aca="false">B11*'Forecast Assumptions'!D7*'Forecast Assumptions'!D8</f>
        <v>2977.24</v>
      </c>
      <c r="C12" s="93" t="n">
        <f aca="false">C11*'Forecast Assumptions'!D7*'Forecast Assumptions'!D8</f>
        <v>3038.31</v>
      </c>
      <c r="D12" s="93" t="n">
        <f aca="false">D11*'Forecast Assumptions'!D7*'Forecast Assumptions'!D8</f>
        <v>3100</v>
      </c>
      <c r="E12" s="93" t="n">
        <f aca="false">E11*'Forecast Assumptions'!D7*'Forecast Assumptions'!D8</f>
        <v>3162.31</v>
      </c>
      <c r="F12" s="93" t="n">
        <f aca="false">F11*'Forecast Assumptions'!D7*'Forecast Assumptions'!D8</f>
        <v>3225.24</v>
      </c>
      <c r="G12" s="93" t="n">
        <f aca="false">G11*'Forecast Assumptions'!D7*'Forecast Assumptions'!D8</f>
        <v>3288.79</v>
      </c>
      <c r="H12" s="93" t="n">
        <f aca="false">H11*'Forecast Assumptions'!D7*'Forecast Assumptions'!D8</f>
        <v>3352.96</v>
      </c>
      <c r="I12" s="93" t="n">
        <f aca="false">I11*'Forecast Assumptions'!D7*'Forecast Assumptions'!D8</f>
        <v>3417.75</v>
      </c>
      <c r="J12" s="93" t="n">
        <f aca="false">J11*'Forecast Assumptions'!D7*'Forecast Assumptions'!D8</f>
        <v>3483.16</v>
      </c>
    </row>
    <row r="13" customFormat="false" ht="15" hidden="false" customHeight="true" outlineLevel="0" collapsed="false">
      <c r="A13" s="73" t="s">
        <v>296</v>
      </c>
      <c r="B13" s="93" t="n">
        <f aca="false">'Student Headcount'!C30*(B10/'Student Flow Summary'!D7)</f>
        <v>9065</v>
      </c>
      <c r="C13" s="93" t="n">
        <f aca="false">'Student Headcount'!C30*(C10/'Student Flow Summary'!D7)</f>
        <v>9157.5</v>
      </c>
      <c r="D13" s="93" t="n">
        <f aca="false">'Student Headcount'!C30*(D10/'Student Flow Summary'!D7)</f>
        <v>9250</v>
      </c>
      <c r="E13" s="93" t="n">
        <f aca="false">'Student Headcount'!C30*(E10/'Student Flow Summary'!D7)</f>
        <v>9342.5</v>
      </c>
      <c r="F13" s="93" t="n">
        <f aca="false">'Student Headcount'!C30*(F10/'Student Flow Summary'!D7)</f>
        <v>9435</v>
      </c>
      <c r="G13" s="93" t="n">
        <f aca="false">'Student Headcount'!C30*(G10/'Student Flow Summary'!D7)</f>
        <v>9527.5</v>
      </c>
      <c r="H13" s="93" t="n">
        <f aca="false">'Student Headcount'!C30*(H10/'Student Flow Summary'!D7)</f>
        <v>9620</v>
      </c>
      <c r="I13" s="93" t="n">
        <f aca="false">'Student Headcount'!C30*(I10/'Student Flow Summary'!D7)</f>
        <v>9712.5</v>
      </c>
      <c r="J13" s="93" t="n">
        <f aca="false">'Student Headcount'!C30*(J10/'Student Flow Summary'!D7)</f>
        <v>9805</v>
      </c>
    </row>
    <row r="14" customFormat="false" ht="15" hidden="false" customHeight="true" outlineLevel="0" collapsed="false">
      <c r="A14" s="73" t="s">
        <v>297</v>
      </c>
      <c r="B14" s="93" t="n">
        <f aca="false">B13*(B12/B10)</f>
        <v>8883.7</v>
      </c>
      <c r="C14" s="93" t="n">
        <f aca="false">C13*(C12/C10)</f>
        <v>9065.925</v>
      </c>
      <c r="D14" s="93" t="n">
        <f aca="false">D13*(D12/D10)</f>
        <v>9250</v>
      </c>
      <c r="E14" s="93" t="n">
        <f aca="false">E13*(E12/E10)</f>
        <v>9435.925</v>
      </c>
      <c r="F14" s="93" t="n">
        <f aca="false">F13*(F12/F10)</f>
        <v>9623.7</v>
      </c>
      <c r="G14" s="93" t="n">
        <f aca="false">G13*(G12/G10)</f>
        <v>9813.325</v>
      </c>
      <c r="H14" s="93" t="n">
        <f aca="false">H13*(H12/H10)</f>
        <v>10004.8</v>
      </c>
      <c r="I14" s="93" t="n">
        <f aca="false">I13*(I12/I10)</f>
        <v>10198.125</v>
      </c>
      <c r="J14" s="93" t="n">
        <f aca="false">J13*(J12/J10)</f>
        <v>10393.3</v>
      </c>
    </row>
    <row r="15" customFormat="false" ht="15" hidden="false" customHeight="true" outlineLevel="0" collapsed="false">
      <c r="A15" s="95" t="s">
        <v>5</v>
      </c>
      <c r="B15" s="95"/>
      <c r="C15" s="95"/>
      <c r="D15" s="95"/>
      <c r="E15" s="95"/>
      <c r="F15" s="95"/>
      <c r="G15" s="95"/>
      <c r="H15" s="95"/>
      <c r="I15" s="95"/>
      <c r="J15" s="95"/>
    </row>
    <row r="16" customFormat="false" ht="15" hidden="false" customHeight="true" outlineLevel="0" collapsed="false">
      <c r="A16" s="73" t="s">
        <v>292</v>
      </c>
      <c r="B16" s="93" t="n">
        <f aca="false">('Student Flow Summary'!D10/('Forecast Assumptions'!C12*'Forecast Assumptions'!C13))*(1+'Scenario Assumptions'!B23+B$5)</f>
        <v>2031.33116883117</v>
      </c>
      <c r="C16" s="93" t="n">
        <f aca="false">('Student Flow Summary'!D10/('Forecast Assumptions'!C12*'Forecast Assumptions'!C13))*(1+'Scenario Assumptions'!B23+C$5)</f>
        <v>2052.27272727273</v>
      </c>
      <c r="D16" s="93" t="n">
        <f aca="false">('Student Flow Summary'!D10/('Forecast Assumptions'!C12*'Forecast Assumptions'!C13))*(1+'Scenario Assumptions'!B23+D$5)</f>
        <v>2073.21428571429</v>
      </c>
      <c r="E16" s="93" t="n">
        <f aca="false">('Student Flow Summary'!D10/('Forecast Assumptions'!C12*'Forecast Assumptions'!C13))*(1+'Scenario Assumptions'!B23+E$5)</f>
        <v>2094.15584415584</v>
      </c>
      <c r="F16" s="93" t="n">
        <f aca="false">('Student Flow Summary'!D10/('Forecast Assumptions'!C12*'Forecast Assumptions'!C13))*(1+'Scenario Assumptions'!B23+F$5)</f>
        <v>2115.0974025974</v>
      </c>
      <c r="G16" s="93" t="n">
        <f aca="false">('Student Flow Summary'!D10/('Forecast Assumptions'!C12*'Forecast Assumptions'!C13))*(1+'Scenario Assumptions'!B23+G$5)</f>
        <v>2136.03896103896</v>
      </c>
      <c r="H16" s="93" t="n">
        <f aca="false">('Student Flow Summary'!D10/('Forecast Assumptions'!C12*'Forecast Assumptions'!C13))*(1+'Scenario Assumptions'!B23+H$5)</f>
        <v>2156.98051948052</v>
      </c>
      <c r="I16" s="93" t="n">
        <f aca="false">('Student Flow Summary'!D10/('Forecast Assumptions'!C12*'Forecast Assumptions'!C13))*(1+'Scenario Assumptions'!B23+I$5)</f>
        <v>2177.92207792208</v>
      </c>
      <c r="J16" s="93" t="n">
        <f aca="false">('Student Flow Summary'!D10/('Forecast Assumptions'!C12*'Forecast Assumptions'!C13))*(1+'Scenario Assumptions'!B23+J$5)</f>
        <v>2198.86363636364</v>
      </c>
    </row>
    <row r="17" customFormat="false" ht="15" hidden="false" customHeight="true" outlineLevel="0" collapsed="false">
      <c r="A17" s="73" t="s">
        <v>293</v>
      </c>
      <c r="B17" s="93" t="n">
        <f aca="false">B16*'Forecast Assumptions'!C12*'Forecast Assumptions'!C13</f>
        <v>625.65</v>
      </c>
      <c r="C17" s="93" t="n">
        <f aca="false">C16*'Forecast Assumptions'!C12*'Forecast Assumptions'!C13</f>
        <v>632.1</v>
      </c>
      <c r="D17" s="93" t="n">
        <f aca="false">D16*'Forecast Assumptions'!C12*'Forecast Assumptions'!C13</f>
        <v>638.55</v>
      </c>
      <c r="E17" s="93" t="n">
        <f aca="false">E16*'Forecast Assumptions'!C12*'Forecast Assumptions'!C13</f>
        <v>645</v>
      </c>
      <c r="F17" s="93" t="n">
        <f aca="false">F16*'Forecast Assumptions'!C12*'Forecast Assumptions'!C13</f>
        <v>651.45</v>
      </c>
      <c r="G17" s="93" t="n">
        <f aca="false">G16*'Forecast Assumptions'!C12*'Forecast Assumptions'!C13</f>
        <v>657.9</v>
      </c>
      <c r="H17" s="93" t="n">
        <f aca="false">H16*'Forecast Assumptions'!C12*'Forecast Assumptions'!C13</f>
        <v>664.35</v>
      </c>
      <c r="I17" s="93" t="n">
        <f aca="false">I16*'Forecast Assumptions'!C12*'Forecast Assumptions'!C13</f>
        <v>670.8</v>
      </c>
      <c r="J17" s="93" t="n">
        <f aca="false">J16*'Forecast Assumptions'!C12*'Forecast Assumptions'!C13</f>
        <v>677.25</v>
      </c>
    </row>
    <row r="18" customFormat="false" ht="15" hidden="false" customHeight="true" outlineLevel="0" collapsed="false">
      <c r="A18" s="73" t="s">
        <v>294</v>
      </c>
      <c r="B18" s="93" t="n">
        <f aca="false">B16*(1+'Scenario Assumptions'!C23+B$5)</f>
        <v>1970.39123376623</v>
      </c>
      <c r="C18" s="93" t="n">
        <f aca="false">C16*(1+'Scenario Assumptions'!C23+C$5)</f>
        <v>2011.22727272727</v>
      </c>
      <c r="D18" s="93" t="n">
        <f aca="false">D16*(1+'Scenario Assumptions'!C23+D$5)</f>
        <v>2052.48214285714</v>
      </c>
      <c r="E18" s="93" t="n">
        <f aca="false">E16*(1+'Scenario Assumptions'!C23+E$5)</f>
        <v>2094.15584415584</v>
      </c>
      <c r="F18" s="93" t="n">
        <f aca="false">F16*(1+'Scenario Assumptions'!C23+F$5)</f>
        <v>2136.24837662338</v>
      </c>
      <c r="G18" s="93" t="n">
        <f aca="false">G16*(1+'Scenario Assumptions'!C23+G$5)</f>
        <v>2178.75974025974</v>
      </c>
      <c r="H18" s="93" t="n">
        <f aca="false">H16*(1+'Scenario Assumptions'!C23+H$5)</f>
        <v>2221.68993506494</v>
      </c>
      <c r="I18" s="93" t="n">
        <f aca="false">I16*(1+'Scenario Assumptions'!C23+I$5)</f>
        <v>2265.03896103896</v>
      </c>
      <c r="J18" s="93" t="n">
        <f aca="false">J16*(1+'Scenario Assumptions'!C23+J$5)</f>
        <v>2308.80681818182</v>
      </c>
    </row>
    <row r="19" customFormat="false" ht="15" hidden="false" customHeight="true" outlineLevel="0" collapsed="false">
      <c r="A19" s="73" t="s">
        <v>295</v>
      </c>
      <c r="B19" s="93" t="n">
        <f aca="false">B18*'Forecast Assumptions'!D12*'Forecast Assumptions'!D13</f>
        <v>606.8805</v>
      </c>
      <c r="C19" s="93" t="n">
        <f aca="false">C18*'Forecast Assumptions'!D12*'Forecast Assumptions'!D13</f>
        <v>619.458</v>
      </c>
      <c r="D19" s="93" t="n">
        <f aca="false">D18*'Forecast Assumptions'!D12*'Forecast Assumptions'!D13</f>
        <v>632.1645</v>
      </c>
      <c r="E19" s="93" t="n">
        <f aca="false">E18*'Forecast Assumptions'!D12*'Forecast Assumptions'!D13</f>
        <v>645</v>
      </c>
      <c r="F19" s="93" t="n">
        <f aca="false">F18*'Forecast Assumptions'!D12*'Forecast Assumptions'!D13</f>
        <v>657.9645</v>
      </c>
      <c r="G19" s="93" t="n">
        <f aca="false">G18*'Forecast Assumptions'!D12*'Forecast Assumptions'!D13</f>
        <v>671.058</v>
      </c>
      <c r="H19" s="93" t="n">
        <f aca="false">H18*'Forecast Assumptions'!D12*'Forecast Assumptions'!D13</f>
        <v>684.2805</v>
      </c>
      <c r="I19" s="93" t="n">
        <f aca="false">I18*'Forecast Assumptions'!D12*'Forecast Assumptions'!D13</f>
        <v>697.632</v>
      </c>
      <c r="J19" s="93" t="n">
        <f aca="false">J18*'Forecast Assumptions'!D12*'Forecast Assumptions'!D13</f>
        <v>711.1125</v>
      </c>
    </row>
    <row r="20" customFormat="false" ht="15" hidden="false" customHeight="true" outlineLevel="0" collapsed="false">
      <c r="A20" s="73" t="s">
        <v>296</v>
      </c>
      <c r="B20" s="93" t="n">
        <f aca="false">'Student Headcount'!E30*(B17/'Student Flow Summary'!D10)</f>
        <v>2019.54</v>
      </c>
      <c r="C20" s="93" t="n">
        <f aca="false">'Student Headcount'!E30*(C17/'Student Flow Summary'!D10)</f>
        <v>2040.36</v>
      </c>
      <c r="D20" s="93" t="n">
        <f aca="false">'Student Headcount'!E30*(D17/'Student Flow Summary'!D10)</f>
        <v>2061.18</v>
      </c>
      <c r="E20" s="93" t="n">
        <f aca="false">'Student Headcount'!E30*(E17/'Student Flow Summary'!D10)</f>
        <v>2082</v>
      </c>
      <c r="F20" s="93" t="n">
        <f aca="false">'Student Headcount'!E30*(F17/'Student Flow Summary'!D10)</f>
        <v>2102.82</v>
      </c>
      <c r="G20" s="93" t="n">
        <f aca="false">'Student Headcount'!E30*(G17/'Student Flow Summary'!D10)</f>
        <v>2123.64</v>
      </c>
      <c r="H20" s="93" t="n">
        <f aca="false">'Student Headcount'!E30*(H17/'Student Flow Summary'!D10)</f>
        <v>2144.46</v>
      </c>
      <c r="I20" s="93" t="n">
        <f aca="false">'Student Headcount'!E30*(I17/'Student Flow Summary'!D10)</f>
        <v>2165.28</v>
      </c>
      <c r="J20" s="93" t="n">
        <f aca="false">'Student Headcount'!E30*(J17/'Student Flow Summary'!D10)</f>
        <v>2186.1</v>
      </c>
    </row>
    <row r="21" customFormat="false" ht="15" hidden="false" customHeight="true" outlineLevel="0" collapsed="false">
      <c r="A21" s="73" t="s">
        <v>297</v>
      </c>
      <c r="B21" s="93" t="n">
        <f aca="false">B20*(B19/B17)</f>
        <v>1958.9538</v>
      </c>
      <c r="C21" s="93" t="n">
        <f aca="false">C20*(C19/C17)</f>
        <v>1999.5528</v>
      </c>
      <c r="D21" s="93" t="n">
        <f aca="false">D20*(D19/D17)</f>
        <v>2040.5682</v>
      </c>
      <c r="E21" s="93" t="n">
        <f aca="false">E20*(E19/E17)</f>
        <v>2082</v>
      </c>
      <c r="F21" s="93" t="n">
        <f aca="false">F20*(F19/F17)</f>
        <v>2123.8482</v>
      </c>
      <c r="G21" s="93" t="n">
        <f aca="false">G20*(G19/G17)</f>
        <v>2166.1128</v>
      </c>
      <c r="H21" s="93" t="n">
        <f aca="false">H20*(H19/H17)</f>
        <v>2208.7938</v>
      </c>
      <c r="I21" s="93" t="n">
        <f aca="false">I20*(I19/I17)</f>
        <v>2251.8912</v>
      </c>
      <c r="J21" s="93" t="n">
        <f aca="false">J20*(J19/J17)</f>
        <v>2295.405</v>
      </c>
    </row>
    <row r="22" customFormat="false" ht="15" hidden="false" customHeight="true" outlineLevel="0" collapsed="false">
      <c r="A22" s="95" t="s">
        <v>6</v>
      </c>
      <c r="B22" s="95"/>
      <c r="C22" s="95"/>
      <c r="D22" s="95"/>
      <c r="E22" s="95"/>
      <c r="F22" s="95"/>
      <c r="G22" s="95"/>
      <c r="H22" s="95"/>
      <c r="I22" s="95"/>
      <c r="J22" s="95"/>
    </row>
    <row r="23" customFormat="false" ht="15" hidden="false" customHeight="true" outlineLevel="0" collapsed="false">
      <c r="A23" s="73" t="s">
        <v>292</v>
      </c>
      <c r="B23" s="93" t="n">
        <f aca="false">('Student Flow Summary'!D13/('Forecast Assumptions'!C17*'Forecast Assumptions'!C18))*(1+'Scenario Assumptions'!B24+B$5)</f>
        <v>13220.1578192253</v>
      </c>
      <c r="C23" s="93" t="n">
        <f aca="false">('Student Flow Summary'!D13/('Forecast Assumptions'!C17*'Forecast Assumptions'!C18))*(1+'Scenario Assumptions'!B24+C$5)</f>
        <v>13355.0573888092</v>
      </c>
      <c r="D23" s="93" t="n">
        <f aca="false">('Student Flow Summary'!D13/('Forecast Assumptions'!C17*'Forecast Assumptions'!C18))*(1+'Scenario Assumptions'!B24+D$5)</f>
        <v>13489.9569583931</v>
      </c>
      <c r="E23" s="93" t="n">
        <f aca="false">('Student Flow Summary'!D13/('Forecast Assumptions'!C17*'Forecast Assumptions'!C18))*(1+'Scenario Assumptions'!B24+E$5)</f>
        <v>13624.856527977</v>
      </c>
      <c r="F23" s="93" t="n">
        <f aca="false">('Student Flow Summary'!D13/('Forecast Assumptions'!C17*'Forecast Assumptions'!C18))*(1+'Scenario Assumptions'!B24+F$5)</f>
        <v>13759.756097561</v>
      </c>
      <c r="G23" s="93" t="n">
        <f aca="false">('Student Flow Summary'!D13/('Forecast Assumptions'!C17*'Forecast Assumptions'!C18))*(1+'Scenario Assumptions'!B24+G$5)</f>
        <v>13894.6556671449</v>
      </c>
      <c r="H23" s="93" t="n">
        <f aca="false">('Student Flow Summary'!D13/('Forecast Assumptions'!C17*'Forecast Assumptions'!C18))*(1+'Scenario Assumptions'!B24+H$5)</f>
        <v>14029.5552367288</v>
      </c>
      <c r="I23" s="93" t="n">
        <f aca="false">('Student Flow Summary'!D13/('Forecast Assumptions'!C17*'Forecast Assumptions'!C18))*(1+'Scenario Assumptions'!B24+I$5)</f>
        <v>14164.4548063128</v>
      </c>
      <c r="J23" s="93" t="n">
        <f aca="false">('Student Flow Summary'!D13/('Forecast Assumptions'!C17*'Forecast Assumptions'!C18))*(1+'Scenario Assumptions'!B24+J$5)</f>
        <v>14299.3543758967</v>
      </c>
    </row>
    <row r="24" customFormat="false" ht="15" hidden="false" customHeight="true" outlineLevel="0" collapsed="false">
      <c r="A24" s="73" t="s">
        <v>293</v>
      </c>
      <c r="B24" s="93" t="n">
        <f aca="false">B23*'Forecast Assumptions'!C17*'Forecast Assumptions'!C18</f>
        <v>7371.56</v>
      </c>
      <c r="C24" s="93" t="n">
        <f aca="false">C23*'Forecast Assumptions'!C17*'Forecast Assumptions'!C18</f>
        <v>7446.78</v>
      </c>
      <c r="D24" s="93" t="n">
        <f aca="false">D23*'Forecast Assumptions'!C17*'Forecast Assumptions'!C18</f>
        <v>7522</v>
      </c>
      <c r="E24" s="93" t="n">
        <f aca="false">E23*'Forecast Assumptions'!C17*'Forecast Assumptions'!C18</f>
        <v>7597.22</v>
      </c>
      <c r="F24" s="93" t="n">
        <f aca="false">F23*'Forecast Assumptions'!C17*'Forecast Assumptions'!C18</f>
        <v>7672.44</v>
      </c>
      <c r="G24" s="93" t="n">
        <f aca="false">G23*'Forecast Assumptions'!C17*'Forecast Assumptions'!C18</f>
        <v>7747.66</v>
      </c>
      <c r="H24" s="93" t="n">
        <f aca="false">H23*'Forecast Assumptions'!C17*'Forecast Assumptions'!C18</f>
        <v>7822.88</v>
      </c>
      <c r="I24" s="93" t="n">
        <f aca="false">I23*'Forecast Assumptions'!C17*'Forecast Assumptions'!C18</f>
        <v>7898.1</v>
      </c>
      <c r="J24" s="93" t="n">
        <f aca="false">J23*'Forecast Assumptions'!C17*'Forecast Assumptions'!C18</f>
        <v>7973.32</v>
      </c>
    </row>
    <row r="25" customFormat="false" ht="15" hidden="false" customHeight="true" outlineLevel="0" collapsed="false">
      <c r="A25" s="73" t="s">
        <v>294</v>
      </c>
      <c r="B25" s="93" t="n">
        <f aca="false">B23*(1+'Scenario Assumptions'!C24+B$5)</f>
        <v>12955.7546628407</v>
      </c>
      <c r="C25" s="93" t="n">
        <f aca="false">C23*(1+'Scenario Assumptions'!C24+C$5)</f>
        <v>13221.5068149211</v>
      </c>
      <c r="D25" s="93" t="n">
        <f aca="false">D23*(1+'Scenario Assumptions'!C24+D$5)</f>
        <v>13489.9569583931</v>
      </c>
      <c r="E25" s="93" t="n">
        <f aca="false">E23*(1+'Scenario Assumptions'!C24+E$5)</f>
        <v>13761.1050932568</v>
      </c>
      <c r="F25" s="93" t="n">
        <f aca="false">F23*(1+'Scenario Assumptions'!C24+F$5)</f>
        <v>14034.9512195122</v>
      </c>
      <c r="G25" s="93" t="n">
        <f aca="false">G23*(1+'Scenario Assumptions'!C24+G$5)</f>
        <v>14311.4953371593</v>
      </c>
      <c r="H25" s="93" t="n">
        <f aca="false">H23*(1+'Scenario Assumptions'!C24+H$5)</f>
        <v>14590.737446198</v>
      </c>
      <c r="I25" s="93" t="n">
        <f aca="false">I23*(1+'Scenario Assumptions'!C24+I$5)</f>
        <v>14872.6775466284</v>
      </c>
      <c r="J25" s="93" t="n">
        <f aca="false">J23*(1+'Scenario Assumptions'!C24+J$5)</f>
        <v>15157.3156384505</v>
      </c>
    </row>
    <row r="26" customFormat="false" ht="15" hidden="false" customHeight="true" outlineLevel="0" collapsed="false">
      <c r="A26" s="73" t="s">
        <v>295</v>
      </c>
      <c r="B26" s="93" t="n">
        <f aca="false">B25*'Forecast Assumptions'!D17*'Forecast Assumptions'!D18</f>
        <v>7224.1288</v>
      </c>
      <c r="C26" s="93" t="n">
        <f aca="false">C25*'Forecast Assumptions'!D17*'Forecast Assumptions'!D18</f>
        <v>7372.3122</v>
      </c>
      <c r="D26" s="93" t="n">
        <f aca="false">D25*'Forecast Assumptions'!D17*'Forecast Assumptions'!D18</f>
        <v>7522</v>
      </c>
      <c r="E26" s="93" t="n">
        <f aca="false">E25*'Forecast Assumptions'!D17*'Forecast Assumptions'!D18</f>
        <v>7673.1922</v>
      </c>
      <c r="F26" s="93" t="n">
        <f aca="false">F25*'Forecast Assumptions'!D17*'Forecast Assumptions'!D18</f>
        <v>7825.8888</v>
      </c>
      <c r="G26" s="93" t="n">
        <f aca="false">G25*'Forecast Assumptions'!D17*'Forecast Assumptions'!D18</f>
        <v>7980.0898</v>
      </c>
      <c r="H26" s="93" t="n">
        <f aca="false">H25*'Forecast Assumptions'!D17*'Forecast Assumptions'!D18</f>
        <v>8135.7952</v>
      </c>
      <c r="I26" s="93" t="n">
        <f aca="false">I25*'Forecast Assumptions'!D17*'Forecast Assumptions'!D18</f>
        <v>8293.005</v>
      </c>
      <c r="J26" s="93" t="n">
        <f aca="false">J25*'Forecast Assumptions'!D17*'Forecast Assumptions'!D18</f>
        <v>8451.7192</v>
      </c>
    </row>
    <row r="27" customFormat="false" ht="15" hidden="false" customHeight="true" outlineLevel="0" collapsed="false">
      <c r="A27" s="73" t="s">
        <v>296</v>
      </c>
      <c r="B27" s="93" t="n">
        <f aca="false">'Student Headcount'!G30*(B24/'Student Flow Summary'!D13)</f>
        <v>7400.96</v>
      </c>
      <c r="C27" s="93" t="n">
        <f aca="false">'Student Headcount'!G30*(C24/'Student Flow Summary'!D13)</f>
        <v>7476.48</v>
      </c>
      <c r="D27" s="93" t="n">
        <f aca="false">'Student Headcount'!G30*(D24/'Student Flow Summary'!D13)</f>
        <v>7552</v>
      </c>
      <c r="E27" s="93" t="n">
        <f aca="false">'Student Headcount'!G30*(E24/'Student Flow Summary'!D13)</f>
        <v>7627.52</v>
      </c>
      <c r="F27" s="93" t="n">
        <f aca="false">'Student Headcount'!G30*(F24/'Student Flow Summary'!D13)</f>
        <v>7703.04</v>
      </c>
      <c r="G27" s="93" t="n">
        <f aca="false">'Student Headcount'!G30*(G24/'Student Flow Summary'!D13)</f>
        <v>7778.56</v>
      </c>
      <c r="H27" s="93" t="n">
        <f aca="false">'Student Headcount'!G30*(H24/'Student Flow Summary'!D13)</f>
        <v>7854.08</v>
      </c>
      <c r="I27" s="93" t="n">
        <f aca="false">'Student Headcount'!G30*(I24/'Student Flow Summary'!D13)</f>
        <v>7929.6</v>
      </c>
      <c r="J27" s="93" t="n">
        <f aca="false">'Student Headcount'!G30*(J24/'Student Flow Summary'!D13)</f>
        <v>8005.12</v>
      </c>
    </row>
    <row r="28" customFormat="false" ht="15" hidden="false" customHeight="true" outlineLevel="0" collapsed="false">
      <c r="A28" s="73" t="s">
        <v>297</v>
      </c>
      <c r="B28" s="93" t="n">
        <f aca="false">B27*(B26/B24)</f>
        <v>7252.9408</v>
      </c>
      <c r="C28" s="93" t="n">
        <f aca="false">C27*(C26/C24)</f>
        <v>7401.7152</v>
      </c>
      <c r="D28" s="93" t="n">
        <f aca="false">D27*(D26/D24)</f>
        <v>7552</v>
      </c>
      <c r="E28" s="93" t="n">
        <f aca="false">E27*(E26/E24)</f>
        <v>7703.7952</v>
      </c>
      <c r="F28" s="93" t="n">
        <f aca="false">F27*(F26/F24)</f>
        <v>7857.1008</v>
      </c>
      <c r="G28" s="93" t="n">
        <f aca="false">G27*(G26/G24)</f>
        <v>8011.9168</v>
      </c>
      <c r="H28" s="93" t="n">
        <f aca="false">H27*(H26/H24)</f>
        <v>8168.2432</v>
      </c>
      <c r="I28" s="93" t="n">
        <f aca="false">I27*(I26/I24)</f>
        <v>8326.08</v>
      </c>
      <c r="J28" s="93" t="n">
        <f aca="false">J27*(J26/J24)</f>
        <v>8485.4272</v>
      </c>
    </row>
    <row r="29" customFormat="false" ht="15" hidden="false" customHeight="true" outlineLevel="0" collapsed="false">
      <c r="A29" s="95" t="s">
        <v>7</v>
      </c>
      <c r="B29" s="95"/>
      <c r="C29" s="95"/>
      <c r="D29" s="95"/>
      <c r="E29" s="95"/>
      <c r="F29" s="95"/>
      <c r="G29" s="95"/>
      <c r="H29" s="95"/>
      <c r="I29" s="95"/>
      <c r="J29" s="95"/>
    </row>
    <row r="30" customFormat="false" ht="15" hidden="false" customHeight="true" outlineLevel="0" collapsed="false">
      <c r="A30" s="73" t="s">
        <v>292</v>
      </c>
      <c r="B30" s="93" t="n">
        <f aca="false">('Student Flow Summary'!D16/('Forecast Assumptions'!C22*'Forecast Assumptions'!C23))*(1+'Scenario Assumptions'!B25+B$5)</f>
        <v>17228.2248157248</v>
      </c>
      <c r="C30" s="93" t="n">
        <f aca="false">('Student Flow Summary'!D16/('Forecast Assumptions'!C22*'Forecast Assumptions'!C23))*(1+'Scenario Assumptions'!B25+C$5)</f>
        <v>17405.8353808354</v>
      </c>
      <c r="D30" s="93" t="n">
        <f aca="false">('Student Flow Summary'!D16/('Forecast Assumptions'!C22*'Forecast Assumptions'!C23))*(1+'Scenario Assumptions'!B25+D$5)</f>
        <v>17583.4459459459</v>
      </c>
      <c r="E30" s="93" t="n">
        <f aca="false">('Student Flow Summary'!D16/('Forecast Assumptions'!C22*'Forecast Assumptions'!C23))*(1+'Scenario Assumptions'!B25+E$5)</f>
        <v>17761.0565110565</v>
      </c>
      <c r="F30" s="93" t="n">
        <f aca="false">('Student Flow Summary'!D16/('Forecast Assumptions'!C22*'Forecast Assumptions'!C23))*(1+'Scenario Assumptions'!B25+F$5)</f>
        <v>17938.6670761671</v>
      </c>
      <c r="G30" s="93" t="n">
        <f aca="false">('Student Flow Summary'!D16/('Forecast Assumptions'!C22*'Forecast Assumptions'!C23))*(1+'Scenario Assumptions'!B25+G$5)</f>
        <v>18116.2776412776</v>
      </c>
      <c r="H30" s="93" t="n">
        <f aca="false">('Student Flow Summary'!D16/('Forecast Assumptions'!C22*'Forecast Assumptions'!C23))*(1+'Scenario Assumptions'!B25+H$5)</f>
        <v>18293.8882063882</v>
      </c>
      <c r="I30" s="93" t="n">
        <f aca="false">('Student Flow Summary'!D16/('Forecast Assumptions'!C22*'Forecast Assumptions'!C23))*(1+'Scenario Assumptions'!B25+I$5)</f>
        <v>18471.4987714988</v>
      </c>
      <c r="J30" s="93" t="n">
        <f aca="false">('Student Flow Summary'!D16/('Forecast Assumptions'!C22*'Forecast Assumptions'!C23))*(1+'Scenario Assumptions'!B25+J$5)</f>
        <v>18649.1093366093</v>
      </c>
    </row>
    <row r="31" customFormat="false" ht="15" hidden="false" customHeight="true" outlineLevel="0" collapsed="false">
      <c r="A31" s="73" t="s">
        <v>293</v>
      </c>
      <c r="B31" s="93" t="n">
        <f aca="false">B30*'Forecast Assumptions'!C22*'Forecast Assumptions'!C23</f>
        <v>5609.51</v>
      </c>
      <c r="C31" s="93" t="n">
        <f aca="false">C30*'Forecast Assumptions'!C22*'Forecast Assumptions'!C23</f>
        <v>5667.34</v>
      </c>
      <c r="D31" s="93" t="n">
        <f aca="false">D30*'Forecast Assumptions'!C22*'Forecast Assumptions'!C23</f>
        <v>5725.17</v>
      </c>
      <c r="E31" s="93" t="n">
        <f aca="false">E30*'Forecast Assumptions'!C22*'Forecast Assumptions'!C23</f>
        <v>5783</v>
      </c>
      <c r="F31" s="93" t="n">
        <f aca="false">F30*'Forecast Assumptions'!C22*'Forecast Assumptions'!C23</f>
        <v>5840.83</v>
      </c>
      <c r="G31" s="93" t="n">
        <f aca="false">G30*'Forecast Assumptions'!C22*'Forecast Assumptions'!C23</f>
        <v>5898.66</v>
      </c>
      <c r="H31" s="93" t="n">
        <f aca="false">H30*'Forecast Assumptions'!C22*'Forecast Assumptions'!C23</f>
        <v>5956.49</v>
      </c>
      <c r="I31" s="93" t="n">
        <f aca="false">I30*'Forecast Assumptions'!C22*'Forecast Assumptions'!C23</f>
        <v>6014.32</v>
      </c>
      <c r="J31" s="93" t="n">
        <f aca="false">J30*'Forecast Assumptions'!C22*'Forecast Assumptions'!C23</f>
        <v>6072.15</v>
      </c>
    </row>
    <row r="32" customFormat="false" ht="15" hidden="false" customHeight="true" outlineLevel="0" collapsed="false">
      <c r="A32" s="73" t="s">
        <v>294</v>
      </c>
      <c r="B32" s="93" t="n">
        <f aca="false">B30*(1+'Scenario Assumptions'!C25+B$5)</f>
        <v>16883.6603194103</v>
      </c>
      <c r="C32" s="93" t="n">
        <f aca="false">C30*(1+'Scenario Assumptions'!C25+C$5)</f>
        <v>17231.777027027</v>
      </c>
      <c r="D32" s="93" t="n">
        <f aca="false">D30*(1+'Scenario Assumptions'!C25+D$5)</f>
        <v>17583.4459459459</v>
      </c>
      <c r="E32" s="93" t="n">
        <f aca="false">E30*(1+'Scenario Assumptions'!C25+E$5)</f>
        <v>17938.6670761671</v>
      </c>
      <c r="F32" s="93" t="n">
        <f aca="false">F30*(1+'Scenario Assumptions'!C25+F$5)</f>
        <v>18297.4404176904</v>
      </c>
      <c r="G32" s="93" t="n">
        <f aca="false">G30*(1+'Scenario Assumptions'!C25+G$5)</f>
        <v>18659.765970516</v>
      </c>
      <c r="H32" s="93" t="n">
        <f aca="false">H30*(1+'Scenario Assumptions'!C25+H$5)</f>
        <v>19025.6437346437</v>
      </c>
      <c r="I32" s="93" t="n">
        <f aca="false">I30*(1+'Scenario Assumptions'!C25+I$5)</f>
        <v>19395.0737100737</v>
      </c>
      <c r="J32" s="93" t="n">
        <f aca="false">J30*(1+'Scenario Assumptions'!C25+J$5)</f>
        <v>19768.0558968059</v>
      </c>
    </row>
    <row r="33" customFormat="false" ht="15" hidden="false" customHeight="true" outlineLevel="0" collapsed="false">
      <c r="A33" s="73" t="s">
        <v>295</v>
      </c>
      <c r="B33" s="93" t="n">
        <f aca="false">B32*'Forecast Assumptions'!D22*'Forecast Assumptions'!D23</f>
        <v>5546.28241492629</v>
      </c>
      <c r="C33" s="93" t="n">
        <f aca="false">C32*'Forecast Assumptions'!D22*'Forecast Assumptions'!D23</f>
        <v>5660.63875337838</v>
      </c>
      <c r="D33" s="93" t="n">
        <f aca="false">D32*'Forecast Assumptions'!D22*'Forecast Assumptions'!D23</f>
        <v>5776.16199324324</v>
      </c>
      <c r="E33" s="93" t="n">
        <f aca="false">E32*'Forecast Assumptions'!D22*'Forecast Assumptions'!D23</f>
        <v>5892.85213452089</v>
      </c>
      <c r="F33" s="93" t="n">
        <f aca="false">F32*'Forecast Assumptions'!D22*'Forecast Assumptions'!D23</f>
        <v>6010.7091772113</v>
      </c>
      <c r="G33" s="93" t="n">
        <f aca="false">G32*'Forecast Assumptions'!D22*'Forecast Assumptions'!D23</f>
        <v>6129.7331213145</v>
      </c>
      <c r="H33" s="93" t="n">
        <f aca="false">H32*'Forecast Assumptions'!D22*'Forecast Assumptions'!D23</f>
        <v>6249.92396683047</v>
      </c>
      <c r="I33" s="93" t="n">
        <f aca="false">I32*'Forecast Assumptions'!D22*'Forecast Assumptions'!D23</f>
        <v>6371.28171375922</v>
      </c>
      <c r="J33" s="93" t="n">
        <f aca="false">J32*'Forecast Assumptions'!D22*'Forecast Assumptions'!D23</f>
        <v>6493.80636210074</v>
      </c>
    </row>
    <row r="34" customFormat="false" ht="15" hidden="false" customHeight="true" outlineLevel="0" collapsed="false">
      <c r="A34" s="73" t="s">
        <v>296</v>
      </c>
      <c r="B34" s="93" t="n">
        <f aca="false">'Student Headcount'!I30*(B31/'Student Flow Summary'!D16)</f>
        <v>5752.1</v>
      </c>
      <c r="C34" s="93" t="n">
        <f aca="false">'Student Headcount'!I30*(C31/'Student Flow Summary'!D16)</f>
        <v>5811.4</v>
      </c>
      <c r="D34" s="93" t="n">
        <f aca="false">'Student Headcount'!I30*(D31/'Student Flow Summary'!D16)</f>
        <v>5870.7</v>
      </c>
      <c r="E34" s="93" t="n">
        <f aca="false">'Student Headcount'!I30*(E31/'Student Flow Summary'!D16)</f>
        <v>5930</v>
      </c>
      <c r="F34" s="93" t="n">
        <f aca="false">'Student Headcount'!I30*(F31/'Student Flow Summary'!D16)</f>
        <v>5989.3</v>
      </c>
      <c r="G34" s="93" t="n">
        <f aca="false">'Student Headcount'!I30*(G31/'Student Flow Summary'!D16)</f>
        <v>6048.6</v>
      </c>
      <c r="H34" s="93" t="n">
        <f aca="false">'Student Headcount'!I30*(H31/'Student Flow Summary'!D16)</f>
        <v>6107.9</v>
      </c>
      <c r="I34" s="93" t="n">
        <f aca="false">'Student Headcount'!I30*(I31/'Student Flow Summary'!D16)</f>
        <v>6167.2</v>
      </c>
      <c r="J34" s="93" t="n">
        <f aca="false">'Student Headcount'!I30*(J31/'Student Flow Summary'!D16)</f>
        <v>6226.5</v>
      </c>
    </row>
    <row r="35" customFormat="false" ht="15" hidden="false" customHeight="true" outlineLevel="0" collapsed="false">
      <c r="A35" s="73" t="s">
        <v>297</v>
      </c>
      <c r="B35" s="93" t="n">
        <f aca="false">B34*(B33/B31)</f>
        <v>5687.26521191646</v>
      </c>
      <c r="C35" s="93" t="n">
        <f aca="false">C34*(C33/C31)</f>
        <v>5804.52841216216</v>
      </c>
      <c r="D35" s="93" t="n">
        <f aca="false">D34*(D33/D31)</f>
        <v>5922.98817567568</v>
      </c>
      <c r="E35" s="93" t="n">
        <f aca="false">E34*(E33/E31)</f>
        <v>6042.644502457</v>
      </c>
      <c r="F35" s="93" t="n">
        <f aca="false">F34*(F33/F31)</f>
        <v>6163.49739250614</v>
      </c>
      <c r="G35" s="93" t="n">
        <f aca="false">G34*(G33/G31)</f>
        <v>6285.5468458231</v>
      </c>
      <c r="H35" s="93" t="n">
        <f aca="false">H34*(H33/H31)</f>
        <v>6408.79286240786</v>
      </c>
      <c r="I35" s="93" t="n">
        <f aca="false">I34*(I33/I31)</f>
        <v>6533.23544226044</v>
      </c>
      <c r="J35" s="93" t="n">
        <f aca="false">J34*(J33/J31)</f>
        <v>6658.87458538084</v>
      </c>
    </row>
    <row r="36" customFormat="false" ht="15" hidden="false" customHeight="true" outlineLevel="0" collapsed="false">
      <c r="A36" s="95" t="s">
        <v>8</v>
      </c>
      <c r="B36" s="95"/>
      <c r="C36" s="95"/>
      <c r="D36" s="95"/>
      <c r="E36" s="95"/>
      <c r="F36" s="95"/>
      <c r="G36" s="95"/>
      <c r="H36" s="95"/>
      <c r="I36" s="95"/>
      <c r="J36" s="95"/>
    </row>
    <row r="37" customFormat="false" ht="15" hidden="false" customHeight="true" outlineLevel="0" collapsed="false">
      <c r="A37" s="73" t="s">
        <v>292</v>
      </c>
      <c r="B37" s="93" t="n">
        <f aca="false">('Student Flow Summary'!D19/('Forecast Assumptions'!C27*'Forecast Assumptions'!C28))*(1+'Scenario Assumptions'!B26+B$5)</f>
        <v>763.724137931035</v>
      </c>
      <c r="C37" s="93" t="n">
        <f aca="false">('Student Flow Summary'!D19/('Forecast Assumptions'!C27*'Forecast Assumptions'!C28))*(1+'Scenario Assumptions'!B26+C$5)</f>
        <v>771.517241379311</v>
      </c>
      <c r="D37" s="93" t="n">
        <f aca="false">('Student Flow Summary'!D19/('Forecast Assumptions'!C27*'Forecast Assumptions'!C28))*(1+'Scenario Assumptions'!B26+D$5)</f>
        <v>779.310344827586</v>
      </c>
      <c r="E37" s="93" t="n">
        <f aca="false">('Student Flow Summary'!D19/('Forecast Assumptions'!C27*'Forecast Assumptions'!C28))*(1+'Scenario Assumptions'!B26+E$5)</f>
        <v>787.103448275862</v>
      </c>
      <c r="F37" s="93" t="n">
        <f aca="false">('Student Flow Summary'!D19/('Forecast Assumptions'!C27*'Forecast Assumptions'!C28))*(1+'Scenario Assumptions'!B26+F$5)</f>
        <v>794.896551724138</v>
      </c>
      <c r="G37" s="93" t="n">
        <f aca="false">('Student Flow Summary'!D19/('Forecast Assumptions'!C27*'Forecast Assumptions'!C28))*(1+'Scenario Assumptions'!B26+G$5)</f>
        <v>802.689655172414</v>
      </c>
      <c r="H37" s="93" t="n">
        <f aca="false">('Student Flow Summary'!D19/('Forecast Assumptions'!C27*'Forecast Assumptions'!C28))*(1+'Scenario Assumptions'!B26+H$5)</f>
        <v>810.48275862069</v>
      </c>
      <c r="I37" s="93" t="n">
        <f aca="false">('Student Flow Summary'!D19/('Forecast Assumptions'!C27*'Forecast Assumptions'!C28))*(1+'Scenario Assumptions'!B26+I$5)</f>
        <v>818.275862068966</v>
      </c>
      <c r="J37" s="93" t="n">
        <f aca="false">('Student Flow Summary'!D19/('Forecast Assumptions'!C27*'Forecast Assumptions'!C28))*(1+'Scenario Assumptions'!B26+J$5)</f>
        <v>826.068965517242</v>
      </c>
    </row>
    <row r="38" customFormat="false" ht="15" hidden="false" customHeight="true" outlineLevel="0" collapsed="false">
      <c r="A38" s="73" t="s">
        <v>293</v>
      </c>
      <c r="B38" s="93" t="n">
        <f aca="false">B37*'Forecast Assumptions'!C27*'Forecast Assumptions'!C28</f>
        <v>332.22</v>
      </c>
      <c r="C38" s="93" t="n">
        <f aca="false">C37*'Forecast Assumptions'!C27*'Forecast Assumptions'!C28</f>
        <v>335.61</v>
      </c>
      <c r="D38" s="93" t="n">
        <f aca="false">D37*'Forecast Assumptions'!C27*'Forecast Assumptions'!C28</f>
        <v>339</v>
      </c>
      <c r="E38" s="93" t="n">
        <f aca="false">E37*'Forecast Assumptions'!C27*'Forecast Assumptions'!C28</f>
        <v>342.39</v>
      </c>
      <c r="F38" s="93" t="n">
        <f aca="false">F37*'Forecast Assumptions'!C27*'Forecast Assumptions'!C28</f>
        <v>345.78</v>
      </c>
      <c r="G38" s="93" t="n">
        <f aca="false">G37*'Forecast Assumptions'!C27*'Forecast Assumptions'!C28</f>
        <v>349.17</v>
      </c>
      <c r="H38" s="93" t="n">
        <f aca="false">H37*'Forecast Assumptions'!C27*'Forecast Assumptions'!C28</f>
        <v>352.56</v>
      </c>
      <c r="I38" s="93" t="n">
        <f aca="false">I37*'Forecast Assumptions'!C27*'Forecast Assumptions'!C28</f>
        <v>355.95</v>
      </c>
      <c r="J38" s="93" t="n">
        <f aca="false">J37*'Forecast Assumptions'!C27*'Forecast Assumptions'!C28</f>
        <v>359.34</v>
      </c>
    </row>
    <row r="39" customFormat="false" ht="15" hidden="false" customHeight="true" outlineLevel="0" collapsed="false">
      <c r="A39" s="73" t="s">
        <v>294</v>
      </c>
      <c r="B39" s="93" t="n">
        <f aca="false">B37*(1+'Scenario Assumptions'!C26+B$5)</f>
        <v>748.449655172414</v>
      </c>
      <c r="C39" s="93" t="n">
        <f aca="false">C37*(1+'Scenario Assumptions'!C26+C$5)</f>
        <v>763.802068965517</v>
      </c>
      <c r="D39" s="93" t="n">
        <f aca="false">D37*(1+'Scenario Assumptions'!C26+D$5)</f>
        <v>779.310344827586</v>
      </c>
      <c r="E39" s="93" t="n">
        <f aca="false">E37*(1+'Scenario Assumptions'!C26+E$5)</f>
        <v>794.974482758621</v>
      </c>
      <c r="F39" s="93" t="n">
        <f aca="false">F37*(1+'Scenario Assumptions'!C26+F$5)</f>
        <v>810.794482758621</v>
      </c>
      <c r="G39" s="93" t="n">
        <f aca="false">G37*(1+'Scenario Assumptions'!C26+G$5)</f>
        <v>826.770344827586</v>
      </c>
      <c r="H39" s="93" t="n">
        <f aca="false">H37*(1+'Scenario Assumptions'!C26+H$5)</f>
        <v>842.902068965517</v>
      </c>
      <c r="I39" s="93" t="n">
        <f aca="false">I37*(1+'Scenario Assumptions'!C26+I$5)</f>
        <v>859.189655172414</v>
      </c>
      <c r="J39" s="93" t="n">
        <f aca="false">J37*(1+'Scenario Assumptions'!C26+J$5)</f>
        <v>875.633103448276</v>
      </c>
    </row>
    <row r="40" customFormat="false" ht="15" hidden="false" customHeight="true" outlineLevel="0" collapsed="false">
      <c r="A40" s="73" t="s">
        <v>295</v>
      </c>
      <c r="B40" s="93" t="n">
        <f aca="false">B39*'Forecast Assumptions'!D27*'Forecast Assumptions'!D28</f>
        <v>325.5756</v>
      </c>
      <c r="C40" s="93" t="n">
        <f aca="false">C39*'Forecast Assumptions'!D27*'Forecast Assumptions'!D28</f>
        <v>332.2539</v>
      </c>
      <c r="D40" s="93" t="n">
        <f aca="false">D39*'Forecast Assumptions'!D27*'Forecast Assumptions'!D28</f>
        <v>339</v>
      </c>
      <c r="E40" s="93" t="n">
        <f aca="false">E39*'Forecast Assumptions'!D27*'Forecast Assumptions'!D28</f>
        <v>345.8139</v>
      </c>
      <c r="F40" s="93" t="n">
        <f aca="false">F39*'Forecast Assumptions'!D27*'Forecast Assumptions'!D28</f>
        <v>352.6956</v>
      </c>
      <c r="G40" s="93" t="n">
        <f aca="false">G39*'Forecast Assumptions'!D27*'Forecast Assumptions'!D28</f>
        <v>359.6451</v>
      </c>
      <c r="H40" s="93" t="n">
        <f aca="false">H39*'Forecast Assumptions'!D27*'Forecast Assumptions'!D28</f>
        <v>366.6624</v>
      </c>
      <c r="I40" s="93" t="n">
        <f aca="false">I39*'Forecast Assumptions'!D27*'Forecast Assumptions'!D28</f>
        <v>373.7475</v>
      </c>
      <c r="J40" s="93" t="n">
        <f aca="false">J39*'Forecast Assumptions'!D27*'Forecast Assumptions'!D28</f>
        <v>380.9004</v>
      </c>
    </row>
    <row r="41" customFormat="false" ht="15" hidden="false" customHeight="true" outlineLevel="0" collapsed="false">
      <c r="A41" s="73" t="s">
        <v>296</v>
      </c>
      <c r="B41" s="93" t="n">
        <f aca="false">'Student Headcount'!K30*(B38/'Student Flow Summary'!D19)</f>
        <v>1121.12</v>
      </c>
      <c r="C41" s="93" t="n">
        <f aca="false">'Student Headcount'!K30*(C38/'Student Flow Summary'!D19)</f>
        <v>1132.56</v>
      </c>
      <c r="D41" s="93" t="n">
        <f aca="false">'Student Headcount'!K30*(D38/'Student Flow Summary'!D19)</f>
        <v>1144</v>
      </c>
      <c r="E41" s="93" t="n">
        <f aca="false">'Student Headcount'!K30*(E38/'Student Flow Summary'!D19)</f>
        <v>1155.44</v>
      </c>
      <c r="F41" s="93" t="n">
        <f aca="false">'Student Headcount'!K30*(F38/'Student Flow Summary'!D19)</f>
        <v>1166.88</v>
      </c>
      <c r="G41" s="93" t="n">
        <f aca="false">'Student Headcount'!K30*(G38/'Student Flow Summary'!D19)</f>
        <v>1178.32</v>
      </c>
      <c r="H41" s="93" t="n">
        <f aca="false">'Student Headcount'!K30*(H38/'Student Flow Summary'!D19)</f>
        <v>1189.76</v>
      </c>
      <c r="I41" s="93" t="n">
        <f aca="false">'Student Headcount'!K30*(I38/'Student Flow Summary'!D19)</f>
        <v>1201.2</v>
      </c>
      <c r="J41" s="93" t="n">
        <f aca="false">'Student Headcount'!K30*(J38/'Student Flow Summary'!D19)</f>
        <v>1212.64</v>
      </c>
    </row>
    <row r="42" customFormat="false" ht="15" hidden="false" customHeight="true" outlineLevel="0" collapsed="false">
      <c r="A42" s="73" t="s">
        <v>297</v>
      </c>
      <c r="B42" s="93" t="n">
        <f aca="false">B41*(B40/B38)</f>
        <v>1098.6976</v>
      </c>
      <c r="C42" s="93" t="n">
        <f aca="false">C41*(C40/C38)</f>
        <v>1121.2344</v>
      </c>
      <c r="D42" s="93" t="n">
        <f aca="false">D41*(D40/D38)</f>
        <v>1144</v>
      </c>
      <c r="E42" s="93" t="n">
        <f aca="false">E41*(E40/E38)</f>
        <v>1166.9944</v>
      </c>
      <c r="F42" s="93" t="n">
        <f aca="false">F41*(F40/F38)</f>
        <v>1190.2176</v>
      </c>
      <c r="G42" s="93" t="n">
        <f aca="false">G41*(G40/G38)</f>
        <v>1213.6696</v>
      </c>
      <c r="H42" s="93" t="n">
        <f aca="false">H41*(H40/H38)</f>
        <v>1237.3504</v>
      </c>
      <c r="I42" s="93" t="n">
        <f aca="false">I41*(I40/I38)</f>
        <v>1261.26</v>
      </c>
      <c r="J42" s="93" t="n">
        <f aca="false">J41*(J40/J38)</f>
        <v>1285.3984</v>
      </c>
    </row>
    <row r="44" customFormat="false" ht="15" hidden="false" customHeight="true" outlineLevel="0" collapsed="false">
      <c r="A44" s="65" t="s">
        <v>298</v>
      </c>
      <c r="B44" s="65"/>
      <c r="C44" s="65"/>
      <c r="D44" s="65"/>
      <c r="E44" s="65"/>
      <c r="F44" s="65"/>
      <c r="G44" s="65"/>
      <c r="H44" s="65"/>
      <c r="I44" s="65"/>
      <c r="J44" s="65"/>
    </row>
    <row r="45" customFormat="false" ht="15" hidden="false" customHeight="true" outlineLevel="0" collapsed="false">
      <c r="A45" s="73" t="s">
        <v>3</v>
      </c>
      <c r="B45" s="68" t="n">
        <f aca="false">B14*(SUM('Population Forecast'!B24:M24))*'Income Forecast'!F6/12</f>
        <v>81004469.61292</v>
      </c>
      <c r="C45" s="68" t="n">
        <f aca="false">C14*(SUM('Population Forecast'!B24:M24))*'Income Forecast'!F6/12</f>
        <v>82666056.50523</v>
      </c>
      <c r="D45" s="68" t="n">
        <f aca="false">D14*(SUM('Population Forecast'!B24:M24))*'Income Forecast'!F6/12</f>
        <v>84344512.3</v>
      </c>
      <c r="E45" s="68" t="n">
        <f aca="false">E14*(SUM('Population Forecast'!B24:M24))*'Income Forecast'!F6/12</f>
        <v>86039836.99723</v>
      </c>
      <c r="F45" s="68" t="n">
        <f aca="false">F14*(SUM('Population Forecast'!B24:M24))*'Income Forecast'!F6/12</f>
        <v>87752030.59692</v>
      </c>
      <c r="G45" s="68" t="n">
        <f aca="false">G14*(SUM('Population Forecast'!B24:M24))*'Income Forecast'!F6/12</f>
        <v>89481093.09907</v>
      </c>
      <c r="H45" s="68" t="n">
        <f aca="false">H14*(SUM('Population Forecast'!B24:M24))*'Income Forecast'!F6/12</f>
        <v>91227024.5036801</v>
      </c>
      <c r="I45" s="68" t="n">
        <f aca="false">I14*(SUM('Population Forecast'!B24:M24))*'Income Forecast'!F6/12</f>
        <v>92989824.81075</v>
      </c>
      <c r="J45" s="68" t="n">
        <f aca="false">J14*(SUM('Population Forecast'!B24:M24))*'Income Forecast'!F6/12</f>
        <v>94769494.02028</v>
      </c>
    </row>
    <row r="46" customFormat="false" ht="15" hidden="false" customHeight="true" outlineLevel="0" collapsed="false">
      <c r="A46" s="73" t="s">
        <v>5</v>
      </c>
      <c r="B46" s="68" t="n">
        <f aca="false">B21*(SUM('Population Forecast'!B25:M25))*'Income Forecast'!F7/12</f>
        <v>41642182.0350987</v>
      </c>
      <c r="C46" s="68" t="n">
        <f aca="false">C21*(SUM('Population Forecast'!B25:M25))*'Income Forecast'!F7/12</f>
        <v>42505209.5084587</v>
      </c>
      <c r="D46" s="68" t="n">
        <f aca="false">D21*(SUM('Population Forecast'!B25:M25))*'Income Forecast'!F7/12</f>
        <v>43377088.545648</v>
      </c>
      <c r="E46" s="68" t="n">
        <f aca="false">E21*(SUM('Population Forecast'!B25:M25))*'Income Forecast'!F7/12</f>
        <v>44257819.1466667</v>
      </c>
      <c r="F46" s="68" t="n">
        <f aca="false">F21*(SUM('Population Forecast'!B25:M25))*'Income Forecast'!F7/12</f>
        <v>45147401.3115146</v>
      </c>
      <c r="G46" s="68" t="n">
        <f aca="false">G21*(SUM('Population Forecast'!B25:M25))*'Income Forecast'!F7/12</f>
        <v>46045835.040192</v>
      </c>
      <c r="H46" s="68" t="n">
        <f aca="false">H21*(SUM('Population Forecast'!B25:M25))*'Income Forecast'!F7/12</f>
        <v>46953120.3326987</v>
      </c>
      <c r="I46" s="68" t="n">
        <f aca="false">I21*(SUM('Population Forecast'!B25:M25))*'Income Forecast'!F7/12</f>
        <v>47869257.1890347</v>
      </c>
      <c r="J46" s="68" t="n">
        <f aca="false">J21*(SUM('Population Forecast'!B25:M25))*'Income Forecast'!F7/12</f>
        <v>48794245.6092</v>
      </c>
    </row>
    <row r="47" customFormat="false" ht="15" hidden="false" customHeight="true" outlineLevel="0" collapsed="false">
      <c r="A47" s="73" t="s">
        <v>6</v>
      </c>
      <c r="B47" s="68" t="n">
        <f aca="false">B28*(SUM('Population Forecast'!B26:M26))*'Income Forecast'!F8/12</f>
        <v>32970488.635539</v>
      </c>
      <c r="C47" s="68" t="n">
        <f aca="false">C28*(SUM('Population Forecast'!B26:M26))*'Income Forecast'!F8/12</f>
        <v>33646788.7460348</v>
      </c>
      <c r="D47" s="68" t="n">
        <f aca="false">D28*(SUM('Population Forecast'!B26:M26))*'Income Forecast'!F8/12</f>
        <v>34329954.8475</v>
      </c>
      <c r="E47" s="68" t="n">
        <f aca="false">E28*(SUM('Population Forecast'!B26:M26))*'Income Forecast'!F8/12</f>
        <v>35019986.9399348</v>
      </c>
      <c r="F47" s="68" t="n">
        <f aca="false">F28*(SUM('Population Forecast'!B26:M26))*'Income Forecast'!F8/12</f>
        <v>35716885.023339</v>
      </c>
      <c r="G47" s="68" t="n">
        <f aca="false">G28*(SUM('Population Forecast'!B26:M26))*'Income Forecast'!F8/12</f>
        <v>36420649.0977128</v>
      </c>
      <c r="H47" s="68" t="n">
        <f aca="false">H28*(SUM('Population Forecast'!B26:M26))*'Income Forecast'!F8/12</f>
        <v>37131279.163056</v>
      </c>
      <c r="I47" s="68" t="n">
        <f aca="false">I28*(SUM('Population Forecast'!B26:M26))*'Income Forecast'!F8/12</f>
        <v>37848775.2193688</v>
      </c>
      <c r="J47" s="68" t="n">
        <f aca="false">J28*(SUM('Population Forecast'!B26:M26))*'Income Forecast'!F8/12</f>
        <v>38573137.266651</v>
      </c>
    </row>
    <row r="48" customFormat="false" ht="15" hidden="false" customHeight="true" outlineLevel="0" collapsed="false">
      <c r="A48" s="73" t="s">
        <v>7</v>
      </c>
      <c r="B48" s="68" t="n">
        <f aca="false">B35*(SUM('Population Forecast'!B27:M27))*'Income Forecast'!F9/12</f>
        <v>53161772.1174634</v>
      </c>
      <c r="C48" s="68" t="n">
        <f aca="false">C35*(SUM('Population Forecast'!B27:M27))*'Income Forecast'!F9/12</f>
        <v>54257891.1301946</v>
      </c>
      <c r="D48" s="68" t="n">
        <f aca="false">D35*(SUM('Population Forecast'!B27:M27))*'Income Forecast'!F9/12</f>
        <v>55365195.0308108</v>
      </c>
      <c r="E48" s="68" t="n">
        <f aca="false">E35*(SUM('Population Forecast'!B27:M27))*'Income Forecast'!F9/12</f>
        <v>56483683.819312</v>
      </c>
      <c r="F48" s="68" t="n">
        <f aca="false">F35*(SUM('Population Forecast'!B27:M27))*'Income Forecast'!F9/12</f>
        <v>57613357.4956983</v>
      </c>
      <c r="G48" s="68" t="n">
        <f aca="false">G35*(SUM('Population Forecast'!B27:M27))*'Income Forecast'!F9/12</f>
        <v>58754216.0599695</v>
      </c>
      <c r="H48" s="68" t="n">
        <f aca="false">H35*(SUM('Population Forecast'!B27:M27))*'Income Forecast'!F9/12</f>
        <v>59906259.5121258</v>
      </c>
      <c r="I48" s="68" t="n">
        <f aca="false">I35*(SUM('Population Forecast'!B27:M27))*'Income Forecast'!F9/12</f>
        <v>61069487.8521671</v>
      </c>
      <c r="J48" s="68" t="n">
        <f aca="false">J35*(SUM('Population Forecast'!B27:M27))*'Income Forecast'!F9/12</f>
        <v>62243901.0800934</v>
      </c>
    </row>
    <row r="49" customFormat="false" ht="15" hidden="false" customHeight="true" outlineLevel="0" collapsed="false">
      <c r="A49" s="73" t="s">
        <v>8</v>
      </c>
      <c r="B49" s="68" t="n">
        <f aca="false">B42*(SUM('Population Forecast'!B28:M28))*'Income Forecast'!F10/12</f>
        <v>8020133.02669017</v>
      </c>
      <c r="C49" s="68" t="n">
        <f aca="false">C42*(SUM('Population Forecast'!B28:M28))*'Income Forecast'!F10/12</f>
        <v>8184644.29348088</v>
      </c>
      <c r="D49" s="68" t="n">
        <f aca="false">D42*(SUM('Population Forecast'!B28:M28))*'Income Forecast'!F10/12</f>
        <v>8350825.72541667</v>
      </c>
      <c r="E49" s="68" t="n">
        <f aca="false">E42*(SUM('Population Forecast'!B28:M28))*'Income Forecast'!F10/12</f>
        <v>8518677.32249754</v>
      </c>
      <c r="F49" s="68" t="n">
        <f aca="false">F42*(SUM('Population Forecast'!B28:M28))*'Income Forecast'!F10/12</f>
        <v>8688199.0847235</v>
      </c>
      <c r="G49" s="68" t="n">
        <f aca="false">G42*(SUM('Population Forecast'!B28:M28))*'Income Forecast'!F10/12</f>
        <v>8859391.01209454</v>
      </c>
      <c r="H49" s="68" t="n">
        <f aca="false">H42*(SUM('Population Forecast'!B28:M28))*'Income Forecast'!F10/12</f>
        <v>9032253.10461067</v>
      </c>
      <c r="I49" s="68" t="n">
        <f aca="false">I42*(SUM('Population Forecast'!B28:M28))*'Income Forecast'!F10/12</f>
        <v>9206785.36227188</v>
      </c>
      <c r="J49" s="68" t="n">
        <f aca="false">J42*(SUM('Population Forecast'!B28:M28))*'Income Forecast'!F10/12</f>
        <v>9382987.78507817</v>
      </c>
    </row>
    <row r="50" customFormat="false" ht="15" hidden="false" customHeight="true" outlineLevel="0" collapsed="false">
      <c r="A50" s="67" t="s">
        <v>299</v>
      </c>
      <c r="B50" s="74" t="n">
        <f aca="false">SUM(B45:B49)</f>
        <v>216799045.427711</v>
      </c>
      <c r="C50" s="74" t="n">
        <f aca="false">SUM(C45:C49)</f>
        <v>221260590.183399</v>
      </c>
      <c r="D50" s="74" t="n">
        <f aca="false">SUM(D45:D49)</f>
        <v>225767576.449375</v>
      </c>
      <c r="E50" s="74" t="n">
        <f aca="false">SUM(E45:E49)</f>
        <v>230320004.225641</v>
      </c>
      <c r="F50" s="74" t="n">
        <f aca="false">SUM(F45:F49)</f>
        <v>234917873.512195</v>
      </c>
      <c r="G50" s="74" t="n">
        <f aca="false">SUM(G45:G49)</f>
        <v>239561184.309039</v>
      </c>
      <c r="H50" s="74" t="n">
        <f aca="false">SUM(H45:H49)</f>
        <v>244249936.616171</v>
      </c>
      <c r="I50" s="74" t="n">
        <f aca="false">SUM(I45:I49)</f>
        <v>248984130.433592</v>
      </c>
      <c r="J50" s="74" t="n">
        <f aca="false">SUM(J45:J49)</f>
        <v>253763765.761303</v>
      </c>
    </row>
    <row r="52" customFormat="false" ht="15" hidden="false" customHeight="true" outlineLevel="0" collapsed="false">
      <c r="A52" s="65" t="s">
        <v>300</v>
      </c>
      <c r="B52" s="65"/>
      <c r="C52" s="65"/>
      <c r="D52" s="65"/>
      <c r="E52" s="65"/>
      <c r="F52" s="65"/>
      <c r="G52" s="65"/>
      <c r="H52" s="65"/>
      <c r="I52" s="65"/>
      <c r="J52" s="65"/>
    </row>
    <row r="53" customFormat="false" ht="15" hidden="false" customHeight="true" outlineLevel="0" collapsed="false">
      <c r="A53" s="73" t="s">
        <v>301</v>
      </c>
      <c r="B53" s="68" t="n">
        <f aca="false">'Income Forecast'!C55</f>
        <v>101835845.2432</v>
      </c>
      <c r="C53" s="68" t="n">
        <f aca="false">'Income Forecast'!C55</f>
        <v>101835845.2432</v>
      </c>
      <c r="D53" s="68" t="n">
        <f aca="false">'Income Forecast'!C55</f>
        <v>101835845.2432</v>
      </c>
      <c r="E53" s="68" t="n">
        <f aca="false">'Income Forecast'!C55</f>
        <v>101835845.2432</v>
      </c>
      <c r="F53" s="68" t="n">
        <f aca="false">'Income Forecast'!C55</f>
        <v>101835845.2432</v>
      </c>
      <c r="G53" s="68" t="n">
        <f aca="false">'Income Forecast'!C55</f>
        <v>101835845.2432</v>
      </c>
      <c r="H53" s="68" t="n">
        <f aca="false">'Income Forecast'!C55</f>
        <v>101835845.2432</v>
      </c>
      <c r="I53" s="68" t="n">
        <f aca="false">'Income Forecast'!C55</f>
        <v>101835845.2432</v>
      </c>
      <c r="J53" s="68" t="n">
        <f aca="false">'Income Forecast'!C55</f>
        <v>101835845.2432</v>
      </c>
    </row>
    <row r="54" customFormat="false" ht="15" hidden="false" customHeight="true" outlineLevel="0" collapsed="false">
      <c r="A54" s="67" t="s">
        <v>36</v>
      </c>
      <c r="B54" s="74" t="n">
        <f aca="false">B50+B53</f>
        <v>318634890.670911</v>
      </c>
      <c r="C54" s="74" t="n">
        <f aca="false">C50+C53</f>
        <v>323096435.426599</v>
      </c>
      <c r="D54" s="74" t="n">
        <f aca="false">D50+D53</f>
        <v>327603421.692575</v>
      </c>
      <c r="E54" s="74" t="n">
        <f aca="false">E50+E53</f>
        <v>332155849.468841</v>
      </c>
      <c r="F54" s="74" t="n">
        <f aca="false">F50+F53</f>
        <v>336753718.755396</v>
      </c>
      <c r="G54" s="74" t="n">
        <f aca="false">G50+G53</f>
        <v>341397029.552239</v>
      </c>
      <c r="H54" s="74" t="n">
        <f aca="false">H50+H53</f>
        <v>346085781.859371</v>
      </c>
      <c r="I54" s="74" t="n">
        <f aca="false">I50+I53</f>
        <v>350819975.676792</v>
      </c>
      <c r="J54" s="74" t="n">
        <f aca="false">J50+J53</f>
        <v>355599611.004503</v>
      </c>
    </row>
    <row r="55" customFormat="false" ht="15" hidden="false" customHeight="true" outlineLevel="0" collapsed="false">
      <c r="A55" s="73" t="s">
        <v>302</v>
      </c>
      <c r="B55" s="68" t="n">
        <f aca="false">'Scenario Comparison'!D55+'Scenario Comparison'!E55</f>
        <v>336929693.213285</v>
      </c>
      <c r="C55" s="68" t="n">
        <f aca="false">'Scenario Comparison'!D55+'Scenario Comparison'!E55</f>
        <v>336929693.213285</v>
      </c>
      <c r="D55" s="68" t="n">
        <f aca="false">'Scenario Comparison'!D55+'Scenario Comparison'!E55</f>
        <v>336929693.213285</v>
      </c>
      <c r="E55" s="68" t="n">
        <f aca="false">'Scenario Comparison'!D55+'Scenario Comparison'!E55</f>
        <v>336929693.213285</v>
      </c>
      <c r="F55" s="68" t="n">
        <f aca="false">'Scenario Comparison'!D55+'Scenario Comparison'!E55</f>
        <v>336929693.213285</v>
      </c>
      <c r="G55" s="68" t="n">
        <f aca="false">'Scenario Comparison'!D55+'Scenario Comparison'!E55</f>
        <v>336929693.213285</v>
      </c>
      <c r="H55" s="68" t="n">
        <f aca="false">'Scenario Comparison'!D55+'Scenario Comparison'!E55</f>
        <v>336929693.213285</v>
      </c>
      <c r="I55" s="68" t="n">
        <f aca="false">'Scenario Comparison'!D55+'Scenario Comparison'!E55</f>
        <v>336929693.213285</v>
      </c>
      <c r="J55" s="68" t="n">
        <f aca="false">'Scenario Comparison'!D55+'Scenario Comparison'!E55</f>
        <v>336929693.213285</v>
      </c>
    </row>
    <row r="56" customFormat="false" ht="15" hidden="false" customHeight="true" outlineLevel="0" collapsed="false">
      <c r="A56" s="67" t="s">
        <v>65</v>
      </c>
      <c r="B56" s="91" t="n">
        <f aca="false">B54-B55</f>
        <v>-18294802.5423733</v>
      </c>
      <c r="C56" s="91" t="n">
        <f aca="false">C54-C55</f>
        <v>-13833257.7866856</v>
      </c>
      <c r="D56" s="91" t="n">
        <f aca="false">D54-D55</f>
        <v>-9326271.5207091</v>
      </c>
      <c r="E56" s="91" t="n">
        <f aca="false">E54-E55</f>
        <v>-4773843.74444354</v>
      </c>
      <c r="F56" s="91" t="n">
        <f aca="false">F54-F55</f>
        <v>-175974.45788908</v>
      </c>
      <c r="G56" s="91" t="n">
        <f aca="false">G54-G55</f>
        <v>4467336.33895427</v>
      </c>
      <c r="H56" s="91" t="n">
        <f aca="false">H54-H55</f>
        <v>9156088.64608663</v>
      </c>
      <c r="I56" s="91" t="n">
        <f aca="false">I54-I55</f>
        <v>13890282.4635078</v>
      </c>
      <c r="J56" s="91" t="n">
        <f aca="false">J54-J55</f>
        <v>18669917.791218</v>
      </c>
    </row>
    <row r="57" customFormat="false" ht="15" hidden="false" customHeight="true" outlineLevel="0" collapsed="false">
      <c r="A57" s="67" t="s">
        <v>66</v>
      </c>
      <c r="B57" s="83" t="n">
        <f aca="false">B56/B54</f>
        <v>-0.0574161935118032</v>
      </c>
      <c r="C57" s="83" t="n">
        <f aca="false">C56/C54</f>
        <v>-0.0428146406766171</v>
      </c>
      <c r="D57" s="83" t="n">
        <f aca="false">D56/D54</f>
        <v>-0.0284681749431204</v>
      </c>
      <c r="E57" s="83" t="n">
        <f aca="false">E56/E54</f>
        <v>-0.0143723006898042</v>
      </c>
      <c r="F57" s="83" t="n">
        <f aca="false">F56/F54</f>
        <v>-0.000522561290605675</v>
      </c>
      <c r="G57" s="83" t="n">
        <f aca="false">G56/G54</f>
        <v>0.0130854575530825</v>
      </c>
      <c r="H57" s="83" t="n">
        <f aca="false">H56/H54</f>
        <v>0.0264561248280553</v>
      </c>
      <c r="I57" s="83" t="n">
        <f aca="false">I56/I54</f>
        <v>0.0395937615488145</v>
      </c>
      <c r="J57" s="83" t="n">
        <f aca="false">J56/J54</f>
        <v>0.0525026383985037</v>
      </c>
    </row>
    <row r="59" customFormat="false" ht="15" hidden="false" customHeight="true" outlineLevel="0" collapsed="false">
      <c r="A59" s="65" t="s">
        <v>303</v>
      </c>
      <c r="B59" s="65"/>
      <c r="C59" s="65"/>
    </row>
    <row r="60" customFormat="false" ht="23.25" hidden="false" customHeight="true" outlineLevel="0" collapsed="false">
      <c r="A60" s="81" t="s">
        <v>304</v>
      </c>
      <c r="B60" s="83" t="n">
        <f aca="false">FORECAST(0,B5:J5,B57:J57)</f>
        <v>0.00096667772530104</v>
      </c>
    </row>
    <row r="61" customFormat="false" ht="15" hidden="false" customHeight="true" outlineLevel="0" collapsed="false">
      <c r="A61" s="81" t="s">
        <v>305</v>
      </c>
      <c r="B61" s="83" t="n">
        <f aca="false">FORECAST('Forecast Income Statement'!F44,B5:J5,B57:J57)</f>
        <v>0.0182231614198917</v>
      </c>
    </row>
    <row r="63" customFormat="false" ht="34.5" hidden="false" customHeight="true" outlineLevel="0" collapsed="false">
      <c r="A63" s="79" t="s">
        <v>306</v>
      </c>
      <c r="B63" s="79"/>
      <c r="C63" s="79"/>
      <c r="D63" s="79"/>
      <c r="E63" s="79"/>
      <c r="F63" s="79"/>
      <c r="G63" s="79"/>
      <c r="H63" s="79"/>
      <c r="I63" s="79"/>
      <c r="J63" s="79"/>
    </row>
  </sheetData>
  <mergeCells count="13">
    <mergeCell ref="A1:J1"/>
    <mergeCell ref="A2:J2"/>
    <mergeCell ref="A4:J4"/>
    <mergeCell ref="A7:J7"/>
    <mergeCell ref="A8:J8"/>
    <mergeCell ref="A15:J15"/>
    <mergeCell ref="A22:J22"/>
    <mergeCell ref="A29:J29"/>
    <mergeCell ref="A36:J36"/>
    <mergeCell ref="A44:J44"/>
    <mergeCell ref="A52:J52"/>
    <mergeCell ref="A59:C59"/>
    <mergeCell ref="A63:J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4"/>
    <col collapsed="false" customWidth="true" hidden="false" outlineLevel="0" max="4" min="4" style="1" width="24"/>
    <col collapsed="false" customWidth="true" hidden="false" outlineLevel="0" max="6" min="5" style="1" width="14"/>
    <col collapsed="false" customWidth="true" hidden="false" outlineLevel="0" max="7" min="7" style="1" width="20"/>
    <col collapsed="false" customWidth="true" hidden="false" outlineLevel="0" max="11" min="8" style="1" width="16"/>
    <col collapsed="false" customWidth="true" hidden="false" outlineLevel="0" max="12" min="12" style="1" width="14"/>
  </cols>
  <sheetData>
    <row r="1" customFormat="false" ht="21.75" hidden="false" customHeight="true" outlineLevel="0" collapsed="false">
      <c r="A1" s="16" t="s">
        <v>307</v>
      </c>
      <c r="B1" s="16"/>
      <c r="C1" s="16"/>
      <c r="D1" s="16"/>
      <c r="E1" s="16"/>
      <c r="F1" s="16"/>
      <c r="G1" s="16"/>
      <c r="H1" s="16"/>
      <c r="I1" s="16"/>
      <c r="J1" s="16"/>
      <c r="K1" s="16"/>
      <c r="L1" s="16"/>
    </row>
    <row r="2" customFormat="false" ht="33.75" hidden="false" customHeight="true" outlineLevel="0" collapsed="false">
      <c r="A2" s="64" t="s">
        <v>308</v>
      </c>
      <c r="B2" s="64"/>
      <c r="C2" s="64"/>
      <c r="D2" s="64"/>
      <c r="E2" s="64"/>
      <c r="F2" s="64"/>
      <c r="G2" s="64"/>
      <c r="H2" s="64"/>
      <c r="I2" s="64"/>
      <c r="J2" s="64"/>
      <c r="K2" s="64"/>
      <c r="L2" s="64"/>
    </row>
    <row r="4" customFormat="false" ht="15" hidden="false" customHeight="true" outlineLevel="0" collapsed="false">
      <c r="A4" s="65" t="s">
        <v>309</v>
      </c>
      <c r="B4" s="65"/>
      <c r="C4" s="65"/>
      <c r="D4" s="65"/>
      <c r="E4" s="65"/>
      <c r="F4" s="65"/>
      <c r="G4" s="65"/>
      <c r="H4" s="65"/>
      <c r="I4" s="65"/>
      <c r="J4" s="65"/>
      <c r="K4" s="65"/>
      <c r="L4" s="65"/>
    </row>
    <row r="5" customFormat="false" ht="30" hidden="false" customHeight="true" outlineLevel="0" collapsed="false">
      <c r="A5" s="66" t="s">
        <v>2</v>
      </c>
      <c r="B5" s="66" t="s">
        <v>113</v>
      </c>
      <c r="C5" s="66" t="s">
        <v>119</v>
      </c>
      <c r="D5" s="66" t="s">
        <v>66</v>
      </c>
      <c r="E5" s="66" t="s">
        <v>310</v>
      </c>
      <c r="F5" s="66" t="s">
        <v>311</v>
      </c>
      <c r="G5" s="66" t="s">
        <v>312</v>
      </c>
      <c r="H5" s="66" t="s">
        <v>313</v>
      </c>
      <c r="I5" s="66" t="s">
        <v>314</v>
      </c>
      <c r="J5" s="66" t="s">
        <v>315</v>
      </c>
      <c r="K5" s="66" t="s">
        <v>316</v>
      </c>
      <c r="L5" s="66" t="s">
        <v>317</v>
      </c>
    </row>
    <row r="6" customFormat="false" ht="15" hidden="false" customHeight="true" outlineLevel="0" collapsed="false">
      <c r="A6" s="67" t="s">
        <v>229</v>
      </c>
      <c r="B6" s="68" t="n">
        <f aca="false">'Forecast Income Statement'!B44</f>
        <v>311589107.5</v>
      </c>
      <c r="C6" s="68" t="n">
        <f aca="false">'Forecast Income Statement'!E44</f>
        <v>7389111.46980844</v>
      </c>
      <c r="D6" s="71" t="n">
        <f aca="false">'Forecast Income Statement'!F44</f>
        <v>0.0237142804159431</v>
      </c>
      <c r="E6" s="69" t="n">
        <f aca="false">'Forecast Income Statement'!C44/B6</f>
        <v>0.637698787336461</v>
      </c>
      <c r="F6" s="69" t="n">
        <f aca="false">('Forecast Income Statement'!C44+'Forecast Income Statement'!D44)/B6</f>
        <v>0.976285719584057</v>
      </c>
      <c r="G6" s="69" t="n">
        <f aca="false">(SUMIFS(Income!D:D,Income!$B:$B,"FY25/26")+SUMIFS(Income!F:F,Income!$B:$B,"FY25/26"))/(SUMIFS(Income!C:C,Income!$B:$B,"FY25/26")+SUMIFS(Income!D:D,Income!$B:$B,"FY25/26")+SUMIFS(Income!E:E,Income!$B:$B,"FY25/26")+SUMIFS(Income!F:F,Income!$B:$B,"FY25/26")+SUMIFS(Income!G:G,Income!$B:$B,"FY25/26"))</f>
        <v>0.428509273267343</v>
      </c>
      <c r="H6" s="92" t="n">
        <f aca="false">AVERAGE('Student Headcount'!M29:M40)</f>
        <v>17856.6921296296</v>
      </c>
      <c r="I6" s="68" t="n">
        <f aca="false">B6/H6</f>
        <v>17449.4304565502</v>
      </c>
      <c r="J6" s="68" t="n">
        <f aca="false">('Forecast Income Statement'!C44+'Forecast Income Statement'!D44)/H6</f>
        <v>17035.6297696051</v>
      </c>
      <c r="K6" s="68" t="n">
        <f aca="false">'Cash Flow Forecast'!E44</f>
        <v>48027183.2886224</v>
      </c>
      <c r="L6" s="96" t="n">
        <f aca="false">K6/(('Forecast Income Statement'!C44+'Forecast Income Statement'!D44)/12)</f>
        <v>1.8945634680622</v>
      </c>
    </row>
    <row r="7" customFormat="false" ht="15" hidden="false" customHeight="true" outlineLevel="0" collapsed="false">
      <c r="A7" s="67" t="s">
        <v>155</v>
      </c>
      <c r="B7" s="68" t="n">
        <f aca="false">'Forecast Income Statement'!B45</f>
        <v>322545847.3025</v>
      </c>
      <c r="C7" s="68" t="n">
        <f aca="false">'Forecast Income Statement'!E45</f>
        <v>1998981.55490001</v>
      </c>
      <c r="D7" s="71" t="n">
        <f aca="false">'Forecast Income Statement'!F45</f>
        <v>0.00619751136657871</v>
      </c>
      <c r="E7" s="69" t="n">
        <f aca="false">'Forecast Income Statement'!C45/B7</f>
        <v>0.654455382213082</v>
      </c>
      <c r="F7" s="69" t="n">
        <f aca="false">('Forecast Income Statement'!C45+'Forecast Income Statement'!D45)/B7</f>
        <v>0.993802488633421</v>
      </c>
      <c r="G7" s="69" t="n">
        <f aca="false">(SUM('Income Forecast'!D14:D25)+SUM('Income Forecast'!F14:F25))/SUM('Income Forecast'!C14:G25)</f>
        <v>0.433315105828858</v>
      </c>
      <c r="H7" s="92" t="n">
        <f aca="false">AVERAGE('Population Forecast'!H40:H51)</f>
        <v>17570.2466666667</v>
      </c>
      <c r="I7" s="68" t="n">
        <f aca="false">B7/H7</f>
        <v>18357.5025110158</v>
      </c>
      <c r="J7" s="68" t="n">
        <f aca="false">('Forecast Income Statement'!C45+'Forecast Income Statement'!D45)/H7</f>
        <v>18243.7316805418</v>
      </c>
      <c r="K7" s="68" t="n">
        <f aca="false">'Cash Flow Forecast'!E45</f>
        <v>39526164.8435224</v>
      </c>
      <c r="L7" s="96" t="n">
        <f aca="false">K7/(('Forecast Income Statement'!C45+'Forecast Income Statement'!D45)/12)</f>
        <v>1.47970243607294</v>
      </c>
    </row>
    <row r="8" customFormat="false" ht="15" hidden="false" customHeight="true" outlineLevel="0" collapsed="false">
      <c r="A8" s="67" t="s">
        <v>156</v>
      </c>
      <c r="B8" s="68" t="n">
        <f aca="false">'Forecast Income Statement'!B46</f>
        <v>336753718.755395</v>
      </c>
      <c r="C8" s="68" t="n">
        <f aca="false">'Forecast Income Statement'!E46</f>
        <v>-175974.45788911</v>
      </c>
      <c r="D8" s="71" t="n">
        <f aca="false">'Forecast Income Statement'!F46</f>
        <v>-0.000522561290605764</v>
      </c>
      <c r="E8" s="69" t="n">
        <f aca="false">'Forecast Income Statement'!C46/B8</f>
        <v>0.663843874036663</v>
      </c>
      <c r="F8" s="69" t="n">
        <f aca="false">('Forecast Income Statement'!C46+'Forecast Income Statement'!D46)/B8</f>
        <v>1.00052256129061</v>
      </c>
      <c r="G8" s="69" t="n">
        <f aca="false">(SUM('Income Forecast'!D26:D37)+SUM('Income Forecast'!F26:F37))/SUM('Income Forecast'!C26:G37)</f>
        <v>0.437432696247688</v>
      </c>
      <c r="H8" s="92" t="n">
        <f aca="false">AVERAGE('Population Forecast'!H52:H63)</f>
        <v>17923.7962225021</v>
      </c>
      <c r="I8" s="68" t="n">
        <f aca="false">B8/H8</f>
        <v>18788.08007941</v>
      </c>
      <c r="J8" s="68" t="n">
        <f aca="false">('Forecast Income Statement'!C46+'Forecast Income Statement'!D46)/H8</f>
        <v>18797.8980027843</v>
      </c>
      <c r="K8" s="68" t="n">
        <f aca="false">'Cash Flow Forecast'!E46</f>
        <v>28350190.3856333</v>
      </c>
      <c r="L8" s="96" t="n">
        <f aca="false">K8/(('Forecast Income Statement'!C46+'Forecast Income Statement'!D46)/12)</f>
        <v>1.00971298012682</v>
      </c>
    </row>
    <row r="9" customFormat="false" ht="15" hidden="false" customHeight="true" outlineLevel="0" collapsed="false">
      <c r="A9" s="67" t="s">
        <v>157</v>
      </c>
      <c r="B9" s="68" t="n">
        <f aca="false">'Forecast Income Statement'!B47</f>
        <v>355434777.937282</v>
      </c>
      <c r="C9" s="68" t="n">
        <f aca="false">'Forecast Income Statement'!E47</f>
        <v>1340078.88029084</v>
      </c>
      <c r="D9" s="71" t="n">
        <f aca="false">'Forecast Income Statement'!F47</f>
        <v>0.00377025255679201</v>
      </c>
      <c r="E9" s="69" t="n">
        <f aca="false">'Forecast Income Statement'!C47/B9</f>
        <v>0.666081910931549</v>
      </c>
      <c r="F9" s="69" t="n">
        <f aca="false">('Forecast Income Statement'!C47+'Forecast Income Statement'!D47)/B9</f>
        <v>0.996229747443208</v>
      </c>
      <c r="G9" s="69" t="n">
        <f aca="false">(SUM('Income Forecast'!D38:D49)+SUM('Income Forecast'!F38:F49))/SUM('Income Forecast'!C38:G49)</f>
        <v>0.441446182188291</v>
      </c>
      <c r="H9" s="92" t="n">
        <f aca="false">AVERAGE('Population Forecast'!H64:H75)</f>
        <v>18525.6902427387</v>
      </c>
      <c r="I9" s="68" t="n">
        <f aca="false">B9/H9</f>
        <v>19186.0477682658</v>
      </c>
      <c r="J9" s="68" t="n">
        <f aca="false">('Forecast Income Statement'!C47+'Forecast Income Statement'!D47)/H9</f>
        <v>19113.7115226128</v>
      </c>
      <c r="K9" s="68" t="n">
        <f aca="false">'Cash Flow Forecast'!E47</f>
        <v>18190269.2659242</v>
      </c>
      <c r="L9" s="96" t="n">
        <f aca="false">K9/(('Forecast Income Statement'!C47+'Forecast Income Statement'!D47)/12)</f>
        <v>0.616454388536208</v>
      </c>
    </row>
    <row r="11" customFormat="false" ht="15" hidden="false" customHeight="true" outlineLevel="0" collapsed="false">
      <c r="A11" s="65" t="s">
        <v>318</v>
      </c>
      <c r="B11" s="65"/>
      <c r="C11" s="65"/>
      <c r="D11" s="65"/>
    </row>
    <row r="12" customFormat="false" ht="30" hidden="false" customHeight="true" outlineLevel="0" collapsed="false">
      <c r="A12" s="66" t="s">
        <v>319</v>
      </c>
      <c r="B12" s="66" t="s">
        <v>320</v>
      </c>
      <c r="C12" s="66" t="s">
        <v>321</v>
      </c>
      <c r="D12" s="66" t="s">
        <v>322</v>
      </c>
    </row>
    <row r="13" customFormat="false" ht="23.25" hidden="false" customHeight="true" outlineLevel="0" collapsed="false">
      <c r="A13" s="81" t="s">
        <v>323</v>
      </c>
      <c r="B13" s="69" t="n">
        <f aca="false">D9</f>
        <v>0.00377025255679201</v>
      </c>
      <c r="C13" s="69" t="n">
        <v>0.03</v>
      </c>
      <c r="D13" s="97" t="str">
        <f aca="false">IF(B13&lt;C13,"AT RISK","OK")</f>
        <v>AT RISK</v>
      </c>
    </row>
    <row r="14" customFormat="false" ht="15" hidden="false" customHeight="true" outlineLevel="0" collapsed="false">
      <c r="A14" s="81" t="s">
        <v>324</v>
      </c>
      <c r="B14" s="69" t="n">
        <f aca="false">E9</f>
        <v>0.666081910931549</v>
      </c>
      <c r="C14" s="69" t="n">
        <v>0.65</v>
      </c>
      <c r="D14" s="97" t="str">
        <f aca="false">IF(B14&gt;C14,"AT RISK","OK")</f>
        <v>AT RISK</v>
      </c>
    </row>
    <row r="15" customFormat="false" ht="23.25" hidden="false" customHeight="true" outlineLevel="0" collapsed="false">
      <c r="A15" s="81" t="s">
        <v>325</v>
      </c>
      <c r="B15" s="69" t="n">
        <f aca="false">G9</f>
        <v>0.441446182188291</v>
      </c>
      <c r="C15" s="69" t="n">
        <v>0.4</v>
      </c>
      <c r="D15" s="97" t="str">
        <f aca="false">IF(B15&gt;C15,"AT RISK","OK")</f>
        <v>AT RISK</v>
      </c>
    </row>
    <row r="16" customFormat="false" ht="15" hidden="false" customHeight="true" outlineLevel="0" collapsed="false">
      <c r="A16" s="81" t="s">
        <v>326</v>
      </c>
      <c r="B16" s="98" t="n">
        <f aca="false">L9</f>
        <v>0.616454388536208</v>
      </c>
      <c r="C16" s="98" t="n">
        <v>2</v>
      </c>
      <c r="D16" s="97" t="str">
        <f aca="false">IF(B16&lt;C16,"AT RISK","OK")</f>
        <v>AT RISK</v>
      </c>
    </row>
    <row r="17" customFormat="false" ht="15" hidden="false" customHeight="true" outlineLevel="0" collapsed="false">
      <c r="A17" s="81" t="s">
        <v>327</v>
      </c>
      <c r="B17" s="73" t="s">
        <v>328</v>
      </c>
      <c r="C17" s="73" t="s">
        <v>328</v>
      </c>
      <c r="D17" s="97" t="str">
        <f aca="false">IF(OR('Forecast Income Statement'!E45&lt;0,'Forecast Income Statement'!E46&lt;0,'Forecast Income Statement'!E47&lt;0),"AT RISK","OK")</f>
        <v>AT RISK</v>
      </c>
    </row>
    <row r="18" customFormat="false" ht="23.25" hidden="false" customHeight="true" outlineLevel="0" collapsed="false">
      <c r="A18" s="81" t="s">
        <v>329</v>
      </c>
      <c r="B18" s="68" t="n">
        <f aca="false">MIN('Cash Flow Forecast'!F5:F40)</f>
        <v>17438532.9045371</v>
      </c>
      <c r="C18" s="68" t="n">
        <v>42000000</v>
      </c>
      <c r="D18" s="97" t="str">
        <f aca="false">IF(B18&lt;C18,"AT RISK","OK")</f>
        <v>AT RISK</v>
      </c>
    </row>
    <row r="20" customFormat="false" ht="23.25" hidden="false" customHeight="true" outlineLevel="0" collapsed="false">
      <c r="A20" s="79" t="s">
        <v>330</v>
      </c>
      <c r="B20" s="79"/>
      <c r="C20" s="79"/>
      <c r="D20" s="79"/>
      <c r="E20" s="79"/>
      <c r="F20" s="79"/>
      <c r="G20" s="79"/>
      <c r="H20" s="79"/>
      <c r="I20" s="79"/>
      <c r="J20" s="79"/>
      <c r="K20" s="79"/>
      <c r="L20" s="79"/>
    </row>
  </sheetData>
  <mergeCells count="5">
    <mergeCell ref="A1:L1"/>
    <mergeCell ref="A2:L2"/>
    <mergeCell ref="A4:L4"/>
    <mergeCell ref="A11:D11"/>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4"/>
    <col collapsed="false" customWidth="true" hidden="false" outlineLevel="0" max="4" min="4" style="1" width="20"/>
    <col collapsed="false" customWidth="true" hidden="false" outlineLevel="0" max="6" min="5" style="1" width="24"/>
    <col collapsed="false" customWidth="true" hidden="false" outlineLevel="0" max="7" min="7" style="1" width="16"/>
    <col collapsed="false" customWidth="true" hidden="false" outlineLevel="0" max="8" min="8" style="1" width="18"/>
  </cols>
  <sheetData>
    <row r="1" customFormat="false" ht="21.75" hidden="false" customHeight="true" outlineLevel="0" collapsed="false">
      <c r="A1" s="16" t="s">
        <v>331</v>
      </c>
      <c r="B1" s="16"/>
      <c r="C1" s="16"/>
      <c r="D1" s="16"/>
      <c r="E1" s="16"/>
      <c r="F1" s="16"/>
      <c r="G1" s="16"/>
      <c r="H1" s="16"/>
    </row>
    <row r="2" customFormat="false" ht="33.75" hidden="false" customHeight="true" outlineLevel="0" collapsed="false">
      <c r="A2" s="64" t="s">
        <v>332</v>
      </c>
      <c r="B2" s="64"/>
      <c r="C2" s="64"/>
      <c r="D2" s="64"/>
      <c r="E2" s="64"/>
      <c r="F2" s="64"/>
      <c r="G2" s="64"/>
      <c r="H2" s="64"/>
    </row>
    <row r="4" customFormat="false" ht="15" hidden="false" customHeight="true" outlineLevel="0" collapsed="false">
      <c r="A4" s="65" t="s">
        <v>333</v>
      </c>
      <c r="B4" s="65"/>
      <c r="C4" s="65"/>
      <c r="D4" s="65"/>
      <c r="E4" s="65"/>
      <c r="F4" s="65"/>
      <c r="G4" s="65"/>
      <c r="H4" s="65"/>
    </row>
    <row r="5" customFormat="false" ht="30" hidden="false" customHeight="true" outlineLevel="0" collapsed="false">
      <c r="A5" s="66" t="s">
        <v>2</v>
      </c>
      <c r="B5" s="66" t="s">
        <v>113</v>
      </c>
      <c r="C5" s="66" t="s">
        <v>114</v>
      </c>
      <c r="D5" s="66" t="s">
        <v>115</v>
      </c>
      <c r="E5" s="66" t="s">
        <v>117</v>
      </c>
      <c r="F5" s="66" t="s">
        <v>119</v>
      </c>
      <c r="G5" s="66" t="s">
        <v>66</v>
      </c>
      <c r="H5" s="66" t="s">
        <v>316</v>
      </c>
    </row>
    <row r="6" customFormat="false" ht="15" hidden="false" customHeight="true" outlineLevel="0" collapsed="false">
      <c r="A6" s="67" t="s">
        <v>229</v>
      </c>
      <c r="B6" s="68" t="n">
        <f aca="false">'Forecast Income Statement'!B44</f>
        <v>311589107.5</v>
      </c>
      <c r="C6" s="73" t="s">
        <v>328</v>
      </c>
      <c r="D6" s="68" t="n">
        <f aca="false">'Forecast Income Statement'!C44</f>
        <v>198699996</v>
      </c>
      <c r="E6" s="68" t="n">
        <f aca="false">'Forecast Income Statement'!D44</f>
        <v>105500000.030192</v>
      </c>
      <c r="F6" s="70" t="n">
        <f aca="false">'Forecast Income Statement'!E44</f>
        <v>7389111.46980844</v>
      </c>
      <c r="G6" s="71" t="n">
        <f aca="false">'Forecast Income Statement'!F44</f>
        <v>0.0237142804159431</v>
      </c>
      <c r="H6" s="70" t="n">
        <f aca="false">'Cash Flow Forecast'!E44</f>
        <v>48027183.2886224</v>
      </c>
    </row>
    <row r="7" customFormat="false" ht="15" hidden="false" customHeight="true" outlineLevel="0" collapsed="false">
      <c r="A7" s="67" t="s">
        <v>155</v>
      </c>
      <c r="B7" s="68" t="n">
        <f aca="false">'Forecast Income Statement'!B45</f>
        <v>322545847.3025</v>
      </c>
      <c r="C7" s="69" t="n">
        <f aca="false">'Forecast Income Statement'!G45</f>
        <v>0.0351640655554688</v>
      </c>
      <c r="D7" s="68" t="n">
        <f aca="false">'Forecast Income Statement'!C45</f>
        <v>211091865.7776</v>
      </c>
      <c r="E7" s="68" t="n">
        <f aca="false">'Forecast Income Statement'!D45</f>
        <v>109454999.97</v>
      </c>
      <c r="F7" s="70" t="n">
        <f aca="false">'Forecast Income Statement'!E45</f>
        <v>1998981.55490001</v>
      </c>
      <c r="G7" s="71" t="n">
        <f aca="false">'Forecast Income Statement'!F45</f>
        <v>0.00619751136657871</v>
      </c>
      <c r="H7" s="70" t="n">
        <f aca="false">'Cash Flow Forecast'!E45</f>
        <v>39526164.8435224</v>
      </c>
    </row>
    <row r="8" customFormat="false" ht="15" hidden="false" customHeight="true" outlineLevel="0" collapsed="false">
      <c r="A8" s="67" t="s">
        <v>156</v>
      </c>
      <c r="B8" s="68" t="n">
        <f aca="false">'Forecast Income Statement'!B46</f>
        <v>336753718.755395</v>
      </c>
      <c r="C8" s="69" t="n">
        <f aca="false">'Forecast Income Statement'!G46</f>
        <v>0.0440491532342393</v>
      </c>
      <c r="D8" s="68" t="n">
        <f aca="false">'Forecast Income Statement'!C46</f>
        <v>223551893.254835</v>
      </c>
      <c r="E8" s="68" t="n">
        <f aca="false">'Forecast Income Statement'!D46</f>
        <v>113377799.95845</v>
      </c>
      <c r="F8" s="70" t="n">
        <f aca="false">'Forecast Income Statement'!E46</f>
        <v>-175974.45788911</v>
      </c>
      <c r="G8" s="71" t="n">
        <f aca="false">'Forecast Income Statement'!F46</f>
        <v>-0.000522561290605764</v>
      </c>
      <c r="H8" s="70" t="n">
        <f aca="false">'Cash Flow Forecast'!E46</f>
        <v>28350190.3856333</v>
      </c>
    </row>
    <row r="9" customFormat="false" ht="15" hidden="false" customHeight="true" outlineLevel="0" collapsed="false">
      <c r="A9" s="67" t="s">
        <v>157</v>
      </c>
      <c r="B9" s="68" t="n">
        <f aca="false">'Forecast Income Statement'!B47</f>
        <v>355434777.937282</v>
      </c>
      <c r="C9" s="69" t="n">
        <f aca="false">'Forecast Income Statement'!G47</f>
        <v>0.0554739506691406</v>
      </c>
      <c r="D9" s="68" t="n">
        <f aca="false">'Forecast Income Statement'!C47</f>
        <v>236748676.099995</v>
      </c>
      <c r="E9" s="68" t="n">
        <f aca="false">'Forecast Income Statement'!D47</f>
        <v>117346022.956996</v>
      </c>
      <c r="F9" s="70" t="n">
        <f aca="false">'Forecast Income Statement'!E47</f>
        <v>1340078.88029084</v>
      </c>
      <c r="G9" s="71" t="n">
        <f aca="false">'Forecast Income Statement'!F47</f>
        <v>0.00377025255679201</v>
      </c>
      <c r="H9" s="70" t="n">
        <f aca="false">'Cash Flow Forecast'!E47</f>
        <v>18190269.2659242</v>
      </c>
    </row>
    <row r="11" customFormat="false" ht="15" hidden="false" customHeight="true" outlineLevel="0" collapsed="false">
      <c r="A11" s="65" t="s">
        <v>334</v>
      </c>
      <c r="B11" s="65"/>
      <c r="C11" s="65"/>
      <c r="D11" s="65"/>
      <c r="E11" s="65"/>
      <c r="F11" s="65"/>
      <c r="G11" s="65"/>
      <c r="H11" s="65"/>
    </row>
    <row r="12" customFormat="false" ht="23.25" hidden="false" customHeight="true" outlineLevel="0" collapsed="false">
      <c r="A12" s="81" t="s">
        <v>335</v>
      </c>
      <c r="B12" s="99" t="n">
        <f aca="false">'Historical KPI Summary'!B29</f>
        <v>0.428509273267343</v>
      </c>
      <c r="C12" s="99"/>
      <c r="D12" s="99"/>
    </row>
    <row r="13" customFormat="false" ht="23.25" hidden="false" customHeight="true" outlineLevel="0" collapsed="false">
      <c r="A13" s="81" t="s">
        <v>336</v>
      </c>
      <c r="B13" s="99" t="n">
        <f aca="false">'Historical KPI Summary'!B31</f>
        <v>0.295798770821923</v>
      </c>
      <c r="C13" s="99"/>
      <c r="D13" s="99"/>
    </row>
    <row r="14" customFormat="false" ht="23.25" hidden="false" customHeight="true" outlineLevel="0" collapsed="false">
      <c r="A14" s="81" t="s">
        <v>337</v>
      </c>
      <c r="B14" s="100" t="n">
        <f aca="false">'Cash Flow Forecast'!E47-'Cash Flow Forecast'!E44</f>
        <v>-29836914.0226982</v>
      </c>
      <c r="C14" s="100"/>
      <c r="D14" s="100"/>
    </row>
    <row r="15" customFormat="false" ht="23.25" hidden="false" customHeight="true" outlineLevel="0" collapsed="false">
      <c r="A15" s="81" t="s">
        <v>338</v>
      </c>
      <c r="B15" s="99" t="n">
        <f aca="false">('Cash Flow Forecast'!E47/'Cash Flow Forecast'!E44)-1</f>
        <v>-0.621250549785345</v>
      </c>
      <c r="C15" s="99"/>
      <c r="D15" s="99"/>
    </row>
    <row r="16" customFormat="false" ht="23.25" hidden="false" customHeight="true" outlineLevel="0" collapsed="false">
      <c r="A16" s="81" t="s">
        <v>339</v>
      </c>
      <c r="B16" s="100" t="n">
        <f aca="false">MIN('Cash Flow Forecast'!F5:F40)</f>
        <v>17438532.9045371</v>
      </c>
      <c r="C16" s="100"/>
      <c r="D16" s="100"/>
    </row>
    <row r="17" customFormat="false" ht="23.25" hidden="false" customHeight="true" outlineLevel="0" collapsed="false">
      <c r="A17" s="81" t="s">
        <v>340</v>
      </c>
      <c r="B17" s="101" t="n">
        <f aca="false">'Cash Flow Forecast'!E44/(('Forecast Income Statement'!C44+'Forecast Income Statement'!D44)/12)</f>
        <v>1.8945634680622</v>
      </c>
      <c r="C17" s="101"/>
      <c r="D17" s="101"/>
    </row>
    <row r="18" customFormat="false" ht="23.25" hidden="false" customHeight="true" outlineLevel="0" collapsed="false">
      <c r="A18" s="81" t="s">
        <v>341</v>
      </c>
      <c r="B18" s="101" t="n">
        <f aca="false">'Cash Flow Forecast'!E47/(('Forecast Income Statement'!C47+'Forecast Income Statement'!D47)/12)</f>
        <v>0.616454388536208</v>
      </c>
      <c r="C18" s="101"/>
      <c r="D18" s="101"/>
    </row>
    <row r="19" customFormat="false" ht="23.25" hidden="false" customHeight="true" outlineLevel="0" collapsed="false">
      <c r="A19" s="81" t="s">
        <v>342</v>
      </c>
      <c r="B19" s="99" t="n">
        <f aca="false">'Forecast Income Statement'!F46-'Forecast Income Statement'!F44</f>
        <v>-0.0242368417065489</v>
      </c>
      <c r="C19" s="99"/>
      <c r="D19" s="99"/>
    </row>
    <row r="21" customFormat="false" ht="15" hidden="false" customHeight="true" outlineLevel="0" collapsed="false">
      <c r="A21" s="65" t="s">
        <v>343</v>
      </c>
      <c r="B21" s="65"/>
      <c r="C21" s="65"/>
      <c r="D21" s="65"/>
      <c r="E21" s="65"/>
      <c r="F21" s="65"/>
      <c r="G21" s="65"/>
      <c r="H21" s="65"/>
    </row>
    <row r="22" customFormat="false" ht="15" hidden="false" customHeight="true" outlineLevel="0" collapsed="false">
      <c r="A22" s="84" t="s">
        <v>344</v>
      </c>
      <c r="B22" s="84"/>
      <c r="C22" s="84"/>
      <c r="D22" s="84"/>
      <c r="E22" s="84"/>
      <c r="F22" s="84"/>
      <c r="G22" s="84"/>
      <c r="H22" s="84"/>
    </row>
    <row r="23" customFormat="false" ht="57.75" hidden="false" customHeight="true" outlineLevel="0" collapsed="false">
      <c r="A23" s="72" t="s">
        <v>345</v>
      </c>
      <c r="B23" s="72"/>
      <c r="C23" s="72"/>
      <c r="D23" s="72"/>
      <c r="E23" s="72"/>
      <c r="F23" s="72"/>
      <c r="G23" s="72"/>
      <c r="H23" s="72"/>
    </row>
    <row r="24" customFormat="false" ht="15" hidden="false" customHeight="true" outlineLevel="0" collapsed="false">
      <c r="A24" s="84" t="s">
        <v>346</v>
      </c>
      <c r="B24" s="84"/>
      <c r="C24" s="84"/>
      <c r="D24" s="84"/>
      <c r="E24" s="84"/>
      <c r="F24" s="84"/>
      <c r="G24" s="84"/>
      <c r="H24" s="84"/>
    </row>
    <row r="25" customFormat="false" ht="57.75" hidden="false" customHeight="true" outlineLevel="0" collapsed="false">
      <c r="A25" s="72" t="s">
        <v>347</v>
      </c>
      <c r="B25" s="72"/>
      <c r="C25" s="72"/>
      <c r="D25" s="72"/>
      <c r="E25" s="72"/>
      <c r="F25" s="72"/>
      <c r="G25" s="72"/>
      <c r="H25" s="72"/>
    </row>
    <row r="26" customFormat="false" ht="15" hidden="false" customHeight="true" outlineLevel="0" collapsed="false">
      <c r="A26" s="84" t="s">
        <v>348</v>
      </c>
      <c r="B26" s="84"/>
      <c r="C26" s="84"/>
      <c r="D26" s="84"/>
      <c r="E26" s="84"/>
      <c r="F26" s="84"/>
      <c r="G26" s="84"/>
      <c r="H26" s="84"/>
    </row>
    <row r="27" customFormat="false" ht="57.75" hidden="false" customHeight="true" outlineLevel="0" collapsed="false">
      <c r="A27" s="72" t="s">
        <v>349</v>
      </c>
      <c r="B27" s="72"/>
      <c r="C27" s="72"/>
      <c r="D27" s="72"/>
      <c r="E27" s="72"/>
      <c r="F27" s="72"/>
      <c r="G27" s="72"/>
      <c r="H27" s="72"/>
    </row>
    <row r="28" customFormat="false" ht="15" hidden="false" customHeight="true" outlineLevel="0" collapsed="false">
      <c r="A28" s="84" t="s">
        <v>350</v>
      </c>
      <c r="B28" s="84"/>
      <c r="C28" s="84"/>
      <c r="D28" s="84"/>
      <c r="E28" s="84"/>
      <c r="F28" s="84"/>
      <c r="G28" s="84"/>
      <c r="H28" s="84"/>
    </row>
    <row r="29" customFormat="false" ht="57.75" hidden="false" customHeight="true" outlineLevel="0" collapsed="false">
      <c r="A29" s="72" t="s">
        <v>351</v>
      </c>
      <c r="B29" s="72"/>
      <c r="C29" s="72"/>
      <c r="D29" s="72"/>
      <c r="E29" s="72"/>
      <c r="F29" s="72"/>
      <c r="G29" s="72"/>
      <c r="H29" s="72"/>
    </row>
    <row r="30" customFormat="false" ht="15" hidden="false" customHeight="true" outlineLevel="0" collapsed="false">
      <c r="A30" s="84" t="s">
        <v>352</v>
      </c>
      <c r="B30" s="84"/>
      <c r="C30" s="84"/>
      <c r="D30" s="84"/>
      <c r="E30" s="84"/>
      <c r="F30" s="84"/>
      <c r="G30" s="84"/>
      <c r="H30" s="84"/>
    </row>
    <row r="31" customFormat="false" ht="57.75" hidden="false" customHeight="true" outlineLevel="0" collapsed="false">
      <c r="A31" s="72" t="s">
        <v>353</v>
      </c>
      <c r="B31" s="72"/>
      <c r="C31" s="72"/>
      <c r="D31" s="72"/>
      <c r="E31" s="72"/>
      <c r="F31" s="72"/>
      <c r="G31" s="72"/>
      <c r="H31" s="72"/>
    </row>
    <row r="32" customFormat="false" ht="15" hidden="false" customHeight="true" outlineLevel="0" collapsed="false">
      <c r="A32" s="84" t="s">
        <v>354</v>
      </c>
      <c r="B32" s="84"/>
      <c r="C32" s="84"/>
      <c r="D32" s="84"/>
      <c r="E32" s="84"/>
      <c r="F32" s="84"/>
      <c r="G32" s="84"/>
      <c r="H32" s="84"/>
    </row>
    <row r="33" customFormat="false" ht="57.75" hidden="false" customHeight="true" outlineLevel="0" collapsed="false">
      <c r="A33" s="72" t="s">
        <v>355</v>
      </c>
      <c r="B33" s="72"/>
      <c r="C33" s="72"/>
      <c r="D33" s="72"/>
      <c r="E33" s="72"/>
      <c r="F33" s="72"/>
      <c r="G33" s="72"/>
      <c r="H33" s="72"/>
    </row>
    <row r="34" customFormat="false" ht="15" hidden="false" customHeight="true" outlineLevel="0" collapsed="false">
      <c r="A34" s="84" t="s">
        <v>356</v>
      </c>
      <c r="B34" s="84"/>
      <c r="C34" s="84"/>
      <c r="D34" s="84"/>
      <c r="E34" s="84"/>
      <c r="F34" s="84"/>
      <c r="G34" s="84"/>
      <c r="H34" s="84"/>
    </row>
    <row r="35" customFormat="false" ht="57.75" hidden="false" customHeight="true" outlineLevel="0" collapsed="false">
      <c r="A35" s="72" t="s">
        <v>357</v>
      </c>
      <c r="B35" s="72"/>
      <c r="C35" s="72"/>
      <c r="D35" s="72"/>
      <c r="E35" s="72"/>
      <c r="F35" s="72"/>
      <c r="G35" s="72"/>
      <c r="H35" s="72"/>
    </row>
    <row r="37" customFormat="false" ht="15" hidden="false" customHeight="true" outlineLevel="0" collapsed="false">
      <c r="A37" s="65" t="s">
        <v>358</v>
      </c>
      <c r="B37" s="65"/>
      <c r="C37" s="65"/>
      <c r="D37" s="65"/>
      <c r="E37" s="65"/>
      <c r="F37" s="65"/>
      <c r="G37" s="65"/>
      <c r="H37" s="65"/>
    </row>
    <row r="38" customFormat="false" ht="48" hidden="false" customHeight="true" outlineLevel="0" collapsed="false">
      <c r="A38" s="72" t="s">
        <v>359</v>
      </c>
      <c r="B38" s="72"/>
      <c r="C38" s="72"/>
      <c r="D38" s="72"/>
      <c r="E38" s="72"/>
      <c r="F38" s="72"/>
      <c r="G38" s="72"/>
      <c r="H38" s="72"/>
    </row>
    <row r="39" customFormat="false" ht="48" hidden="false" customHeight="true" outlineLevel="0" collapsed="false">
      <c r="A39" s="72" t="s">
        <v>360</v>
      </c>
      <c r="B39" s="72"/>
      <c r="C39" s="72"/>
      <c r="D39" s="72"/>
      <c r="E39" s="72"/>
      <c r="F39" s="72"/>
      <c r="G39" s="72"/>
      <c r="H39" s="72"/>
    </row>
    <row r="40" customFormat="false" ht="48" hidden="false" customHeight="true" outlineLevel="0" collapsed="false">
      <c r="A40" s="72" t="s">
        <v>361</v>
      </c>
      <c r="B40" s="72"/>
      <c r="C40" s="72"/>
      <c r="D40" s="72"/>
      <c r="E40" s="72"/>
      <c r="F40" s="72"/>
      <c r="G40" s="72"/>
      <c r="H40" s="72"/>
    </row>
    <row r="41" customFormat="false" ht="48" hidden="false" customHeight="true" outlineLevel="0" collapsed="false">
      <c r="A41" s="72" t="s">
        <v>362</v>
      </c>
      <c r="B41" s="72"/>
      <c r="C41" s="72"/>
      <c r="D41" s="72"/>
      <c r="E41" s="72"/>
      <c r="F41" s="72"/>
      <c r="G41" s="72"/>
      <c r="H41" s="72"/>
    </row>
    <row r="42" customFormat="false" ht="48" hidden="false" customHeight="true" outlineLevel="0" collapsed="false">
      <c r="A42" s="72" t="s">
        <v>363</v>
      </c>
      <c r="B42" s="72"/>
      <c r="C42" s="72"/>
      <c r="D42" s="72"/>
      <c r="E42" s="72"/>
      <c r="F42" s="72"/>
      <c r="G42" s="72"/>
      <c r="H42" s="72"/>
    </row>
    <row r="43" customFormat="false" ht="48" hidden="false" customHeight="true" outlineLevel="0" collapsed="false">
      <c r="A43" s="72" t="s">
        <v>364</v>
      </c>
      <c r="B43" s="72"/>
      <c r="C43" s="72"/>
      <c r="D43" s="72"/>
      <c r="E43" s="72"/>
      <c r="F43" s="72"/>
      <c r="G43" s="72"/>
      <c r="H43" s="72"/>
    </row>
    <row r="45" customFormat="false" ht="23.25" hidden="false" customHeight="true" outlineLevel="0" collapsed="false">
      <c r="A45" s="79" t="s">
        <v>365</v>
      </c>
      <c r="B45" s="79"/>
      <c r="C45" s="79"/>
      <c r="D45" s="79"/>
      <c r="E45" s="79"/>
      <c r="F45" s="79"/>
      <c r="G45" s="79"/>
      <c r="H45" s="79"/>
    </row>
  </sheetData>
  <mergeCells count="35">
    <mergeCell ref="A1:H1"/>
    <mergeCell ref="A2:H2"/>
    <mergeCell ref="A4:H4"/>
    <mergeCell ref="A11:H11"/>
    <mergeCell ref="B12:D12"/>
    <mergeCell ref="B13:D13"/>
    <mergeCell ref="B14:D14"/>
    <mergeCell ref="B15:D15"/>
    <mergeCell ref="B16:D16"/>
    <mergeCell ref="B17:D17"/>
    <mergeCell ref="B18:D18"/>
    <mergeCell ref="B19:D19"/>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7:H37"/>
    <mergeCell ref="A38:H38"/>
    <mergeCell ref="A39:H39"/>
    <mergeCell ref="A40:H40"/>
    <mergeCell ref="A41:H41"/>
    <mergeCell ref="A42:H42"/>
    <mergeCell ref="A43:H43"/>
    <mergeCell ref="A45: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4" min="1" style="0" width="15"/>
  </cols>
  <sheetData>
    <row r="1" customFormat="false" ht="21.75" hidden="false" customHeight="true" outlineLevel="0" collapsed="false">
      <c r="A1" s="102" t="s">
        <v>366</v>
      </c>
      <c r="B1" s="102"/>
      <c r="C1" s="102"/>
      <c r="D1" s="102"/>
      <c r="E1" s="102"/>
      <c r="F1" s="102"/>
      <c r="G1" s="102"/>
      <c r="H1" s="102"/>
      <c r="I1" s="102"/>
      <c r="J1" s="102"/>
      <c r="K1" s="102"/>
      <c r="L1" s="102"/>
      <c r="M1" s="102"/>
      <c r="N1" s="102"/>
    </row>
    <row r="2" customFormat="false" ht="31.5" hidden="false" customHeight="true" outlineLevel="0" collapsed="false">
      <c r="A2" s="64" t="s">
        <v>367</v>
      </c>
      <c r="B2" s="64"/>
      <c r="C2" s="64"/>
      <c r="D2" s="64"/>
      <c r="E2" s="64"/>
      <c r="F2" s="64"/>
      <c r="G2" s="64"/>
      <c r="H2" s="64"/>
      <c r="I2" s="64"/>
      <c r="J2" s="64"/>
      <c r="K2" s="64"/>
      <c r="L2" s="64"/>
      <c r="M2" s="64"/>
      <c r="N2" s="64"/>
    </row>
    <row r="4" customFormat="false" ht="15" hidden="false" customHeight="false" outlineLevel="0" collapsed="false">
      <c r="A4" s="103" t="s">
        <v>368</v>
      </c>
      <c r="B4" s="103"/>
      <c r="C4" s="103"/>
      <c r="D4" s="103"/>
      <c r="E4" s="103"/>
      <c r="F4" s="103"/>
      <c r="G4" s="103"/>
      <c r="H4" s="103"/>
      <c r="I4" s="103"/>
      <c r="J4" s="103"/>
      <c r="K4" s="103"/>
      <c r="L4" s="103"/>
      <c r="M4" s="103"/>
      <c r="N4" s="103"/>
    </row>
    <row r="5" customFormat="false" ht="25.5" hidden="false" customHeight="true" outlineLevel="0" collapsed="false">
      <c r="A5" s="104" t="s">
        <v>369</v>
      </c>
      <c r="B5" s="104"/>
      <c r="C5" s="104" t="s">
        <v>72</v>
      </c>
      <c r="D5" s="104"/>
      <c r="E5" s="104" t="s">
        <v>317</v>
      </c>
      <c r="F5" s="104"/>
      <c r="G5" s="104" t="s">
        <v>370</v>
      </c>
      <c r="H5" s="104"/>
      <c r="I5" s="104" t="s">
        <v>371</v>
      </c>
      <c r="J5" s="104"/>
      <c r="K5" s="104" t="s">
        <v>372</v>
      </c>
      <c r="L5" s="104"/>
    </row>
    <row r="6" customFormat="false" ht="30" hidden="false" customHeight="true" outlineLevel="0" collapsed="false">
      <c r="A6" s="105" t="n">
        <f aca="false">'Sustainability Ratios'!D9</f>
        <v>0.00377025255679201</v>
      </c>
      <c r="B6" s="105"/>
      <c r="C6" s="106" t="n">
        <f aca="false">'Sustainability Ratios'!K9</f>
        <v>18190269.2659242</v>
      </c>
      <c r="D6" s="106"/>
      <c r="E6" s="107" t="n">
        <f aca="false">'Sustainability Ratios'!L9</f>
        <v>0.616454388536208</v>
      </c>
      <c r="F6" s="107"/>
      <c r="G6" s="105" t="n">
        <f aca="false">'Sustainability Ratios'!E9</f>
        <v>0.666081910931549</v>
      </c>
      <c r="H6" s="105"/>
      <c r="I6" s="105" t="n">
        <f aca="false">'Sustainability Ratios'!G9</f>
        <v>0.441446182188291</v>
      </c>
      <c r="J6" s="105"/>
      <c r="K6" s="108" t="n">
        <f aca="false">'Recruitment Break-Even'!B60</f>
        <v>0.00096667772530104</v>
      </c>
      <c r="L6" s="108"/>
    </row>
    <row r="7" customFormat="false" ht="19.4" hidden="false" customHeight="true" outlineLevel="0" collapsed="false">
      <c r="A7" s="109" t="s">
        <v>373</v>
      </c>
      <c r="B7" s="109"/>
      <c r="C7" s="109" t="s">
        <v>374</v>
      </c>
      <c r="D7" s="109"/>
      <c r="E7" s="109" t="s">
        <v>375</v>
      </c>
      <c r="F7" s="109"/>
      <c r="G7" s="109" t="s">
        <v>376</v>
      </c>
      <c r="H7" s="109"/>
      <c r="I7" s="109" t="s">
        <v>377</v>
      </c>
      <c r="J7" s="109"/>
      <c r="K7" s="109" t="s">
        <v>378</v>
      </c>
      <c r="L7" s="109"/>
    </row>
    <row r="9" customFormat="false" ht="15" hidden="false" customHeight="false" outlineLevel="0" collapsed="false">
      <c r="A9" s="103" t="s">
        <v>379</v>
      </c>
      <c r="B9" s="103"/>
      <c r="C9" s="103"/>
      <c r="D9" s="103"/>
      <c r="E9" s="103"/>
      <c r="F9" s="103"/>
      <c r="G9" s="103"/>
      <c r="H9" s="103"/>
      <c r="I9" s="103"/>
      <c r="J9" s="103"/>
      <c r="K9" s="103"/>
      <c r="L9" s="103"/>
      <c r="M9" s="103"/>
      <c r="N9" s="103"/>
    </row>
    <row r="27" customFormat="false" ht="15" hidden="false" customHeight="false" outlineLevel="0" collapsed="false">
      <c r="A27" s="103" t="s">
        <v>380</v>
      </c>
      <c r="B27" s="103"/>
      <c r="C27" s="103"/>
      <c r="D27" s="103"/>
      <c r="E27" s="103"/>
      <c r="F27" s="103"/>
      <c r="G27" s="103"/>
      <c r="H27" s="103"/>
      <c r="I27" s="103"/>
      <c r="J27" s="103"/>
      <c r="K27" s="103"/>
      <c r="L27" s="103"/>
      <c r="M27" s="103"/>
      <c r="N27" s="103"/>
    </row>
    <row r="28" customFormat="false" ht="27.75" hidden="false" customHeight="true" outlineLevel="0" collapsed="false">
      <c r="A28" s="66" t="s">
        <v>268</v>
      </c>
      <c r="B28" s="66" t="s">
        <v>119</v>
      </c>
      <c r="C28" s="66" t="s">
        <v>316</v>
      </c>
      <c r="D28" s="66" t="s">
        <v>66</v>
      </c>
    </row>
    <row r="29" customFormat="false" ht="15" hidden="false" customHeight="false" outlineLevel="0" collapsed="false">
      <c r="A29" s="110" t="s">
        <v>143</v>
      </c>
      <c r="B29" s="111" t="n">
        <f aca="false">'Scenario Comparison'!F56</f>
        <v>1340078.88029087</v>
      </c>
      <c r="C29" s="111" t="n">
        <f aca="false">'Scenario Comparison'!H56</f>
        <v>18190269.2659242</v>
      </c>
      <c r="D29" s="112" t="n">
        <f aca="false">'Scenario Comparison'!G56</f>
        <v>0.00377025255679209</v>
      </c>
    </row>
    <row r="30" customFormat="false" ht="15" hidden="false" customHeight="false" outlineLevel="0" collapsed="false">
      <c r="A30" s="110" t="s">
        <v>146</v>
      </c>
      <c r="B30" s="111" t="n">
        <f aca="false">'Scenario Comparison'!F59</f>
        <v>24851873.0300317</v>
      </c>
      <c r="C30" s="111" t="n">
        <f aca="false">'Scenario Comparison'!H59</f>
        <v>63347331.5125382</v>
      </c>
      <c r="D30" s="112" t="n">
        <f aca="false">'Scenario Comparison'!G59</f>
        <v>0.067076735164346</v>
      </c>
    </row>
    <row r="31" customFormat="false" ht="15" hidden="false" customHeight="false" outlineLevel="0" collapsed="false">
      <c r="A31" s="110" t="s">
        <v>147</v>
      </c>
      <c r="B31" s="111" t="n">
        <f aca="false">'Scenario Comparison'!F62</f>
        <v>-33983416.2880397</v>
      </c>
      <c r="C31" s="111" t="n">
        <f aca="false">'Scenario Comparison'!H62</f>
        <v>-50162673.0482786</v>
      </c>
      <c r="D31" s="112" t="n">
        <f aca="false">'Scenario Comparison'!G62</f>
        <v>-0.101770173811489</v>
      </c>
    </row>
    <row r="50" customFormat="false" ht="15" hidden="false" customHeight="false" outlineLevel="0" collapsed="false">
      <c r="A50" s="103" t="s">
        <v>381</v>
      </c>
      <c r="B50" s="103"/>
      <c r="C50" s="103"/>
      <c r="D50" s="103"/>
      <c r="E50" s="103"/>
      <c r="F50" s="103"/>
    </row>
    <row r="51" customFormat="false" ht="30" hidden="false" customHeight="true" outlineLevel="0" collapsed="false">
      <c r="A51" s="66" t="s">
        <v>382</v>
      </c>
      <c r="B51" s="66" t="s">
        <v>383</v>
      </c>
      <c r="C51" s="66" t="s">
        <v>321</v>
      </c>
      <c r="D51" s="66" t="s">
        <v>322</v>
      </c>
    </row>
    <row r="52" customFormat="false" ht="57.45" hidden="false" customHeight="false" outlineLevel="0" collapsed="false">
      <c r="A52" s="81" t="str">
        <f aca="false">'Sustainability Ratios'!A13</f>
        <v>Operating margin below 3% (typical minimum for a sustainable HE surplus)</v>
      </c>
      <c r="B52" s="112" t="n">
        <f aca="false">'Sustainability Ratios'!B13</f>
        <v>0.00377025255679201</v>
      </c>
      <c r="C52" s="112" t="n">
        <f aca="false">'Sustainability Ratios'!C13</f>
        <v>0.03</v>
      </c>
      <c r="D52" s="110" t="str">
        <f aca="false">'Sustainability Ratios'!D13</f>
        <v>AT RISK</v>
      </c>
    </row>
    <row r="53" customFormat="false" ht="35.05" hidden="false" customHeight="false" outlineLevel="0" collapsed="false">
      <c r="A53" s="81" t="str">
        <f aca="false">'Sustainability Ratios'!A14</f>
        <v>Staff cost ratio above 65% of income</v>
      </c>
      <c r="B53" s="112" t="n">
        <f aca="false">'Sustainability Ratios'!B14</f>
        <v>0.666081910931549</v>
      </c>
      <c r="C53" s="112" t="n">
        <f aca="false">'Sustainability Ratios'!C14</f>
        <v>0.65</v>
      </c>
      <c r="D53" s="110" t="str">
        <f aca="false">'Sustainability Ratios'!D14</f>
        <v>AT RISK</v>
      </c>
    </row>
    <row r="54" customFormat="false" ht="57.45" hidden="false" customHeight="false" outlineLevel="0" collapsed="false">
      <c r="A54" s="81" t="str">
        <f aca="false">'Sustainability Ratios'!A15</f>
        <v>International tuition dependency above 40% of tuition income</v>
      </c>
      <c r="B54" s="112" t="n">
        <f aca="false">'Sustainability Ratios'!B15</f>
        <v>0.441446182188291</v>
      </c>
      <c r="C54" s="112" t="n">
        <f aca="false">'Sustainability Ratios'!C15</f>
        <v>0.4</v>
      </c>
      <c r="D54" s="110" t="str">
        <f aca="false">'Sustainability Ratios'!D15</f>
        <v>AT RISK</v>
      </c>
    </row>
    <row r="55" customFormat="false" ht="35.05" hidden="false" customHeight="false" outlineLevel="0" collapsed="false">
      <c r="A55" s="81" t="str">
        <f aca="false">'Sustainability Ratios'!A16</f>
        <v>Months' cash cover below 2 months</v>
      </c>
      <c r="B55" s="113" t="n">
        <f aca="false">'Sustainability Ratios'!B16</f>
        <v>0.616454388536208</v>
      </c>
      <c r="C55" s="113" t="n">
        <f aca="false">'Sustainability Ratios'!C16</f>
        <v>2</v>
      </c>
      <c r="D55" s="110" t="str">
        <f aca="false">'Sustainability Ratios'!D16</f>
        <v>AT RISK</v>
      </c>
    </row>
    <row r="56" customFormat="false" ht="35.05" hidden="false" customHeight="false" outlineLevel="0" collapsed="false">
      <c r="A56" s="81" t="str">
        <f aca="false">'Sustainability Ratios'!A17</f>
        <v>Any forecast year shows an operating deficit</v>
      </c>
      <c r="B56" s="114" t="str">
        <f aca="false">'Sustainability Ratios'!B17</f>
        <v>n/a</v>
      </c>
      <c r="C56" s="114" t="str">
        <f aca="false">'Sustainability Ratios'!C17</f>
        <v>n/a</v>
      </c>
      <c r="D56" s="110" t="str">
        <f aca="false">'Sustainability Ratios'!D17</f>
        <v>AT RISK</v>
      </c>
    </row>
    <row r="57" customFormat="false" ht="79.85" hidden="false" customHeight="false" outlineLevel="0" collapsed="false">
      <c r="A57" s="81" t="str">
        <f aca="false">'Sustainability Ratios'!A18</f>
        <v>Cash reserves fall below FY25/26 opening cash of £42.0m at any point (see 'Cash Flow Forecast')</v>
      </c>
      <c r="B57" s="115" t="n">
        <f aca="false">'Sustainability Ratios'!B18</f>
        <v>17438532.9045371</v>
      </c>
      <c r="C57" s="115" t="n">
        <f aca="false">'Sustainability Ratios'!C18</f>
        <v>42000000</v>
      </c>
      <c r="D57" s="110" t="str">
        <f aca="false">'Sustainability Ratios'!D18</f>
        <v>AT RISK</v>
      </c>
    </row>
    <row r="59" customFormat="false" ht="15" hidden="false" customHeight="false" outlineLevel="0" collapsed="false">
      <c r="A59" s="103" t="s">
        <v>384</v>
      </c>
      <c r="B59" s="103"/>
      <c r="C59" s="103"/>
      <c r="D59" s="103"/>
      <c r="E59" s="103"/>
      <c r="F59" s="103"/>
      <c r="G59" s="103"/>
      <c r="H59" s="103"/>
      <c r="I59" s="103"/>
      <c r="J59" s="103"/>
      <c r="K59" s="103"/>
      <c r="L59" s="103"/>
      <c r="M59" s="103"/>
      <c r="N59" s="103"/>
    </row>
    <row r="60" customFormat="false" ht="27.75" hidden="false" customHeight="true" outlineLevel="0" collapsed="false">
      <c r="A60" s="72" t="s">
        <v>385</v>
      </c>
      <c r="B60" s="72"/>
      <c r="C60" s="72"/>
      <c r="D60" s="72"/>
      <c r="E60" s="72"/>
      <c r="F60" s="72"/>
      <c r="G60" s="72"/>
      <c r="H60" s="72"/>
      <c r="I60" s="72"/>
      <c r="J60" s="72"/>
      <c r="K60" s="72"/>
      <c r="L60" s="72"/>
      <c r="M60" s="72"/>
      <c r="N60" s="72"/>
    </row>
    <row r="61" customFormat="false" ht="27.75" hidden="false" customHeight="true" outlineLevel="0" collapsed="false">
      <c r="A61" s="72" t="s">
        <v>386</v>
      </c>
      <c r="B61" s="72"/>
      <c r="C61" s="72"/>
      <c r="D61" s="72"/>
      <c r="E61" s="72"/>
      <c r="F61" s="72"/>
      <c r="G61" s="72"/>
      <c r="H61" s="72"/>
      <c r="I61" s="72"/>
      <c r="J61" s="72"/>
      <c r="K61" s="72"/>
      <c r="L61" s="72"/>
      <c r="M61" s="72"/>
      <c r="N61" s="72"/>
    </row>
    <row r="62" customFormat="false" ht="27.75" hidden="false" customHeight="true" outlineLevel="0" collapsed="false">
      <c r="A62" s="72" t="s">
        <v>387</v>
      </c>
      <c r="B62" s="72"/>
      <c r="C62" s="72"/>
      <c r="D62" s="72"/>
      <c r="E62" s="72"/>
      <c r="F62" s="72"/>
      <c r="G62" s="72"/>
      <c r="H62" s="72"/>
      <c r="I62" s="72"/>
      <c r="J62" s="72"/>
      <c r="K62" s="72"/>
      <c r="L62" s="72"/>
      <c r="M62" s="72"/>
      <c r="N62" s="72"/>
    </row>
    <row r="63" customFormat="false" ht="27.75" hidden="false" customHeight="true" outlineLevel="0" collapsed="false">
      <c r="A63" s="72" t="s">
        <v>388</v>
      </c>
      <c r="B63" s="72"/>
      <c r="C63" s="72"/>
      <c r="D63" s="72"/>
      <c r="E63" s="72"/>
      <c r="F63" s="72"/>
      <c r="G63" s="72"/>
      <c r="H63" s="72"/>
      <c r="I63" s="72"/>
      <c r="J63" s="72"/>
      <c r="K63" s="72"/>
      <c r="L63" s="72"/>
      <c r="M63" s="72"/>
      <c r="N63" s="72"/>
    </row>
    <row r="64" customFormat="false" ht="27.75" hidden="false" customHeight="true" outlineLevel="0" collapsed="false">
      <c r="A64" s="72" t="s">
        <v>389</v>
      </c>
      <c r="B64" s="72"/>
      <c r="C64" s="72"/>
      <c r="D64" s="72"/>
      <c r="E64" s="72"/>
      <c r="F64" s="72"/>
      <c r="G64" s="72"/>
      <c r="H64" s="72"/>
      <c r="I64" s="72"/>
      <c r="J64" s="72"/>
      <c r="K64" s="72"/>
      <c r="L64" s="72"/>
      <c r="M64" s="72"/>
      <c r="N64" s="72"/>
    </row>
    <row r="65" customFormat="false" ht="27.75" hidden="false" customHeight="true" outlineLevel="0" collapsed="false">
      <c r="A65" s="72" t="s">
        <v>390</v>
      </c>
      <c r="B65" s="72"/>
      <c r="C65" s="72"/>
      <c r="D65" s="72"/>
      <c r="E65" s="72"/>
      <c r="F65" s="72"/>
      <c r="G65" s="72"/>
      <c r="H65" s="72"/>
      <c r="I65" s="72"/>
      <c r="J65" s="72"/>
      <c r="K65" s="72"/>
      <c r="L65" s="72"/>
      <c r="M65" s="72"/>
      <c r="N65" s="72"/>
    </row>
    <row r="67" customFormat="false" ht="23.85" hidden="false" customHeight="true" outlineLevel="0" collapsed="false">
      <c r="A67" s="79" t="s">
        <v>391</v>
      </c>
      <c r="B67" s="79"/>
      <c r="C67" s="79"/>
      <c r="D67" s="79"/>
      <c r="E67" s="79"/>
      <c r="F67" s="79"/>
      <c r="G67" s="79"/>
      <c r="H67" s="79"/>
      <c r="I67" s="79"/>
      <c r="J67" s="79"/>
      <c r="K67" s="79"/>
      <c r="L67" s="79"/>
      <c r="M67" s="79"/>
      <c r="N67" s="79"/>
    </row>
  </sheetData>
  <mergeCells count="32">
    <mergeCell ref="A1:N1"/>
    <mergeCell ref="A2:N2"/>
    <mergeCell ref="A4:N4"/>
    <mergeCell ref="A5:B5"/>
    <mergeCell ref="C5:D5"/>
    <mergeCell ref="E5:F5"/>
    <mergeCell ref="G5:H5"/>
    <mergeCell ref="I5:J5"/>
    <mergeCell ref="K5:L5"/>
    <mergeCell ref="A6:B6"/>
    <mergeCell ref="C6:D6"/>
    <mergeCell ref="E6:F6"/>
    <mergeCell ref="G6:H6"/>
    <mergeCell ref="I6:J6"/>
    <mergeCell ref="K6:L6"/>
    <mergeCell ref="A7:B7"/>
    <mergeCell ref="C7:D7"/>
    <mergeCell ref="E7:F7"/>
    <mergeCell ref="G7:H7"/>
    <mergeCell ref="I7:J7"/>
    <mergeCell ref="K7:L7"/>
    <mergeCell ref="A9:N9"/>
    <mergeCell ref="A27:N27"/>
    <mergeCell ref="A50:F50"/>
    <mergeCell ref="A59:N59"/>
    <mergeCell ref="A60:N60"/>
    <mergeCell ref="A61:N61"/>
    <mergeCell ref="A62:N62"/>
    <mergeCell ref="A63:N63"/>
    <mergeCell ref="A64:N64"/>
    <mergeCell ref="A65:N65"/>
    <mergeCell ref="A67:N67"/>
  </mergeCells>
  <conditionalFormatting sqref="D52:D57">
    <cfRule type="cellIs" priority="2" operator="equal" aboveAverage="0" equalAverage="0" bottom="0" percent="0" rank="0" text="" dxfId="0">
      <formula>"AT RISK"</formula>
    </cfRule>
    <cfRule type="cellIs" priority="3" operator="equal" aboveAverage="0" equalAverage="0" bottom="0" percent="0" rank="0" text="" dxfId="1">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AM32"/>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G33" activeCellId="0" sqref="G33"/>
    </sheetView>
  </sheetViews>
  <sheetFormatPr defaultColWidth="8.6796875" defaultRowHeight="15" zeroHeight="false" outlineLevelRow="0" outlineLevelCol="0"/>
  <cols>
    <col collapsed="false" customWidth="true" hidden="false" outlineLevel="0" max="3" min="3" style="1" width="36.86"/>
    <col collapsed="false" customWidth="true" hidden="false" outlineLevel="0" max="5" min="5" style="1" width="12.29"/>
    <col collapsed="false" customWidth="true" hidden="false" outlineLevel="0" max="6" min="6" style="1" width="22.86"/>
    <col collapsed="false" customWidth="true" hidden="false" outlineLevel="0" max="7" min="7" style="1" width="24"/>
    <col collapsed="false" customWidth="true" hidden="false" outlineLevel="0" max="9" min="9" style="1" width="12"/>
  </cols>
  <sheetData>
    <row r="2" customFormat="false" ht="15" hidden="false" customHeight="true" outlineLevel="0" collapsed="false">
      <c r="C2" s="22" t="s">
        <v>392</v>
      </c>
    </row>
    <row r="4" customFormat="false" ht="15" hidden="false" customHeight="true" outlineLevel="0" collapsed="false">
      <c r="C4" s="4" t="s">
        <v>15</v>
      </c>
      <c r="D4" s="22" t="s">
        <v>10</v>
      </c>
      <c r="E4" s="22" t="s">
        <v>11</v>
      </c>
      <c r="F4" s="22" t="s">
        <v>393</v>
      </c>
      <c r="G4" s="22" t="s">
        <v>394</v>
      </c>
      <c r="H4" s="22" t="s">
        <v>12</v>
      </c>
      <c r="I4" s="22" t="s">
        <v>155</v>
      </c>
      <c r="J4" s="22" t="s">
        <v>156</v>
      </c>
      <c r="K4" s="22" t="s">
        <v>157</v>
      </c>
    </row>
    <row r="5" customFormat="false" ht="15" hidden="false" customHeight="true" outlineLevel="0" collapsed="false">
      <c r="C5" s="7" t="s">
        <v>3</v>
      </c>
      <c r="D5" s="116" t="n">
        <f aca="false">'Student Flow Summary'!D5</f>
        <v>3000</v>
      </c>
      <c r="E5" s="116" t="n">
        <f aca="false">'Student Flow Summary'!D6</f>
        <v>3050</v>
      </c>
      <c r="F5" s="34" t="n">
        <f aca="false">'Forecast Assumptions'!C7</f>
        <v>0.78</v>
      </c>
      <c r="G5" s="34" t="n">
        <f aca="false">'Forecast Assumptions'!C8</f>
        <v>0.62</v>
      </c>
      <c r="H5" s="116" t="n">
        <f aca="false">'Student Flow Summary'!D7</f>
        <v>3100</v>
      </c>
      <c r="I5" s="117" t="n">
        <f aca="false">(H5*(1+'Forecast Assumptions'!C6))</f>
        <v>3162</v>
      </c>
      <c r="J5" s="117" t="n">
        <f aca="false">I5*(1+'Forecast Assumptions'!D6)</f>
        <v>3225.24</v>
      </c>
      <c r="K5" s="117" t="n">
        <f aca="false">J5*(1+'Forecast Assumptions'!E6)</f>
        <v>3289.7448</v>
      </c>
    </row>
    <row r="6" customFormat="false" ht="15" hidden="false" customHeight="true" outlineLevel="0" collapsed="false">
      <c r="C6" s="7" t="s">
        <v>5</v>
      </c>
      <c r="D6" s="116" t="n">
        <f aca="false">'Student Flow Summary'!D8</f>
        <v>700</v>
      </c>
      <c r="E6" s="116" t="n">
        <f aca="false">'Student Flow Summary'!D9</f>
        <v>745</v>
      </c>
      <c r="F6" s="34" t="n">
        <f aca="false">'Forecast Assumptions'!C12</f>
        <v>0.7</v>
      </c>
      <c r="G6" s="34" t="n">
        <f aca="false">'Forecast Assumptions'!D13</f>
        <v>0.44</v>
      </c>
      <c r="H6" s="116" t="n">
        <f aca="false">'Student Flow Summary'!D10</f>
        <v>645</v>
      </c>
      <c r="I6" s="117" t="n">
        <f aca="false">H6*(1+'Forecast Assumptions'!C11)*'Forecast Assumptions'!C12/Sheet3!F6</f>
        <v>651.45</v>
      </c>
      <c r="J6" s="117" t="n">
        <f aca="false">I6*(1+'Forecast Assumptions'!D11)</f>
        <v>657.9645</v>
      </c>
      <c r="K6" s="117" t="n">
        <f aca="false">J6*(1+'Forecast Assumptions'!E11)</f>
        <v>671.12379</v>
      </c>
    </row>
    <row r="7" customFormat="false" ht="15" hidden="false" customHeight="true" outlineLevel="0" collapsed="false">
      <c r="C7" s="7" t="s">
        <v>6</v>
      </c>
      <c r="D7" s="116" t="n">
        <f aca="false">'Student Flow Summary'!D11</f>
        <v>7227</v>
      </c>
      <c r="E7" s="116" t="n">
        <f aca="false">'Student Flow Summary'!D12</f>
        <v>7374</v>
      </c>
      <c r="F7" s="34" t="n">
        <f aca="false">'Forecast Assumptions'!C17</f>
        <v>0.82</v>
      </c>
      <c r="G7" s="34" t="n">
        <f aca="false">'Forecast Assumptions'!D18</f>
        <v>0.68</v>
      </c>
      <c r="H7" s="116" t="n">
        <f aca="false">'Student Flow Summary'!D13</f>
        <v>7522</v>
      </c>
      <c r="I7" s="117" t="n">
        <f aca="false">H7*(1+'Forecast Assumptions'!C16)</f>
        <v>7672.44</v>
      </c>
      <c r="J7" s="117" t="n">
        <f aca="false">I7*(1+'Forecast Assumptions'!D16)</f>
        <v>7825.8888</v>
      </c>
      <c r="K7" s="117" t="n">
        <f aca="false">J7*(1+'Forecast Assumptions'!E16)</f>
        <v>7982.406576</v>
      </c>
    </row>
    <row r="8" customFormat="false" ht="15" hidden="false" customHeight="true" outlineLevel="0" collapsed="false">
      <c r="C8" s="7" t="s">
        <v>7</v>
      </c>
      <c r="D8" s="116" t="n">
        <f aca="false">'Student Flow Summary'!D14</f>
        <v>6542</v>
      </c>
      <c r="E8" s="116" t="n">
        <f aca="false">'Student Flow Summary'!D15</f>
        <v>6861</v>
      </c>
      <c r="F8" s="34" t="n">
        <f aca="false">'Forecast Assumptions'!C22</f>
        <v>0.74</v>
      </c>
      <c r="G8" s="34" t="n">
        <f aca="false">'Forecast Assumptions'!C23</f>
        <v>0.44</v>
      </c>
      <c r="H8" s="116" t="n">
        <f aca="false">'Student Flow Summary'!D16</f>
        <v>5783</v>
      </c>
      <c r="I8" s="117" t="n">
        <f aca="false">H8*(1+'Forecast Assumptions'!C21)</f>
        <v>5840.83</v>
      </c>
      <c r="J8" s="117" t="n">
        <f aca="false">I8*(1+'Forecast Assumptions'!D21)</f>
        <v>5957.6466</v>
      </c>
      <c r="K8" s="117" t="n">
        <f aca="false">J8*(1+'Forecast Assumptions'!E21)</f>
        <v>6076.799532</v>
      </c>
    </row>
    <row r="9" customFormat="false" ht="15" hidden="false" customHeight="true" outlineLevel="0" collapsed="false">
      <c r="C9" s="7" t="s">
        <v>8</v>
      </c>
      <c r="D9" s="116" t="n">
        <f aca="false">'Student Flow Summary'!D17</f>
        <v>320</v>
      </c>
      <c r="E9" s="116" t="n">
        <f aca="false">'Student Flow Summary'!D18</f>
        <v>330</v>
      </c>
      <c r="F9" s="34" t="n">
        <f aca="false">'Forecast Assumptions'!C27</f>
        <v>0.58</v>
      </c>
      <c r="G9" s="34" t="n">
        <f aca="false">'Forecast Assumptions'!C28</f>
        <v>0.75</v>
      </c>
      <c r="H9" s="116" t="n">
        <f aca="false">'Student Flow Summary'!D19</f>
        <v>339</v>
      </c>
      <c r="I9" s="117" t="n">
        <f aca="false">H9*(1+'Forecast Assumptions'!C26)</f>
        <v>345.78</v>
      </c>
      <c r="J9" s="117" t="n">
        <f aca="false">I9*(1+'Forecast Assumptions'!D26)</f>
        <v>352.6956</v>
      </c>
      <c r="K9" s="117" t="n">
        <f aca="false">J9*(1+'Forecast Assumptions'!E26)</f>
        <v>359.749512</v>
      </c>
    </row>
    <row r="12" customFormat="false" ht="15" hidden="false" customHeight="true" outlineLevel="0" collapsed="false">
      <c r="C12" s="118" t="s">
        <v>395</v>
      </c>
    </row>
    <row r="13" customFormat="false" ht="15" hidden="false" customHeight="true" outlineLevel="0" collapsed="false">
      <c r="C13" s="4" t="s">
        <v>15</v>
      </c>
      <c r="D13" s="22" t="s">
        <v>12</v>
      </c>
      <c r="E13" s="1" t="s">
        <v>396</v>
      </c>
      <c r="F13" s="1" t="s">
        <v>397</v>
      </c>
      <c r="G13" s="1" t="s">
        <v>398</v>
      </c>
    </row>
    <row r="14" customFormat="false" ht="15" hidden="false" customHeight="true" outlineLevel="0" collapsed="false">
      <c r="C14" s="7" t="s">
        <v>3</v>
      </c>
      <c r="D14" s="116" t="n">
        <f aca="false">'Student Flow Summary'!G7</f>
        <v>6273</v>
      </c>
      <c r="E14" s="116" t="n">
        <f aca="false">'Forecast Assumptions'!C10</f>
        <v>3</v>
      </c>
      <c r="F14" s="119" t="n">
        <f aca="false">'Forecast Assumptions'!C9</f>
        <v>0.018</v>
      </c>
      <c r="G14" s="120" t="n">
        <f aca="false">1-(1-F14)^(1/12)</f>
        <v>0.00151251920708273</v>
      </c>
    </row>
    <row r="15" customFormat="false" ht="15" hidden="false" customHeight="true" outlineLevel="0" collapsed="false">
      <c r="C15" s="7" t="s">
        <v>5</v>
      </c>
      <c r="D15" s="116" t="n">
        <f aca="false">'Student Flow Summary'!G10</f>
        <v>1408</v>
      </c>
      <c r="E15" s="116" t="n">
        <f aca="false">'Forecast Assumptions'!C15</f>
        <v>3</v>
      </c>
      <c r="F15" s="119" t="n">
        <f aca="false">'Forecast Assumptions'!C14</f>
        <v>0.033</v>
      </c>
      <c r="G15" s="120" t="n">
        <f aca="false">1-(1-F15)^(1/12)</f>
        <v>0.0027924923467828</v>
      </c>
    </row>
    <row r="16" customFormat="false" ht="15" hidden="false" customHeight="true" outlineLevel="0" collapsed="false">
      <c r="C16" s="7" t="s">
        <v>6</v>
      </c>
      <c r="D16" s="116" t="n">
        <f aca="false">'Student Flow Summary'!G13</f>
        <v>947</v>
      </c>
      <c r="E16" s="116" t="n">
        <f aca="false">'Forecast Assumptions'!C20</f>
        <v>1</v>
      </c>
      <c r="F16" s="119" t="n">
        <f aca="false">'Forecast Assumptions'!C19</f>
        <v>0.02</v>
      </c>
      <c r="G16" s="120" t="n">
        <f aca="false">1-(1-F16)^(1/12)</f>
        <v>0.00168214255273957</v>
      </c>
    </row>
    <row r="17" customFormat="false" ht="15" hidden="false" customHeight="true" outlineLevel="0" collapsed="false">
      <c r="C17" s="7" t="s">
        <v>7</v>
      </c>
      <c r="D17" s="116" t="n">
        <f aca="false">'Student Flow Summary'!G16</f>
        <v>689</v>
      </c>
      <c r="E17" s="116" t="n">
        <f aca="false">'Forecast Assumptions'!C25</f>
        <v>1</v>
      </c>
      <c r="F17" s="119" t="n">
        <f aca="false">'Forecast Assumptions'!C24</f>
        <v>0.025</v>
      </c>
      <c r="G17" s="120" t="n">
        <f aca="false">1-(1-F17)^(1/12)</f>
        <v>0.00210759323186027</v>
      </c>
    </row>
    <row r="18" customFormat="false" ht="15" hidden="false" customHeight="true" outlineLevel="0" collapsed="false">
      <c r="C18" s="7" t="s">
        <v>8</v>
      </c>
      <c r="D18" s="116" t="n">
        <f aca="false">'Student Flow Summary'!G19</f>
        <v>930</v>
      </c>
      <c r="E18" s="116" t="n">
        <f aca="false">'Forecast Assumptions'!C30</f>
        <v>4</v>
      </c>
      <c r="F18" s="119" t="n">
        <f aca="false">'Forecast Assumptions'!C29</f>
        <v>0.012</v>
      </c>
      <c r="G18" s="120" t="n">
        <f aca="false">1-(1-F18)^(1/12)</f>
        <v>0.00100554253912766</v>
      </c>
    </row>
    <row r="20" customFormat="false" ht="15" hidden="false" customHeight="true" outlineLevel="0" collapsed="false">
      <c r="C20" s="118" t="s">
        <v>399</v>
      </c>
      <c r="D20" s="1" t="s">
        <v>194</v>
      </c>
      <c r="E20" s="1" t="s">
        <v>195</v>
      </c>
      <c r="F20" s="1" t="s">
        <v>196</v>
      </c>
      <c r="G20" s="1" t="s">
        <v>197</v>
      </c>
      <c r="H20" s="1" t="s">
        <v>198</v>
      </c>
      <c r="I20" s="1" t="s">
        <v>199</v>
      </c>
      <c r="J20" s="1" t="s">
        <v>200</v>
      </c>
      <c r="K20" s="1" t="s">
        <v>201</v>
      </c>
      <c r="L20" s="1" t="s">
        <v>202</v>
      </c>
      <c r="M20" s="1" t="s">
        <v>203</v>
      </c>
      <c r="N20" s="1" t="s">
        <v>204</v>
      </c>
      <c r="O20" s="1" t="s">
        <v>205</v>
      </c>
    </row>
    <row r="21" customFormat="false" ht="15" hidden="false" customHeight="true" outlineLevel="0" collapsed="false">
      <c r="C21" s="7" t="s">
        <v>6</v>
      </c>
      <c r="D21" s="116" t="n">
        <f aca="false">'Student Headcount'!G29</f>
        <v>741</v>
      </c>
      <c r="E21" s="116" t="n">
        <f aca="false">'Student Headcount'!G30</f>
        <v>7552</v>
      </c>
      <c r="F21" s="116" t="n">
        <f aca="false">'Student Headcount'!G31</f>
        <v>6144</v>
      </c>
      <c r="G21" s="116" t="n">
        <f aca="false">'Student Headcount'!G32</f>
        <v>4921</v>
      </c>
      <c r="H21" s="116" t="n">
        <f aca="false">'Student Headcount'!G33</f>
        <v>3901</v>
      </c>
      <c r="I21" s="116" t="n">
        <f aca="false">'Student Headcount'!G34</f>
        <v>3608</v>
      </c>
      <c r="J21" s="116" t="n">
        <f aca="false">'Student Headcount'!G35</f>
        <v>2888</v>
      </c>
      <c r="K21" s="116" t="n">
        <f aca="false">'Student Headcount'!G36</f>
        <v>2299</v>
      </c>
      <c r="L21" s="116" t="n">
        <f aca="false">'Student Headcount'!G37</f>
        <v>1862</v>
      </c>
      <c r="M21" s="116" t="n">
        <f aca="false">'Student Headcount'!G38</f>
        <v>1475</v>
      </c>
      <c r="N21" s="116" t="n">
        <f aca="false">'Student Headcount'!G39</f>
        <v>1184</v>
      </c>
      <c r="O21" s="116" t="n">
        <f aca="false">'Student Headcount'!G40</f>
        <v>943</v>
      </c>
    </row>
    <row r="22" customFormat="false" ht="15" hidden="false" customHeight="true" outlineLevel="0" collapsed="false">
      <c r="C22" s="7" t="s">
        <v>7</v>
      </c>
      <c r="D22" s="116" t="n">
        <f aca="false">'Student Headcount'!I29</f>
        <v>637</v>
      </c>
      <c r="E22" s="116" t="n">
        <f aca="false">'Student Headcount'!I30</f>
        <v>5930</v>
      </c>
      <c r="F22" s="116" t="n">
        <f aca="false">'Student Headcount'!I31</f>
        <v>4691</v>
      </c>
      <c r="G22" s="116" t="n">
        <f aca="false">'Student Headcount'!I32</f>
        <v>3757</v>
      </c>
      <c r="H22" s="116" t="n">
        <f aca="false">'Student Headcount'!I33</f>
        <v>2969</v>
      </c>
      <c r="I22" s="116" t="n">
        <f aca="false">'Student Headcount'!I34</f>
        <v>2727</v>
      </c>
      <c r="J22" s="116" t="n">
        <f aca="false">'Student Headcount'!I35</f>
        <v>2155</v>
      </c>
      <c r="K22" s="116" t="n">
        <f aca="false">'Student Headcount'!I36</f>
        <v>1712</v>
      </c>
      <c r="L22" s="116" t="n">
        <f aca="false">'Student Headcount'!I37</f>
        <v>1382</v>
      </c>
      <c r="M22" s="116" t="n">
        <f aca="false">'Student Headcount'!I38</f>
        <v>1087</v>
      </c>
      <c r="N22" s="116" t="n">
        <f aca="false">'Student Headcount'!I39</f>
        <v>868</v>
      </c>
      <c r="O22" s="116" t="n">
        <f aca="false">'Student Headcount'!I40</f>
        <v>689</v>
      </c>
    </row>
    <row r="23" customFormat="false" ht="15" hidden="false" customHeight="true" outlineLevel="0" collapsed="false">
      <c r="C23" s="7"/>
    </row>
    <row r="25" customFormat="false" ht="15" hidden="false" customHeight="true" outlineLevel="0" collapsed="false">
      <c r="C25" s="118" t="s">
        <v>400</v>
      </c>
      <c r="D25" s="4" t="s">
        <v>155</v>
      </c>
      <c r="E25" s="4"/>
      <c r="F25" s="4"/>
      <c r="G25" s="4"/>
      <c r="H25" s="4"/>
      <c r="I25" s="4"/>
      <c r="J25" s="4"/>
      <c r="K25" s="4"/>
      <c r="L25" s="4"/>
      <c r="M25" s="4"/>
      <c r="N25" s="4"/>
      <c r="O25" s="4"/>
    </row>
    <row r="26" customFormat="false" ht="15" hidden="false" customHeight="true" outlineLevel="0" collapsed="false">
      <c r="D26" s="1" t="s">
        <v>194</v>
      </c>
      <c r="E26" s="1" t="s">
        <v>195</v>
      </c>
      <c r="F26" s="1" t="s">
        <v>196</v>
      </c>
      <c r="G26" s="1" t="s">
        <v>197</v>
      </c>
      <c r="H26" s="1" t="s">
        <v>198</v>
      </c>
      <c r="I26" s="1" t="s">
        <v>199</v>
      </c>
      <c r="J26" s="1" t="s">
        <v>200</v>
      </c>
      <c r="K26" s="1" t="s">
        <v>201</v>
      </c>
      <c r="L26" s="1" t="s">
        <v>202</v>
      </c>
      <c r="M26" s="1" t="s">
        <v>203</v>
      </c>
      <c r="N26" s="1" t="s">
        <v>204</v>
      </c>
      <c r="O26" s="1" t="s">
        <v>205</v>
      </c>
      <c r="P26" s="1" t="s">
        <v>194</v>
      </c>
      <c r="Q26" s="1" t="s">
        <v>195</v>
      </c>
      <c r="R26" s="1" t="s">
        <v>196</v>
      </c>
      <c r="S26" s="1" t="s">
        <v>197</v>
      </c>
      <c r="T26" s="1" t="s">
        <v>198</v>
      </c>
      <c r="U26" s="1" t="s">
        <v>199</v>
      </c>
      <c r="V26" s="1" t="s">
        <v>200</v>
      </c>
      <c r="W26" s="1" t="s">
        <v>201</v>
      </c>
      <c r="X26" s="1" t="s">
        <v>202</v>
      </c>
      <c r="Y26" s="1" t="s">
        <v>203</v>
      </c>
      <c r="Z26" s="1" t="s">
        <v>204</v>
      </c>
      <c r="AA26" s="1" t="s">
        <v>205</v>
      </c>
      <c r="AB26" s="1" t="s">
        <v>194</v>
      </c>
      <c r="AC26" s="1" t="s">
        <v>195</v>
      </c>
      <c r="AD26" s="1" t="s">
        <v>196</v>
      </c>
      <c r="AE26" s="1" t="s">
        <v>197</v>
      </c>
      <c r="AF26" s="1" t="s">
        <v>198</v>
      </c>
      <c r="AG26" s="1" t="s">
        <v>199</v>
      </c>
      <c r="AH26" s="1" t="s">
        <v>200</v>
      </c>
      <c r="AI26" s="1" t="s">
        <v>201</v>
      </c>
      <c r="AJ26" s="1" t="s">
        <v>202</v>
      </c>
      <c r="AK26" s="1" t="s">
        <v>203</v>
      </c>
      <c r="AL26" s="1" t="s">
        <v>204</v>
      </c>
      <c r="AM26" s="1" t="s">
        <v>205</v>
      </c>
    </row>
    <row r="27" customFormat="false" ht="15" hidden="false" customHeight="true" outlineLevel="0" collapsed="false">
      <c r="C27" s="4" t="s">
        <v>15</v>
      </c>
    </row>
    <row r="28" customFormat="false" ht="15" hidden="false" customHeight="true" outlineLevel="0" collapsed="false">
      <c r="C28" s="7" t="s">
        <v>3</v>
      </c>
      <c r="D28" s="117" t="n">
        <f aca="false">D14*(1-Sheet3!G14)</f>
        <v>6263.51196701397</v>
      </c>
      <c r="E28" s="117" t="n">
        <f aca="false">D28*(1-G14)+I5</f>
        <v>9416.03828486007</v>
      </c>
      <c r="F28" s="117" t="n">
        <f aca="false">E28*(1-G14)</f>
        <v>9401.79634609959</v>
      </c>
      <c r="G28" s="117" t="n">
        <f aca="false">F28*(1-$G$14)</f>
        <v>9387.57594854504</v>
      </c>
      <c r="H28" s="117" t="n">
        <f aca="false">G28*(1-$G$14)</f>
        <v>9373.37705961491</v>
      </c>
      <c r="I28" s="117" t="n">
        <f aca="false">H28*(1-$G$14)</f>
        <v>9359.19964677702</v>
      </c>
      <c r="J28" s="117" t="n">
        <f aca="false">I28*(1-$G$14)</f>
        <v>9345.04367754835</v>
      </c>
      <c r="K28" s="117" t="n">
        <f aca="false">J28*(1-$G$14)</f>
        <v>9330.90911949503</v>
      </c>
      <c r="L28" s="117" t="n">
        <f aca="false">K28*(1-$G$14)</f>
        <v>9316.79594023225</v>
      </c>
      <c r="M28" s="117" t="n">
        <f aca="false">L28*(1-$G$14)</f>
        <v>9302.70410742417</v>
      </c>
      <c r="N28" s="117" t="n">
        <f aca="false">M28*(1-$G$14)</f>
        <v>9288.63358878389</v>
      </c>
      <c r="O28" s="117" t="n">
        <f aca="false">N28*(1-G14)-E5*(1-F14)^E14</f>
        <v>6386.3375396733</v>
      </c>
    </row>
    <row r="29" customFormat="false" ht="15" hidden="false" customHeight="true" outlineLevel="0" collapsed="false">
      <c r="C29" s="7" t="s">
        <v>5</v>
      </c>
    </row>
    <row r="30" customFormat="false" ht="15" hidden="false" customHeight="true" outlineLevel="0" collapsed="false">
      <c r="C30" s="7" t="s">
        <v>6</v>
      </c>
      <c r="D30" s="117" t="n">
        <f aca="false">D21*(I7/H7)</f>
        <v>755.82</v>
      </c>
      <c r="E30" s="117" t="n">
        <f aca="false">E21*($I$7/$H$7)</f>
        <v>7703.04</v>
      </c>
      <c r="F30" s="117" t="n">
        <f aca="false">F21*($I$7/$H$7)</f>
        <v>6266.88</v>
      </c>
      <c r="G30" s="117" t="n">
        <f aca="false">G21*($I$7/$H$7)</f>
        <v>5019.42</v>
      </c>
      <c r="H30" s="117" t="n">
        <f aca="false">H21*($I$7/$H$7)</f>
        <v>3979.02</v>
      </c>
      <c r="I30" s="117" t="n">
        <f aca="false">I21*($I$7/$H$7)</f>
        <v>3680.16</v>
      </c>
      <c r="J30" s="117" t="n">
        <f aca="false">J21*($I$7/$H$7)</f>
        <v>2945.76</v>
      </c>
      <c r="K30" s="117" t="n">
        <f aca="false">K21*($I$7/$H$7)</f>
        <v>2344.98</v>
      </c>
      <c r="L30" s="117" t="n">
        <f aca="false">L21*($I$7/$H$7)</f>
        <v>1899.24</v>
      </c>
      <c r="M30" s="117" t="n">
        <f aca="false">M21*($I$7/$H$7)</f>
        <v>1504.5</v>
      </c>
      <c r="N30" s="117" t="n">
        <f aca="false">N21*($I$7/$H$7)</f>
        <v>1207.68</v>
      </c>
      <c r="O30" s="117" t="n">
        <f aca="false">O21*($I$7/$H$7)</f>
        <v>961.86</v>
      </c>
      <c r="P30" s="117" t="n">
        <f aca="false">D21*($J$7/$H$7)</f>
        <v>770.9364</v>
      </c>
      <c r="Q30" s="117" t="n">
        <f aca="false">E21*($J$7/$H$7)</f>
        <v>7857.1008</v>
      </c>
      <c r="R30" s="117" t="n">
        <f aca="false">F21*($J$7/$H$7)</f>
        <v>6392.2176</v>
      </c>
      <c r="S30" s="117" t="n">
        <f aca="false">G21*($J$7/$H$7)</f>
        <v>5119.8084</v>
      </c>
      <c r="T30" s="117" t="n">
        <f aca="false">H21*($J$7/$H$7)</f>
        <v>4058.6004</v>
      </c>
      <c r="U30" s="117" t="n">
        <f aca="false">I21*($J$7/$H$7)</f>
        <v>3753.7632</v>
      </c>
      <c r="V30" s="117" t="n">
        <f aca="false">J21*($J$7/$H$7)</f>
        <v>3004.6752</v>
      </c>
      <c r="W30" s="117" t="n">
        <f aca="false">K21*($J$7/$H$7)</f>
        <v>2391.8796</v>
      </c>
      <c r="X30" s="117" t="n">
        <f aca="false">L21*($J$7/$H$7)</f>
        <v>1937.2248</v>
      </c>
      <c r="Y30" s="117" t="n">
        <f aca="false">M21*($J$7/$H$7)</f>
        <v>1534.59</v>
      </c>
      <c r="Z30" s="117" t="n">
        <f aca="false">N21*($J$7/$H$7)</f>
        <v>1231.8336</v>
      </c>
      <c r="AA30" s="117" t="n">
        <f aca="false">O21*($J$7/$H$7)</f>
        <v>981.0972</v>
      </c>
      <c r="AB30" s="117" t="n">
        <f aca="false">D21*($K$7/$H$7)</f>
        <v>786.355128</v>
      </c>
      <c r="AC30" s="117" t="n">
        <f aca="false">E21*($K$7/$H$7)</f>
        <v>8014.242816</v>
      </c>
      <c r="AD30" s="117" t="n">
        <f aca="false">F21*($K$7/$H$7)</f>
        <v>6520.061952</v>
      </c>
      <c r="AE30" s="117" t="n">
        <f aca="false">G21*($K$7/$H$7)</f>
        <v>5222.204568</v>
      </c>
      <c r="AF30" s="117" t="n">
        <f aca="false">H21*($K$7/$H$7)</f>
        <v>4139.772408</v>
      </c>
      <c r="AG30" s="117" t="n">
        <f aca="false">I21*($K$7/$H$7)</f>
        <v>3828.838464</v>
      </c>
      <c r="AH30" s="117" t="n">
        <f aca="false">J21*($K$7/$H$7)</f>
        <v>3064.768704</v>
      </c>
      <c r="AI30" s="117" t="n">
        <f aca="false">K21*($K$7/$H$7)</f>
        <v>2439.717192</v>
      </c>
      <c r="AJ30" s="117" t="n">
        <f aca="false">L21*($K$7/$H$7)</f>
        <v>1975.969296</v>
      </c>
      <c r="AK30" s="117" t="n">
        <f aca="false">M21*($K$7/$H$7)</f>
        <v>1565.2818</v>
      </c>
      <c r="AL30" s="117" t="n">
        <f aca="false">N21*($K$7/$H$7)</f>
        <v>1256.470272</v>
      </c>
      <c r="AM30" s="117" t="n">
        <f aca="false">O21*($K$7/$H$7)</f>
        <v>1000.719144</v>
      </c>
    </row>
    <row r="31" customFormat="false" ht="15" hidden="false" customHeight="true" outlineLevel="0" collapsed="false">
      <c r="C31" s="7" t="s">
        <v>7</v>
      </c>
    </row>
    <row r="32" customFormat="false" ht="15" hidden="false" customHeight="true" outlineLevel="0" collapsed="false">
      <c r="C32" s="7" t="s">
        <v>8</v>
      </c>
    </row>
  </sheetData>
  <mergeCells count="1">
    <mergeCell ref="D25:O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B1" s="6" t="n">
        <v>45139</v>
      </c>
      <c r="C1" s="6" t="n">
        <v>45170</v>
      </c>
      <c r="D1" s="6" t="n">
        <v>45200</v>
      </c>
      <c r="E1" s="6" t="n">
        <v>45231</v>
      </c>
      <c r="F1" s="6" t="n">
        <v>45261</v>
      </c>
      <c r="G1" s="6" t="n">
        <v>45292</v>
      </c>
      <c r="H1" s="6" t="n">
        <v>45323</v>
      </c>
      <c r="I1" s="6" t="n">
        <v>45352</v>
      </c>
      <c r="J1" s="6" t="n">
        <v>45383</v>
      </c>
      <c r="K1" s="6" t="n">
        <v>45413</v>
      </c>
      <c r="L1" s="6" t="n">
        <v>45444</v>
      </c>
      <c r="M1" s="6" t="n">
        <v>45474</v>
      </c>
      <c r="N1" s="6" t="n">
        <v>45505</v>
      </c>
      <c r="O1" s="6" t="n">
        <v>45536</v>
      </c>
      <c r="P1" s="6" t="n">
        <v>45566</v>
      </c>
      <c r="Q1" s="6" t="n">
        <v>45597</v>
      </c>
      <c r="R1" s="6" t="n">
        <v>45627</v>
      </c>
      <c r="S1" s="6" t="n">
        <v>45658</v>
      </c>
      <c r="T1" s="6" t="n">
        <v>45689</v>
      </c>
      <c r="U1" s="6" t="n">
        <v>45717</v>
      </c>
      <c r="V1" s="6" t="n">
        <v>45748</v>
      </c>
      <c r="W1" s="6" t="n">
        <v>45778</v>
      </c>
      <c r="X1" s="6" t="n">
        <v>45809</v>
      </c>
      <c r="Y1" s="6" t="n">
        <v>45839</v>
      </c>
      <c r="Z1" s="6" t="n">
        <v>45870</v>
      </c>
      <c r="AA1" s="6" t="n">
        <v>45901</v>
      </c>
      <c r="AB1" s="6" t="n">
        <v>45931</v>
      </c>
      <c r="AC1" s="6" t="n">
        <v>45962</v>
      </c>
      <c r="AD1" s="6" t="n">
        <v>45992</v>
      </c>
      <c r="AE1" s="6" t="n">
        <v>46023</v>
      </c>
      <c r="AF1" s="6" t="n">
        <v>46054</v>
      </c>
      <c r="AG1" s="6" t="n">
        <v>46082</v>
      </c>
      <c r="AH1" s="6" t="n">
        <v>46113</v>
      </c>
      <c r="AI1" s="6" t="n">
        <v>46143</v>
      </c>
      <c r="AJ1" s="6" t="n">
        <v>46174</v>
      </c>
      <c r="AK1" s="6" t="n">
        <v>46204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2026-08-25T16:55:46Z</dcterms:created>
  <dc:creator>openpyxl</dc:creator>
  <dc:description/>
  <dc:language>en-US</dc:language>
  <cp:lastModifiedBy/>
  <dcterms:modified xsi:type="dcterms:W3CDTF">2026-09-18T20:17:12Z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